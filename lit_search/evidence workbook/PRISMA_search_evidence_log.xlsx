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e9ed69ed71ddea64/Documents/GitHub/autonomous_vehicles_arnaud/lit_search/evidence workbook/"/>
    </mc:Choice>
  </mc:AlternateContent>
  <xr:revisionPtr revIDLastSave="9" documentId="13_ncr:1_{5B94EA4A-FAE7-4C9D-B11E-1C13D2FF80D6}" xr6:coauthVersionLast="47" xr6:coauthVersionMax="47" xr10:uidLastSave="{324C63AB-CE9C-46B9-856C-05FA3FD4B912}"/>
  <bookViews>
    <workbookView xWindow="-120" yWindow="-120" windowWidth="29040" windowHeight="15720" xr2:uid="{00000000-000D-0000-FFFF-FFFF00000000}"/>
  </bookViews>
  <sheets>
    <sheet name="Search Evidence" sheetId="1" r:id="rId1"/>
    <sheet name="Known Item Tests" sheetId="2" r:id="rId2"/>
    <sheet name="Screening" sheetId="3" r:id="rId3"/>
    <sheet name="Phase Tracker" sheetId="4" r:id="rId4"/>
    <sheet name="Exclusion Codes" sheetId="5" r:id="rId5"/>
    <sheet name="Year Histograms" sheetId="6" r:id="rId6"/>
  </sheets>
  <calcPr calcId="0"/>
</workbook>
</file>

<file path=xl/sharedStrings.xml><?xml version="1.0" encoding="utf-8"?>
<sst xmlns="http://schemas.openxmlformats.org/spreadsheetml/2006/main" count="814" uniqueCount="190">
  <si>
    <t>Strand</t>
  </si>
  <si>
    <t>Database</t>
  </si>
  <si>
    <t>Date searched</t>
  </si>
  <si>
    <t>Full string as entered</t>
  </si>
  <si>
    <t>Filters</t>
  </si>
  <si>
    <t>Unfiltered hits</t>
  </si>
  <si>
    <t>Filtered hits</t>
  </si>
  <si>
    <t>Export filename</t>
  </si>
  <si>
    <t>Notes</t>
  </si>
  <si>
    <t>Known item</t>
  </si>
  <si>
    <t>Query used</t>
  </si>
  <si>
    <t>Result count</t>
  </si>
  <si>
    <t>Outcome</t>
  </si>
  <si>
    <t>Database decision</t>
  </si>
  <si>
    <t>A</t>
  </si>
  <si>
    <t>Scopus</t>
  </si>
  <si>
    <t>Lee &amp; Hess (2022)</t>
  </si>
  <si>
    <t>Public concerns and connected and automated vehicles: safety, privacy, and data security</t>
  </si>
  <si>
    <t>PASS</t>
  </si>
  <si>
    <t>Exact paper recovered. Scopus reformatted the simple-search title into AND-separated terms.</t>
  </si>
  <si>
    <t>Retain Scopus for Strand A</t>
  </si>
  <si>
    <t>Kyriakidis et al. (2015)</t>
  </si>
  <si>
    <t>Public opinion on automated driving</t>
  </si>
  <si>
    <t>Exact paper recovered.</t>
  </si>
  <si>
    <t>Khan et al. (2024)</t>
  </si>
  <si>
    <t>The impact of perceived cyber-risks on automated vehicle acceptance</t>
  </si>
  <si>
    <t>B-i</t>
  </si>
  <si>
    <t>Yin, Hay &amp; Roth (2019)</t>
  </si>
  <si>
    <t>Benchmarking zero-shot text classification</t>
  </si>
  <si>
    <t>Exact paper recovered. Total result count was not captured in the screenshot used for the known-item check.</t>
  </si>
  <si>
    <t>Retain Scopus for Strand B-i</t>
  </si>
  <si>
    <t>Hardalov et al. (2022)</t>
  </si>
  <si>
    <t>A Survey on Stance Detection for Mis- and Disinformation Identification</t>
  </si>
  <si>
    <t>Hedderich et al. (2021)</t>
  </si>
  <si>
    <t>A survey on recent approaches for natural language processing in low-resource scenarios</t>
  </si>
  <si>
    <t>Schick &amp; Schütze (2021)</t>
  </si>
  <si>
    <t>Exploiting cloze-questions for few-shot text classification</t>
  </si>
  <si>
    <t>Intended paper recovered; Scopus showed the fuller title ending 'and natural language inference'.</t>
  </si>
  <si>
    <t>B-ii</t>
  </si>
  <si>
    <t>Saerens, Latinne &amp; Decaestecker (2002)</t>
  </si>
  <si>
    <t>Adjusting the outputs of a classifier to new a priori probabilities</t>
  </si>
  <si>
    <t>Exact intended paper recovered; Scopus showed the fuller title ending 'A simple procedure'.</t>
  </si>
  <si>
    <t>Retain Scopus for Strand B-ii</t>
  </si>
  <si>
    <t>González et al. (2017)</t>
  </si>
  <si>
    <t>TITLE("A review on quantification learning")</t>
  </si>
  <si>
    <t>TITLE TEST FAILED</t>
  </si>
  <si>
    <t>Exact-title search returned no documents. Scopus indexes the title with a malformed missing space.</t>
  </si>
  <si>
    <t>Retain pending DOI confirmation</t>
  </si>
  <si>
    <t>DOI(10.1145/3117807)</t>
  </si>
  <si>
    <t>DOI PASS</t>
  </si>
  <si>
    <t>DOI returned the intended record. Scopus displays the title as 'A review onquantification learning' and year 2018; ACM record supplied later shows 2017.</t>
  </si>
  <si>
    <t>IEEE Xplore</t>
  </si>
  <si>
    <t>"All Metadata":"Public concerns and connected and automated vehicles: safety, privacy, and data security"</t>
  </si>
  <si>
    <t>FAIL</t>
  </si>
  <si>
    <t>Clean Command Search returned no results. Earlier ordinary-search test was disregarded because the results page displayed 2025 only.</t>
  </si>
  <si>
    <t>ACM Full-Text Collection</t>
  </si>
  <si>
    <t>Title: "Benchmarking zero-shot text classification"</t>
  </si>
  <si>
    <t>FAIL IN FULL-TEXT COLLECTION</t>
  </si>
  <si>
    <t>Exact-title search returned 0 in the ACM Full-Text Collection.</t>
  </si>
  <si>
    <t>Broader ACM Guide test required</t>
  </si>
  <si>
    <t>ACM Guide to Computing Literature</t>
  </si>
  <si>
    <t>"benchmarking zero-shot text classification"</t>
  </si>
  <si>
    <t>Exact-phrase search in the broader ACM Guide returned 4 records; target paper absent.</t>
  </si>
  <si>
    <t>Drop ACM for Strand B-i</t>
  </si>
  <si>
    <t>Title: "A review on quantification learning"</t>
  </si>
  <si>
    <t>Returned the intended ACM Computing Surveys record; page displayed September 2017, article 74, pages 1-40, DOI 10.1145/3117807.</t>
  </si>
  <si>
    <t>Retain ACM for Strand B-ii</t>
  </si>
  <si>
    <t>Title: "Adjusting the outputs of a classifier to new a priori probabilities"</t>
  </si>
  <si>
    <t>Two results returned; the intended 2002 Neural Computation paper was present.</t>
  </si>
  <si>
    <t>Year</t>
  </si>
  <si>
    <t>Phase</t>
  </si>
  <si>
    <t>Phase name</t>
  </si>
  <si>
    <t>Status</t>
  </si>
  <si>
    <t>Setup: Zotero, UTS library access, log file</t>
  </si>
  <si>
    <t>Complete</t>
  </si>
  <si>
    <t>Known-item test across databases</t>
  </si>
  <si>
    <t>Strand A — Scopus</t>
  </si>
  <si>
    <t>Strand A — IEEE Xplore</t>
  </si>
  <si>
    <t>Strand B-i — Scopus (classifier comparison)</t>
  </si>
  <si>
    <t>Pending</t>
  </si>
  <si>
    <t>Strand B-ii — Scopus (quantification)</t>
  </si>
  <si>
    <t>Strand B — ACM Digital Library</t>
  </si>
  <si>
    <t>B-i dropped after failed known-item test; B-ii retained</t>
  </si>
  <si>
    <t>Strand B — arXiv (optional)</t>
  </si>
  <si>
    <t>Deduplication in Zotero</t>
  </si>
  <si>
    <t>Title/abstract screening</t>
  </si>
  <si>
    <t>Full-text retrieval and screening</t>
  </si>
  <si>
    <t>Other-methods arm</t>
  </si>
  <si>
    <t>PRISMA reconciliation</t>
  </si>
  <si>
    <t>Code</t>
  </si>
  <si>
    <t>Definition</t>
  </si>
  <si>
    <t>E1</t>
  </si>
  <si>
    <t>not about CAVs / not the target technology</t>
  </si>
  <si>
    <t>E2</t>
  </si>
  <si>
    <t>Strand A: not about perception, concern, privacy or security; Strand B-i: not an empirical classifier comparison; Strand B-ii: not about prevalence or class-prior estimation</t>
  </si>
  <si>
    <t>E3</t>
  </si>
  <si>
    <t>no empirical content (editorial, commentary, position paper)</t>
  </si>
  <si>
    <t>E4</t>
  </si>
  <si>
    <t>not English</t>
  </si>
  <si>
    <t>E5</t>
  </si>
  <si>
    <t>outside publication window</t>
  </si>
  <si>
    <t>E6</t>
  </si>
  <si>
    <t>full text unavailable</t>
  </si>
  <si>
    <t>E7</t>
  </si>
  <si>
    <t>duplicate not caught at deduplication</t>
  </si>
  <si>
    <t>E8</t>
  </si>
  <si>
    <t>wrong publication type (abstract-only, poster, thesis)</t>
  </si>
  <si>
    <t>TITLE-ABS-KEY (
 ( "connected vehicle*" OR "connected and automated vehicle*" OR "autonomous vehicle*"
   OR "automated vehicle*" OR "self-driving" OR "driverless" OR "automated driving"
   OR "V2X" OR "vehicle-to-everything" OR "vehicle-to-vehicle" OR "vehicle-to-infrastructure" )
 AND
 ( privacy OR "data protection" OR "data security" OR "data sharing" OR "data collection"
   OR cybersecurity OR "cyber security" OR surveillance OR hacking OR security )
 AND
 ( "public perception*" OR "public opinion" OR "public attitude*" OR "user perception*"
   OR acceptance OR trust OR concern* OR "risk perception" OR "social media"
   OR reddit OR twitter OR forum* OR discourse OR sentiment )
)
AND PUBYEAR &gt; 2014
AND ( LIMIT-TO ( DOCTYPE , "ar" ) OR LIMIT-TO ( DOCTYPE , "cp" ) )
AND ( LIMIT-TO ( LANGUAGE , "English" ) )</t>
  </si>
  <si>
    <t>PUBYEAR &gt; 2014; DOCTYPE ar OR cp; English</t>
  </si>
  <si>
    <t>TITLE-ABS-KEY (
 ( "connected vehicle*" OR "connected and automated vehicle*" OR "autonomous vehicle*"
   OR "automated vehicle*" OR "self-driving" OR "driverless" OR "automated driving"
   OR "V2X" OR "vehicle-to-everything" OR "vehicle-to-vehicle" OR "vehicle-to-infrastructure" )
 AND
 ( privacy OR "data protection" OR "data security" OR "data sharing" OR "data collection"
   OR cybersecurity OR "cyber security" OR surveillance OR hacking OR security )
 AND
 ( "public perception*" OR "public opinion" OR "public attitude*" OR "user perception*"
   OR acceptance OR concern* OR "risk perception" OR "social media"
   OR reddit OR twitter OR forum* OR discourse OR sentiment )
)
AND PUBYEAR &gt; 2014
AND ( LIMIT-TO ( DOCTYPE , "ar" ) OR LIMIT-TO ( DOCTYPE , "cp" ) )
AND ( LIMIT-TO ( LANGUAGE , "English" ) )</t>
  </si>
  <si>
    <t>TITLE-ABS-KEY (
 ( "connected vehicle*" OR "connected and automated vehicle*" OR "autonomous vehicle*"
   OR "automated vehicle*" OR "self-driving" OR "driverless" OR "automated driving"
   OR "V2X" OR "vehicle-to-everything" OR "vehicle-to-vehicle" OR "vehicle-to-infrastructure" )
 AND
 ( privacy OR "data protection" OR "data security" OR "data sharing" OR "data collection"
   OR cybersecurity OR "cyber security" OR surveillance OR hacking OR security )
 AND
 ( "public perception*" OR "public opinion" OR "public attitude*" OR "user perception*"
   OR acceptance OR "risk perception" OR "social media"
   OR reddit OR twitter OR forum* OR discourse OR sentiment )
)
AND PUBYEAR &gt; 2014
AND ( LIMIT-TO ( DOCTYPE , "ar" ) OR LIMIT-TO ( DOCTYPE , "cp" ) )
AND ( LIMIT-TO ( LANGUAGE , "English" ) )</t>
  </si>
  <si>
    <t>Search variant</t>
  </si>
  <si>
    <t>Documents</t>
  </si>
  <si>
    <t>Final calibrated</t>
  </si>
  <si>
    <t>Initial calibration variant. Count exceeded ~800; remove bare trust and rerun per predefined calibration rule. Superseded execution-order variant: filters were embedded before the required unfiltered stage; retained for audit trail.</t>
  </si>
  <si>
    <t>Calibration variant 2: bare trust removed. Count still exceeded ~800; remove concern* next per predefined calibration rule. Superseded execution-order variant: filters were embedded before the required unfiltered stage; retained for audit trail.</t>
  </si>
  <si>
    <t>Calibration variant 3: bare trust and concern* removed. Count reduced to low hundreds; calibration stopped. Bare security retained.Superseded execution-order variant: filters were embedded before the required unfiltered stage; retained for audit trail.</t>
  </si>
  <si>
    <t>TITLE-ABS-KEY (
 ( "connected vehicle*" OR "connected and automated vehicle*" OR "autonomous vehicle*"
   OR "automated vehicle*" OR "self-driving" OR "driverless" OR "automated driving"
   OR "V2X" OR "vehicle-to-everything" OR "vehicle-to-vehicle" OR "vehicle-to-infrastructure" )
 AND
 ( privacy OR "data protection" OR "data security" OR "data sharing" OR "data collection"
   OR cybersecurity OR "cyber security" OR surveillance OR hacking OR security )
 AND
 ( "public perception*" OR "public opinion" OR "public attitude*" OR "user perception*"
   OR acceptance OR trust OR concern* OR "risk perception" OR "social media"
   OR reddit OR twitter OR forum* OR discourse OR sentiment )
)</t>
  </si>
  <si>
    <t>NONE</t>
  </si>
  <si>
    <t>Corrected execution order. Initial unfiltered calibration variant; count exceeded ~800. Remove bare trust next per predefined calibration rule</t>
  </si>
  <si>
    <t>TITLE-ABS-KEY ( ( "connected vehicle*" OR "connected and automated vehicle*" OR "autonomous vehicle*" OR "automated vehicle*" OR "self-driving" OR "driverless" OR "automated driving" OR "V2X" OR "vehicle-to-everything" OR "vehicle-to-vehicle" OR "vehicle-to-infrastructure" ) AND ( privacy OR "data protection" OR "data security" OR "data sharing" OR "data collection" OR cybersecurity OR "cyber security" OR surveillance OR hacking OR security ) AND ( "public perception*" OR "public opinion" OR "public attitude*" OR "user perception*" OR acceptance OR concern* OR "risk perception" OR "social media" OR reddit OR twitter OR forum* OR discourse OR sentiment ) )</t>
  </si>
  <si>
    <t>Corrected unfiltered calibration variant 2: bare trust removed. Count still exceeded ~800; remove concern* next.</t>
  </si>
  <si>
    <t>TITLE-ABS-KEY ( ( "connected vehicle*" OR "connected and automated vehicle*" OR "autonomous vehicle*" OR "automated vehicle*" OR "self-driving" OR "driverless" OR "automated driving" OR "V2X" OR "vehicle-to-everything" OR "vehicle-to-vehicle" OR "vehicle-to-infrastructure" ) AND ( privacy OR "data protection" OR "data security" OR "data sharing" OR "data collection" OR cybersecurity OR "cyber security" OR surveillance OR hacking OR security ) AND ( "public perception*" OR "public opinion" OR "public attitude*" OR "user perception*" OR acceptance OR "risk perception" OR "social media" OR reddit OR twitter OR forum* OR discourse OR sentiment ) )</t>
  </si>
  <si>
    <t>Superseded filtered-first variant</t>
  </si>
  <si>
    <t>Final calibrated unfiltered</t>
  </si>
  <si>
    <t>Final calibrated unfiltered query. trust and concern* removed sequentially; security retained. Calibration stopped below ~800. Unfiltered year histogram captured before eligibility filters.</t>
  </si>
  <si>
    <t>Publication year 2015–2025</t>
  </si>
  <si>
    <t>Filter stage 1. Publication year 2015–2025 applied to final calibrated unfiltered query. Count reconciles exactly with year histogram.</t>
  </si>
  <si>
    <t>Publication year 2015–2025; English</t>
  </si>
  <si>
    <t>Filter stage 2. English language applied after publication-year filter.</t>
  </si>
  <si>
    <t>Publication year 2015–2025; English; Article OR Conference paper</t>
  </si>
  <si>
    <t>scopus_strandA_20260920.ris</t>
  </si>
  <si>
    <t>Final Strand A Scopus search. Calibration stopped after removing trust then concern*; security retained. Unfiltered year histogram captured before filters. Final count QA: Article 255 + Conference paper 221 = 476. RIS export downloaded and renamed successfully.</t>
  </si>
  <si>
    <t>Sequential IEEE execution: vehicle block = 83,626 records; after privacy/security Search within results = 13,492 records. Command Search and multi-row Advanced Search attempts produced parser failures and were excluded from valid counts.</t>
  </si>
  <si>
    <t>Sequential execution: vehicle block → privacy/security block via Search within results → public-perception/discourse block via Search within results</t>
  </si>
  <si>
    <t>Publication year 2015–2025; Conferences; Journals</t>
  </si>
  <si>
    <t>ieee_strandA_20260920.csv</t>
  </si>
  <si>
    <t>Final filtered</t>
  </si>
  <si>
    <r>
      <t xml:space="preserve">Valid sequential IEEE execution. Vehicle block = 83,626; after privacy/security block = 13,492; after public-perception/discourse block = 451. Earlier Command Search and multi-row Advanced Search parser failures excluded from valid counts. Unfiltered year histogram captured from </t>
    </r>
    <r>
      <rPr>
        <sz val="10"/>
        <rFont val="Arial Unicode MS"/>
      </rPr>
      <t>ieee_strandA_unfiltered_20260920.csv</t>
    </r>
    <r>
      <rPr>
        <sz val="11"/>
        <rFont val="Carlito"/>
      </rPr>
      <t>. Year filter: 451 → 409. Content-type filter (Conferences + Journals): 409 → 336. English-language restriction not available as an IEEE Xplore result facet; language eligibility to be enforced during screening. Final filtered IEEE export downloaded: 336 records. Final filtered IEEE CSV independently QA-verified: 336/336 records; 283 conference records and 53 journal records; 0 exact duplicate rows; all publication years within 2015–2025. Zotero RIS export completed in four non-overlapping batches: ieee_strandA_20260920_part1_001-100.ris; ieee_strandA_20260920_part2_101-200.ris; ieee_strandA_20260920_part3_201-300.ris; ieee_strandA_20260920_part4_301-336.ris.</t>
    </r>
  </si>
  <si>
    <t>TITLE-ABS-KEY (( "zero-shot" OR "few-shot" OR "low-resource" OR "limited labelled data" OR "limited labeled data" OR "large language model*" OR "prompt-based" OR verbalizer OR "fine-tun*" OR "task-specific" OR "natural language inference" ) AND ( "text classification" OR "stance detection" OR "sentiment classification" OR "sentiment analysis" OR "content analysis" OR annotation ) AND ( "social media" OR reddit OR twitter OR "user-generated content" OR "online discourse" OR forum* ) AND ( compar* OR benchmark* OR evaluat* )) AND PUBYEAR &gt; 2018 AND ( LIMIT-TO ( LANGUAGE , "English" ) )</t>
  </si>
  <si>
    <t>PUBYEAR &gt; 2018; English</t>
  </si>
  <si>
    <t>PUBYEAR &gt; 2018; English; no post-search facet filter</t>
  </si>
  <si>
    <t>scopus_strandBi_20260920.csv</t>
  </si>
  <si>
    <t>TITLE-ABS-KEY ( ( quantification OR "prevalence estimation" OR "class prior*" OR "prior probability shift" OR "classify and count" OR "class distribution estimation" OR "label shift" OR "prior shift" ) AND ( classifier OR classification OR "machine learning" OR "text classification" ) AND ( correct* OR adjust* OR estimat* OR bias ) ) AND PUBYEAR &gt; 2000 AND ( LIMIT-TO ( LANGUAGE , "English" ) )</t>
  </si>
  <si>
    <t>PUBYEAR &gt; 2000; English</t>
  </si>
  <si>
    <t>Calibration variant 1. Initial B-ii query returned 8,850 records. Broad terms produced substantial cross-domain contamination, including uncertainty quantification and unrelated classification literature. Result exceeded the initial calibration threshold. estimat* was removed as the first calibration adjustment. Superseded; not screened or exported.</t>
  </si>
  <si>
    <t>TITLE-ABS-KEY ( ( quantification OR "prevalence estimation" OR "class prior*" OR "prior probability shift" OR "classify and count" OR "class distribution estimation" OR "label shift" OR "prior shift" ) AND ( classifier OR classification OR "machine learning" OR "text classification" ) AND ( correct* OR adjust* OR bias ) ) AND PUBYEAR &gt; 2000 AND ( LIMIT-TO ( LANGUAGE , "English" ) )</t>
  </si>
  <si>
    <t>Calibration variant 2. estimat* removed from the correction block. Search still returned 3,590 records. Review identified bare quantification as a major source of uncertainty-quantification, analytical-chemistry and other unrelated literature. Saerens et al. (2002), DOI 10.1162/089976602753284446, was indexed in Scopus but failed the containment test for this variant. Variant rejected; not screened or exported.</t>
  </si>
  <si>
    <t>TITLE-ABS-KEY ( ( "quantification learning" OR "learning to quantify" OR "quantification method*" OR "prevalence estimation" OR "class prior*" OR "class prevalence" OR "prior probability shift" OR "prior shift" OR "label shift" OR "classify and count" OR "class distribution estimation" ) AND ( classifier* OR classification OR "machine learning" OR "supervised learning" ) ) AND PUBYEAR &gt; 1999 AND ( LIMIT-TO ( LANGUAGE , "English" ) )</t>
  </si>
  <si>
    <t>PUBYEAR &gt; 1999; English; document type unrestricted</t>
  </si>
  <si>
    <t>Calibration variant 3. Bare quantification was replaced by field-specific quantification terms and the redundant correction block was removed. Query returned 1,980 records. González et al., indexed by Scopus as "A review onquantification learning", was retrieved within the variant. Saerens et al. (2002), DOI 10.1162/089976602753284446, was indexed in Scopus but was not retrieved within Variant 3. Variant rejected as too narrow; not screened or exported.</t>
  </si>
  <si>
    <t>TITLE-ABS-KEY ( ( "quantification learning" OR "learning to quantify" OR "quantification method*" OR "prevalence estimation" OR "class prior*" OR "class prevalence" OR "prior probability shift" OR "prior shift" OR "label shift" OR "a priori probability" OR "a priori probabilities" OR "classify and count" OR "class distribution estimation" ) AND ( classifier* OR classification OR "machine learning" OR "supervised learning" ) ) AND PUBYEAR &gt; 1999 AND ( LIMIT-TO ( LANGUAGE , "English" ) )</t>
  </si>
  <si>
    <t>PUBYEAR &gt; 1999; English; no post-search subject-area filter retained; document type unrestricted</t>
  </si>
  <si>
    <t>PUBYEAR &gt; 1999; English; Subject area = Computer Science; document type unrestricted</t>
  </si>
  <si>
    <t>Post-calibration filter test. Computer Science subject-area filter reduced Variant 4 from 2,131 to 1,067 records. González known-item retention PASS. Saerens et al. (2002), DOI 10.1162/089976602753284446, retention FAIL. Filter rejected according to the predefined calibration rule. This 1,067-record set was not accepted, screened or exported.</t>
  </si>
  <si>
    <t>scopus_strandBii_20260920.csv</t>
  </si>
  <si>
    <t>Calibration variant 4 and final accepted B-ii Scopus search. Variant 3 was broadened minimally by adding "a priori probability" and "a priori probabilities" after Saerens et al. (2002) failed the known-item containment test. Query returned 2,131 records. González et al., "A review onquantification learning", and Saerens, Latinne &amp; Decaestecker (2002), DOI 10.1162/089976602753284446, were both retrieved, so Variant 4 passed the predefined known-item calibration. A Computer Science subject-area filter was subsequently tested and reduced the set from 2,131 to 1,067 records. González remained retrievable after this filter, but Saerens did not; the Computer Science filter was therefore rejected and the immediately preceding 2,131-record Variant 4 was retained as the final B-ii Scopus search. Document type remained unrestricted by design because relevant quantification literature includes monographs, book chapters and proceedings-series works. Final year distribution reconciled exactly to 2,131 records. Final CSV independently QA-verified: 2,131/2,131 records; all records English; 0 missing titles; 0 missing abstracts; 222 records without DOI; 0 exact duplicate rows; both predefined known items were present in the exported dataset. Four duplicated DOI groups with distinct Scopus EIDs were retained for formal cross-database/reference-manager deduplication rather than removed at export stage. Reference-manager export: scopus_strandBii_20260920.ris. Zotero RIS import independently reconciled from the Zotero report to 2,131 records, exactly matching the final Scopus export count; import discrepancy = 0.</t>
  </si>
  <si>
    <t>ACM Digital Library</t>
  </si>
  <si>
    <t>AllField:( "quantification learning" OR "learning to quantify" OR "quantification method" OR "prevalence estimation" OR "class prior" OR "class priors" OR "class prevalence" OR "prior probability shift" OR "prior shift" OR "label shift" OR "classify and count" OR "class distribution estimation" ) AND AllField:( classifier OR classification OR "machine learning" OR "supervised learning" )</t>
  </si>
  <si>
    <t>ACM Full-Text Collection; document type unrestricted</t>
  </si>
  <si>
    <t>Initial calibrated B-ii ACM query. Search executed in the ACM Full-Text Collection and returned 1,303 records. Known-item calibration not yet completed because Saerens et al. (2002) is indexed in the broader ACM Guide to Computing Literature rather than necessarily in the ACM Full-Text Collection. Search universe to be expanded to the ACM Guide before known-item calibration.</t>
  </si>
  <si>
    <t>ACM Guide to Computing Literature; document type unrestricted</t>
  </si>
  <si>
    <t>AllField:( "quantification learning" OR "learning to quantify" OR "quantification method" OR "prevalence estimation" OR "class prior" OR "class priors" OR "class prevalence" OR "prior probability shift" OR "prior shift" OR "label shift" OR "a priori probability" OR "a priori probabilities" OR "classify and count" OR "class distribution estimation" ) AND AllField:( classifier OR classification OR "machine learning" OR "supervised learning" )</t>
  </si>
  <si>
    <t>Calibration variant 2. Previous 5,071-record ACM Guide query was broadened by adding "a priori probability" and "a priori probabilities" after Saerens et al. (2002) failed the known-item containment test. Revised query returned 7,961 records. González et al. known-item PASS carries forward because Variant 2 is a strict broadening of the previous query. Saerens containment test pending. Not yet accepted, screened or exported.</t>
  </si>
  <si>
    <t>B-ii ACM calibration search expanded from the ACM Full-Text Collection to the ACM Guide to Computing Literature so that externally indexed methodological references can participate in known-item calibration. Query returned 5,071 records. Known-item containment testing pending; not yet accepted, screened or exported. Known-item test 1/2 PASS: González et al. (2017), "A Review on Quantification Learning", retrieved within the 5,071-record ACM Guide result set. Known-item test 2/2 FAIL: Saerens, Latinne &amp; Decaestecker (2002), "Adjusting the outputs of a classifier to new a priori probabilities: a simple procedure", was not retrieved within the result set. Review identified that the ACM query had not yet incorporated the "a priori probability"/"a priori probabilities" terms added during Scopus calibration. Variant rejected as too narrow; not screened or exported. Known-item test 2/2 PASS: Saerens, Latinne &amp; Decaestecker (2002), "Adjusting the outputs of a classifier to new a priori probabilities: a simple procedure", was retrieved within the 7,961-record ACM Guide result set. González et al. (2017) also remained retrievable. Both predefined B-ii ACM known-item checks therefore passed.</t>
  </si>
  <si>
    <t>Title:( "quantification learning" OR "learning to quantify" OR "quantification method" OR "prevalence estimation" OR "class prior" OR "class priors" OR "class prevalence" OR "prior probability shift" OR "prior shift" OR "label shift" OR "a priori probability" OR "a priori probabilities" OR "classify and count" OR "class distribution estimation" ) AND AllField:( classifier OR classification OR "machine learning" OR "supervised learning" )</t>
  </si>
  <si>
    <t>ACM Guide to Computing Literature; first concept block restricted to Title; document type unrestricted</t>
  </si>
  <si>
    <t>Calibration variant 3. Following successful known-item calibration of the 7,961-record all-field variant, the first quantification/prevalence concept block was restricted from AllField to Title as the predefined terminal narrowing step. Query returned 118 records. Known-item retention testing pending; not yet accepted, screened or exported.Known-item retention test 1/2 PASS: González et al. (2017), "A Review on Quantification Learning", remained retrievable after restricting the first concept block to Title. Known-item retention test 2/2 PASS: Saerens, Latinne &amp; Decaestecker (2002), "Adjusting the outputs of a classifier to new a priori probabilities: a simple procedure", remained retrievable after restricting the first concept block to Title. González et al. (2017) also remained retrievable. Both predefined B-ii ACM known-item checks therefore passed. The 118-record Title-restricted Variant 3 was accepted as the final calibrated B-ii ACM Guide search. No further post-search narrowing was required; document type remained unrestricted.</t>
  </si>
  <si>
    <t>arXiv</t>
  </si>
  <si>
    <t>Advanced Search: All fields=("zero-shot" OR "few-shot" OR "low-resource" OR "limited labelled data" OR "limited labeled data" OR "large language model*" OR "prompt-based" OR verbalizer OR "fine-tun*" OR "task-specific" OR "natural language inference") AND All fields=("text classification" OR "stance detection" OR "sentiment classification" OR "sentiment analysis" OR "content analysis" OR annotation) AND All fields=("social media" OR reddit OR twitter OR "user-generated content" OR "online discourse" OR forum*) AND All fields=(compar* OR benchmark* OR evaluat*)</t>
  </si>
  <si>
    <t>Date range 2019-01-01 to 2026-09-20; all subjects; cross-listed papers included</t>
  </si>
  <si>
    <t>Valid B-i arXiv Advanced Search execution. All four concept blocks were searched in All fields. Earlier 2-result executions were caused by the interface retaining Title as the field and are excluded from valid counts. Known-item test 1/4 PASS: Yin, Hay &amp; Roth (2019), "Benchmarking Zero-shot Text Classification: Datasets, Evaluation and Entailment Approach", retrieved in arXiv by Title search. Known-item test 2/4 PASS: Hardalov et al. (2022), "A Survey on Stance Detection for Mis- and Disinformation Identification", retrieved in arXiv by Title search. Known-item test 3/4 PASS: Hedderich et al. (2021), "A Survey on Recent Approaches for Natural Language Processing in Low-Resource Scenarios", retrieved in arXiv by Title search. Known-item test 4/4 PASS: Schick &amp; Schütze (2021), "Exploiting Cloze Questions for Few Shot Text Classification and Natural Language Inference", retrieved in arXiv by Title search. All four predefined B-i arXiv known-item checks passed. Publication-year distribution was reconstructed from the complete 301-record arXiv result printout and reconciled exactly to 301 records: 2019=2, 2020=4, 2021=9, 2022=20, 2023=33, 2024=56, 2025=103, 2026=74. Final RIS export QA-verified: 301/301 records with complete arXiv result-number sequence 1–301; 0 exact duplicate records; 0 duplicate arXiv accession IDs; 0 duplicate titles; 0 missing titles; 0 missing abstracts; 0 missing authors; 0 missing arXiv accession IDs; 0 missing URLs. DOI present for 33 records and absent for 268. The RIS PY field reflects the latest submission/revision year for some records and was therefore not used for the year histogram; year counts were based on original arXiv announcement year/arXiv identifier and reconcile exactly to 301 records. Reference-manager export: arxiv_strandBi_20260921.ris. Zotero RIS import reconciled exactly to 301 records, matching the final accepted arXiv result set; import discrepancy = 0.</t>
  </si>
  <si>
    <t>Advanced Search: All fields=("quantification learning" OR "learning to quantify" OR "quantification method*" OR "prevalence estimation" OR "class prior*" OR "class prevalence" OR "prior probability shift" OR "prior shift" OR "label shift" OR "a priori probability" OR "a priori probabilities" OR "classify and count" OR "class distribution estimation") AND All fields=(classifier* OR classification OR "machine learning" OR "supervised learning")</t>
  </si>
  <si>
    <t>Date range 2000-01-01 to 2026-09-20; all subjects; cross-listed papers included</t>
  </si>
  <si>
    <t>Valid B-ii arXiv Advanced Search execution. Both concept blocks searched in All fields. Known-item database coverage testing pending; search not yet accepted or exported.Known-item database coverage test 1/2 FAIL: González et al. (2017), "A Review on Quantification Learning", was not retrieved by standalone arXiv Title search. The search returned six other records containing overlapping title terms, but not the required known item. Under the predefined database-coverage calibration rule, arXiv is not accepted for B-ii. The 449-record candidate search was therefore not screened, narrowed, exported or imported into Zotero. Known-item database coverage test 2/2 FAIL: Saerens, Latinne &amp; Decaestecker (2002), "Adjusting the outputs of a classifier to new a priori probabilities: a simple procedure", returned 0 results in standalone arXiv Title search. Both predefined B-ii known-item coverage tests therefore failed. arXiv was not accepted as a B-ii database; the 449-record candidate search was not screened, narrowed, histogrammed, exported or imported into Zotero.</t>
  </si>
  <si>
    <t>Phase 9 — Zotero deduplication completed. Accepted database imports totalled 4,468 records. Zotero duplicate merging removed 175 duplicate records, leaving 4,293 records entering title/abstract screening. Two duplicate records were removed within the Scopus Strand A collection (476 imported → 474 post-merge); a further 173 duplicate/overlapping records were consolidated across source collections. Remaining suspected duplicates that Zotero could not merge because of differing item types were retained for screening and may be coded E7 if subsequently confirmed as duplicates.</t>
  </si>
  <si>
    <t>TITLE-ABS-KEY ( ( "quantification learning" OR "learning to quantify" OR "quantification method*" OR "prevalence estimation" OR "class prior*" OR "class prevalence" OR "prior probability shift" OR "prior shift" OR "label shift" OR "classify and count" OR "class distribution estimation" OR "new a priori probabilities" ) AND ( classifier* OR classification OR "machine learning" OR "supervised learning" ) ) AND PUBYEAR &gt; 1999 AND ( LIMIT-TO ( LANGUAGE , "English" ) )</t>
  </si>
  <si>
    <t>PUBYEAR &gt; 1999; English</t>
  </si>
  <si>
    <t>PUBYEAR &gt; 1999; English; Subject area = Computer Science</t>
  </si>
  <si>
    <t>Reopened Phase 6 calibration filter variant. Applied LIMIT-TO(SUBJAREA,"COMP") after the preceding 1,981-record variant passed both predefined known-item checks but remained above the 400-record gate. Computer Science filtering reduced the result set from 1,981 to 978. González et al. (2017) remained retrievable, but Saerens, Latinne &amp; Decaestecker (2002) was not retrieved from the 978-record filtered set. Under terminal rule (d), this narrowing step was rejected and the previous 1,981-record variant was accepted.</t>
  </si>
  <si>
    <t>Superseded calibrated (2,131-result variant)</t>
  </si>
  <si>
    <t>scopus_strandBii_20260921.ris</t>
  </si>
  <si>
    <t>Reopened Phase 6 calibration variant. Replaced generic "a priori probability"/"a priori probabilities" with exact phrase "new a priori probabilities". Returned 1,981 records. Known-item inclusion PASS for González et al. (2017) and Saerens, Latinne &amp; Decaestecker (2002), verified by constraining the candidate query with each known item's DOI. A subsequent Computer Science subject-area filter reduced the set to 978 but excluded Saerens et al. (2002); under terminal rule (d), that narrowing was rejected and the 1,981-record variant was accepted as final. Final publication-year histogram captured and reconciled exactly to 1,981 records. Final RIS export: scopus_strandBii_20260921.ris. Zotero import reconciliation PASS: 1,981 imported / 1,981 expected; discrepancy = 0. The previous scopus_strandBii_20260920 collection is retained as SUPERSEDED.</t>
  </si>
  <si>
    <t>TITLE-ABS-KEY ( ( "zero-shot" OR "few-shot" OR "low-resource" OR "limited labelled data" OR "limited labeled data" OR "large language model*" OR "prompt-based" OR verbalizer OR "fine-tun*" OR "task-specific" OR "natural language inference" ) AND ( "text classification" OR "stance detection" OR "sentiment classification" OR "sentiment analysis" OR "content analysis" OR annotation ) AND ( "social media" OR reddit OR twitter OR "user-generated content" OR "online discourse" OR forum* ) AND ( compar* OR benchmark* ) ) AND PUBYEAR &gt; 2018 AND ( LIMIT-TO ( LANGUAGE , "English" ) )</t>
  </si>
  <si>
    <t>Reopened Phase 5 calibration variant. Removed evaluat* from the fourth concept block because it was suspected to provide insufficient discrimination in empirical NLP literature. The revised query returned 773 records. Known-item test 1/4 FAIL: Yin, Hay &amp; Roth (2019), "Benchmarking Zero-shot Text Classification: Datasets, Evaluation and Entailment Approach", was not retrieved when the 773-record candidate set was constrained by DOI 10.18653/v1/D19-1404. A standalone Scopus DOI search independently confirmed that DOI 10.18653/v1/D19-1404 retrieves the correct Yin et al. record, confirming that the zero-result candidate-set test was a genuine search-string miss rather than a DOI/indexing problem. Under the predefined terminal acceptance rule, the narrowing was rejected immediately; no further known-item tests were required. The previous 1,117-record variant with evaluat* restored is reinstated as the final accepted B-i Scopus search.</t>
  </si>
  <si>
    <t>Frozen Strand B-i classifier-comparison search. No post-search facet filters applied. Known-item test 1/4 PASS: Yin, Hay &amp; Roth (2019), "Benchmarking zero-shot text classification: Datasets, evaluation and entailment approach" retrieved in Scopus. Known-item test 2/4 PASS: Hardalov et al. (2022), "A Survey on Stance Detection for Mis- and Disinformation Identification" retrieved in Scopus. Known-item test 3/4 PASS: Hedderich et al. (2021), "A Survey on Recent Approaches for Natural Language Processing in Low-Resource Scenarios" retrieved in Scopus. Known-item test 4/4 PASS: Schick &amp; Schütze (2021), "Exploiting cloze questions for few shot text classification and natural language inference" retrieved in Scopus. All four B-i Scopus known-item checks passed. No post-search facet filtering was applied; therefore the final database result count remains 1,124 records. Reference-manager export: scopus_strandBi_20260920.ris. Phase 5 was reopened for a prespecified recalibration test removing evaluat* from the fourth concept block. That revised query returned 773 records but failed known-item test 1/4: Yin, Hay &amp; Roth (2019) was not retrieved from the candidate set, despite an independent DOI search confirming the record is indexed in Scopus. Under the predefined terminal acceptance rule, the 773-record narrowing was rejected and this 1,124-record variant with evaluat* restored was reinstated as the final accepted B-i Scopus search. Existing year histogram, export and Zotero import reconciliation for this exact variant remain valid.</t>
  </si>
  <si>
    <t>Dropped after failed known-item coverage test.Superseded by correction dated 4 October 2026, Search Log.</t>
  </si>
  <si>
    <t>Drop IEEE Xplore for Strand A; Phase 4 not run. Superseded by correction dated 4 October 2026, Search Log.</t>
  </si>
  <si>
    <t>Stage 2 screening decisions are held in stage_2_abstract_screening_FINAL_20260927.xlsx, frozen 27 September 2026. This sheet is not the file of record.</t>
  </si>
  <si>
    <t>Basic search: ("connected vehicle*" OR "connected and automated vehicle*" OR "autonomous vehicle*" OR "automated vehicle*" OR "self-driving" OR driverless OR "automated driving" OR V2X OR "vehicle-to-everything" OR "vehicle-to-vehicle" OR "vehicle-to-infrastructure"); Search within results: privacy OR "data protection" OR "data security" OR "data sharing" OR "data collection" OR cybersecurity OR "cyber security" OR surveillance OR hacking OR security; Search within results: ("public perception*" OR "public opinion" OR "public attitude*" OR "user perception*" OR acceptance OR "risk perception" OR "social media" OR reddit OR twitter OR forum* OR discourse OR sentiment). Strings recovered 17 October 2026 from the record of the 20 September 2026 session, as supplied for entry immediately before each recorded count; confirmed by re-run on 17 October 2026: 84,356, 13,610, 452 unfiltered, 410 after the 2015–2025 year filter, 337 after the Conferences and Journals filter; screenshot ieee_strandA_rerun_20261017.png.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</si>
</sst>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sz val="10"/>
      <name val="Arial Unicode MS"/>
    </font>
    <font>
      <b/>
      <sz val="11"/>
      <name val="Carlito"/>
    </font>
    <font>
      <sz val="8"/>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0" fillId="0" borderId="0" xfId="0" applyAlignment="1">
      <alignment wrapText="1"/>
    </xf>
    <xf numFmtId="14" fontId="0" fillId="0" borderId="0" xfId="0" applyNumberFormat="1" applyAlignment="1">
      <alignment wrapText="1"/>
    </xf>
    <xf numFmtId="0" fontId="3" fillId="0" borderId="0" xfId="0" applyFont="1" applyAlignment="1">
      <alignment horizontal="center" vertical="center" wrapText="1"/>
    </xf>
    <xf numFmtId="0" fontId="0" fillId="0" borderId="0" xfId="0" applyAlignment="1">
      <alignment horizontal="right" vertical="center" wrapText="1"/>
    </xf>
    <xf numFmtId="0" fontId="3"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0" fontId="2" fillId="0" borderId="0" xfId="0" applyFont="1" applyAlignment="1">
      <alignment vertical="center" wrapText="1"/>
    </xf>
  </cellXfs>
  <cellStyles count="1">
    <cellStyle name="Normal" xfId="0" builtinId="0"/>
  </cellStyles>
  <dxfs count="10">
    <dxf>
      <font>
        <b/>
        <color rgb="FFC00000"/>
      </font>
      <fill>
        <patternFill patternType="solid">
          <bgColor rgb="FFFCE4D6"/>
        </patternFill>
      </fill>
    </dxf>
    <dxf>
      <font>
        <b/>
        <color rgb="FF375623"/>
      </font>
      <fill>
        <patternFill patternType="solid">
          <bgColor rgb="FFE2F0D9"/>
        </patternFill>
      </fil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auto="1"/>
        <name val="Carlito"/>
        <scheme val="none"/>
      </font>
      <alignment horizontal="center" vertical="center" textRotation="0" wrapText="1" indent="0" justifyLastLine="0" shrinkToFit="0" readingOrder="0"/>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archEvidenceTable" displayName="SearchEvidenceTable" ref="A1:I85" totalsRowShown="0">
  <tableColumns count="9">
    <tableColumn id="1" xr3:uid="{00000000-0010-0000-0000-000001000000}" name="Strand"/>
    <tableColumn id="2" xr3:uid="{00000000-0010-0000-0000-000002000000}" name="Database"/>
    <tableColumn id="3" xr3:uid="{00000000-0010-0000-0000-000003000000}" name="Date searched"/>
    <tableColumn id="4" xr3:uid="{00000000-0010-0000-0000-000004000000}" name="Full string as entered"/>
    <tableColumn id="5" xr3:uid="{00000000-0010-0000-0000-000005000000}" name="Filters"/>
    <tableColumn id="6" xr3:uid="{00000000-0010-0000-0000-000006000000}" name="Unfiltered hits" dataDxfId="9"/>
    <tableColumn id="7" xr3:uid="{00000000-0010-0000-0000-000007000000}" name="Filtered hits"/>
    <tableColumn id="8" xr3:uid="{00000000-0010-0000-0000-000008000000}" name="Export filename"/>
    <tableColumn id="9" xr3:uid="{00000000-0010-0000-0000-000009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KnownItemTestsTable" displayName="KnownItemTestsTable" ref="A1:H16" totalsRowShown="0">
  <tableColumns count="8">
    <tableColumn id="1" xr3:uid="{00000000-0010-0000-0100-000001000000}" name="Strand"/>
    <tableColumn id="2" xr3:uid="{00000000-0010-0000-0100-000002000000}" name="Database"/>
    <tableColumn id="3" xr3:uid="{00000000-0010-0000-0100-000003000000}" name="Known item"/>
    <tableColumn id="4" xr3:uid="{00000000-0010-0000-0100-000004000000}" name="Query used"/>
    <tableColumn id="5" xr3:uid="{00000000-0010-0000-0100-000005000000}" name="Result count"/>
    <tableColumn id="6" xr3:uid="{00000000-0010-0000-0100-000006000000}" name="Outcome"/>
    <tableColumn id="7" xr3:uid="{00000000-0010-0000-0100-000007000000}" name="Notes"/>
    <tableColumn id="8" xr3:uid="{00000000-0010-0000-0100-000008000000}" name="Database decis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haseTrackerTable" displayName="PhaseTrackerTable" ref="A1:D14" totalsRowShown="0">
  <tableColumns count="4">
    <tableColumn id="1" xr3:uid="{00000000-0010-0000-0300-000001000000}" name="Phase"/>
    <tableColumn id="2" xr3:uid="{00000000-0010-0000-0300-000002000000}" name="Phase name"/>
    <tableColumn id="5" xr3:uid="{00000000-0010-0000-0300-000005000000}" name="Status"/>
    <tableColumn id="6" xr3:uid="{00000000-0010-0000-0300-000006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clusionCodesTable" displayName="ExclusionCodesTable" ref="A1:B9" totalsRowShown="0">
  <tableColumns count="2">
    <tableColumn id="1" xr3:uid="{00000000-0010-0000-0400-000001000000}" name="Code"/>
    <tableColumn id="2" xr3:uid="{00000000-0010-0000-0400-000002000000}" name="Defini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32D94E-1919-41A4-91C4-E2E28892AA61}" name="Table6" displayName="Table6" ref="A1:E168" totalsRowShown="0" headerRowDxfId="8" dataDxfId="7">
  <autoFilter ref="A1:E168" xr:uid="{F532D94E-1919-41A4-91C4-E2E28892AA61}"/>
  <tableColumns count="5">
    <tableColumn id="1" xr3:uid="{FBBCF539-6A03-48D5-BC5B-238CB17FC136}" name="Strand" dataDxfId="6"/>
    <tableColumn id="2" xr3:uid="{2151E55A-84D6-4152-8452-BD3C38EB7C97}" name="Database" dataDxfId="5"/>
    <tableColumn id="3" xr3:uid="{C9D480E2-33E5-4E13-9DCE-DE135CBE0F2A}" name="Search variant" dataDxfId="4"/>
    <tableColumn id="4" xr3:uid="{E3FE748F-E746-41FB-BFAB-64C58641DFE8}" name="Year" dataDxfId="3"/>
    <tableColumn id="5" xr3:uid="{6EF7AF1A-F318-4556-B663-2CD344381E81}" name="Documents"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abSelected="1" topLeftCell="A9" zoomScaleNormal="100" workbookViewId="0">
      <selection activeCell="E11" sqref="E11"/>
    </sheetView>
  </sheetViews>
  <sheetFormatPr defaultRowHeight="14.25"/>
  <cols>
    <col min="1" max="1" width="10" customWidth="1"/>
    <col min="2" max="2" width="20" customWidth="1"/>
    <col min="3" max="3" width="14" customWidth="1"/>
    <col min="4" max="4" width="52" customWidth="1"/>
    <col min="5" max="5" width="28" customWidth="1"/>
    <col min="6" max="7" width="14" customWidth="1"/>
    <col min="8" max="8" width="28" customWidth="1"/>
    <col min="9" max="9" width="42" customWidth="1"/>
  </cols>
  <sheetData>
    <row r="1" spans="1:9" ht="15">
      <c r="A1" s="7" t="s">
        <v>0</v>
      </c>
      <c r="B1" s="7" t="s">
        <v>1</v>
      </c>
      <c r="C1" s="8" t="s">
        <v>2</v>
      </c>
      <c r="D1" s="9" t="s">
        <v>3</v>
      </c>
      <c r="E1" s="9" t="s">
        <v>4</v>
      </c>
      <c r="F1" s="6" t="s">
        <v>5</v>
      </c>
      <c r="G1" s="5" t="s">
        <v>6</v>
      </c>
      <c r="H1" s="7" t="s">
        <v>7</v>
      </c>
      <c r="I1" s="9" t="s">
        <v>8</v>
      </c>
    </row>
    <row r="2" spans="1:9" ht="293.25">
      <c r="A2" s="7" t="s">
        <v>14</v>
      </c>
      <c r="B2" s="7" t="s">
        <v>15</v>
      </c>
      <c r="C2" s="8">
        <v>46285</v>
      </c>
      <c r="D2" s="9" t="s">
        <v>107</v>
      </c>
      <c r="E2" s="9" t="s">
        <v>108</v>
      </c>
      <c r="F2" s="5">
        <v>2935</v>
      </c>
      <c r="G2" s="5"/>
      <c r="H2" s="7"/>
      <c r="I2" s="9" t="s">
        <v>114</v>
      </c>
    </row>
    <row r="3" spans="1:9" ht="293.25">
      <c r="A3" s="7" t="s">
        <v>14</v>
      </c>
      <c r="B3" s="7" t="s">
        <v>15</v>
      </c>
      <c r="C3" s="8">
        <v>46285</v>
      </c>
      <c r="D3" s="9" t="s">
        <v>109</v>
      </c>
      <c r="E3" s="9" t="s">
        <v>108</v>
      </c>
      <c r="F3" s="5">
        <v>2088</v>
      </c>
      <c r="G3" s="5"/>
      <c r="H3" s="7"/>
      <c r="I3" s="9" t="s">
        <v>115</v>
      </c>
    </row>
    <row r="4" spans="1:9" ht="280.5">
      <c r="A4" s="7" t="s">
        <v>14</v>
      </c>
      <c r="B4" s="7" t="s">
        <v>15</v>
      </c>
      <c r="C4" s="8">
        <v>46285</v>
      </c>
      <c r="D4" s="9" t="s">
        <v>110</v>
      </c>
      <c r="E4" s="9" t="s">
        <v>108</v>
      </c>
      <c r="F4" s="5">
        <v>550</v>
      </c>
      <c r="G4" s="5"/>
      <c r="H4" s="7"/>
      <c r="I4" s="9" t="s">
        <v>116</v>
      </c>
    </row>
    <row r="5" spans="1:9" ht="242.25">
      <c r="A5" s="7" t="s">
        <v>14</v>
      </c>
      <c r="B5" s="7" t="s">
        <v>15</v>
      </c>
      <c r="C5" s="8">
        <v>46285</v>
      </c>
      <c r="D5" s="9" t="s">
        <v>117</v>
      </c>
      <c r="E5" s="9" t="s">
        <v>118</v>
      </c>
      <c r="F5" s="5">
        <v>3670</v>
      </c>
      <c r="G5" s="5"/>
      <c r="H5" s="7"/>
      <c r="I5" s="9" t="s">
        <v>119</v>
      </c>
    </row>
    <row r="6" spans="1:9" ht="140.25">
      <c r="A6" s="7" t="s">
        <v>14</v>
      </c>
      <c r="B6" s="7" t="s">
        <v>15</v>
      </c>
      <c r="C6" s="8">
        <v>46285</v>
      </c>
      <c r="D6" s="9" t="s">
        <v>120</v>
      </c>
      <c r="E6" s="9" t="s">
        <v>118</v>
      </c>
      <c r="F6" s="5">
        <v>2622</v>
      </c>
      <c r="G6" s="5"/>
      <c r="H6" s="7"/>
      <c r="I6" s="9" t="s">
        <v>121</v>
      </c>
    </row>
    <row r="7" spans="1:9" ht="140.25">
      <c r="A7" s="7" t="s">
        <v>14</v>
      </c>
      <c r="B7" s="7" t="s">
        <v>15</v>
      </c>
      <c r="C7" s="8">
        <v>46285</v>
      </c>
      <c r="D7" s="9" t="s">
        <v>122</v>
      </c>
      <c r="E7" s="9" t="s">
        <v>118</v>
      </c>
      <c r="F7" s="5">
        <v>735</v>
      </c>
      <c r="G7" s="5"/>
      <c r="H7" s="7"/>
      <c r="I7" s="9" t="s">
        <v>125</v>
      </c>
    </row>
    <row r="8" spans="1:9" ht="140.25">
      <c r="A8" s="7" t="s">
        <v>14</v>
      </c>
      <c r="B8" s="7" t="s">
        <v>15</v>
      </c>
      <c r="C8" s="8">
        <v>46285</v>
      </c>
      <c r="D8" s="9" t="s">
        <v>122</v>
      </c>
      <c r="E8" s="9" t="s">
        <v>126</v>
      </c>
      <c r="F8" s="5">
        <v>735</v>
      </c>
      <c r="G8" s="5">
        <v>621</v>
      </c>
      <c r="H8" s="7"/>
      <c r="I8" s="9" t="s">
        <v>127</v>
      </c>
    </row>
    <row r="9" spans="1:9" ht="140.25">
      <c r="A9" s="7" t="s">
        <v>14</v>
      </c>
      <c r="B9" s="7" t="s">
        <v>15</v>
      </c>
      <c r="C9" s="8">
        <v>46285</v>
      </c>
      <c r="D9" s="9" t="s">
        <v>122</v>
      </c>
      <c r="E9" s="9" t="s">
        <v>128</v>
      </c>
      <c r="F9" s="5">
        <v>735</v>
      </c>
      <c r="G9" s="5">
        <v>605</v>
      </c>
      <c r="H9" s="7"/>
      <c r="I9" s="9" t="s">
        <v>129</v>
      </c>
    </row>
    <row r="10" spans="1:9" ht="140.25">
      <c r="A10" s="7" t="s">
        <v>14</v>
      </c>
      <c r="B10" s="7" t="s">
        <v>15</v>
      </c>
      <c r="C10" s="8">
        <v>46285</v>
      </c>
      <c r="D10" s="9" t="s">
        <v>122</v>
      </c>
      <c r="E10" s="9" t="s">
        <v>130</v>
      </c>
      <c r="F10" s="5">
        <v>735</v>
      </c>
      <c r="G10" s="5">
        <v>476</v>
      </c>
      <c r="H10" s="7" t="s">
        <v>131</v>
      </c>
      <c r="I10" s="9" t="s">
        <v>132</v>
      </c>
    </row>
    <row r="11" spans="1:9" ht="204">
      <c r="A11" s="7" t="s">
        <v>14</v>
      </c>
      <c r="B11" s="7" t="s">
        <v>51</v>
      </c>
      <c r="C11" s="8">
        <v>46285</v>
      </c>
      <c r="D11" s="9" t="s">
        <v>189</v>
      </c>
      <c r="E11" s="9"/>
      <c r="F11" s="5"/>
      <c r="G11" s="5"/>
      <c r="H11" s="7"/>
      <c r="I11" s="9" t="s">
        <v>133</v>
      </c>
    </row>
    <row r="12" spans="1:9" ht="304.5">
      <c r="A12" s="7" t="s">
        <v>14</v>
      </c>
      <c r="B12" s="7" t="s">
        <v>51</v>
      </c>
      <c r="C12" s="8">
        <v>46285</v>
      </c>
      <c r="D12" s="9" t="s">
        <v>134</v>
      </c>
      <c r="E12" s="9" t="s">
        <v>135</v>
      </c>
      <c r="F12" s="5">
        <v>451</v>
      </c>
      <c r="G12" s="5">
        <v>336</v>
      </c>
      <c r="H12" s="7" t="s">
        <v>136</v>
      </c>
      <c r="I12" s="9" t="s">
        <v>138</v>
      </c>
    </row>
    <row r="13" spans="1:9" ht="395.25">
      <c r="A13" s="7" t="s">
        <v>26</v>
      </c>
      <c r="B13" s="7" t="s">
        <v>15</v>
      </c>
      <c r="C13" s="8">
        <v>46285</v>
      </c>
      <c r="D13" s="9" t="s">
        <v>139</v>
      </c>
      <c r="E13" t="s">
        <v>141</v>
      </c>
      <c r="F13" s="5">
        <v>1124</v>
      </c>
      <c r="G13" s="5">
        <v>1124</v>
      </c>
      <c r="H13" t="s">
        <v>142</v>
      </c>
      <c r="I13" s="9" t="s">
        <v>185</v>
      </c>
    </row>
    <row r="14" spans="1:9" ht="89.25">
      <c r="A14" s="7" t="s">
        <v>38</v>
      </c>
      <c r="B14" s="7" t="s">
        <v>15</v>
      </c>
      <c r="C14" s="8">
        <v>46285</v>
      </c>
      <c r="D14" s="9" t="s">
        <v>143</v>
      </c>
      <c r="E14" t="s">
        <v>144</v>
      </c>
      <c r="F14" s="5">
        <v>8850</v>
      </c>
      <c r="G14" s="5"/>
      <c r="I14" s="9" t="s">
        <v>145</v>
      </c>
    </row>
    <row r="15" spans="1:9" ht="102">
      <c r="A15" s="7" t="s">
        <v>38</v>
      </c>
      <c r="B15" s="7" t="s">
        <v>15</v>
      </c>
      <c r="C15" s="8">
        <v>46285</v>
      </c>
      <c r="D15" s="9" t="s">
        <v>146</v>
      </c>
      <c r="E15" t="s">
        <v>144</v>
      </c>
      <c r="F15" s="5">
        <v>3590</v>
      </c>
      <c r="G15" s="5"/>
      <c r="I15" s="9" t="s">
        <v>147</v>
      </c>
    </row>
    <row r="16" spans="1:9" ht="114.75">
      <c r="A16" s="7" t="s">
        <v>38</v>
      </c>
      <c r="B16" s="7" t="s">
        <v>15</v>
      </c>
      <c r="C16" s="8">
        <v>46285</v>
      </c>
      <c r="D16" s="9" t="s">
        <v>148</v>
      </c>
      <c r="E16" t="s">
        <v>149</v>
      </c>
      <c r="F16" s="5">
        <v>1980</v>
      </c>
      <c r="G16" s="5"/>
      <c r="I16" s="9" t="s">
        <v>150</v>
      </c>
    </row>
    <row r="17" spans="1:9" ht="395.25">
      <c r="A17" s="7" t="s">
        <v>38</v>
      </c>
      <c r="B17" s="7" t="s">
        <v>15</v>
      </c>
      <c r="C17" s="8">
        <v>46285</v>
      </c>
      <c r="D17" s="9" t="s">
        <v>151</v>
      </c>
      <c r="E17" t="s">
        <v>152</v>
      </c>
      <c r="F17" s="5">
        <v>2131</v>
      </c>
      <c r="G17" s="5">
        <v>2131</v>
      </c>
      <c r="H17" t="s">
        <v>155</v>
      </c>
      <c r="I17" s="9" t="s">
        <v>156</v>
      </c>
    </row>
    <row r="18" spans="1:9" ht="102">
      <c r="A18" s="7" t="s">
        <v>38</v>
      </c>
      <c r="B18" s="7" t="s">
        <v>15</v>
      </c>
      <c r="C18" s="8">
        <v>46285</v>
      </c>
      <c r="D18" s="9" t="s">
        <v>151</v>
      </c>
      <c r="E18" t="s">
        <v>153</v>
      </c>
      <c r="F18" s="5">
        <v>2131</v>
      </c>
      <c r="G18" s="5">
        <v>1067</v>
      </c>
      <c r="I18" s="9" t="s">
        <v>154</v>
      </c>
    </row>
    <row r="19" spans="1:9" ht="114">
      <c r="A19" s="2" t="s">
        <v>38</v>
      </c>
      <c r="B19" s="2" t="s">
        <v>157</v>
      </c>
      <c r="C19" s="3">
        <v>46285</v>
      </c>
      <c r="D19" s="2" t="s">
        <v>158</v>
      </c>
      <c r="E19" s="2" t="s">
        <v>159</v>
      </c>
      <c r="F19" s="2">
        <v>1303</v>
      </c>
      <c r="G19" s="2"/>
      <c r="H19" s="2"/>
      <c r="I19" s="2" t="s">
        <v>160</v>
      </c>
    </row>
    <row r="20" spans="1:9" ht="370.5">
      <c r="A20" s="2" t="s">
        <v>38</v>
      </c>
      <c r="B20" s="2" t="s">
        <v>157</v>
      </c>
      <c r="C20" s="3">
        <v>46285</v>
      </c>
      <c r="D20" s="2" t="s">
        <v>158</v>
      </c>
      <c r="E20" s="2" t="s">
        <v>161</v>
      </c>
      <c r="F20" s="2">
        <v>5071</v>
      </c>
      <c r="G20" s="2"/>
      <c r="H20" s="2"/>
      <c r="I20" s="2" t="s">
        <v>164</v>
      </c>
    </row>
    <row r="21" spans="1:9" ht="142.5">
      <c r="A21" s="2" t="s">
        <v>38</v>
      </c>
      <c r="B21" s="2" t="s">
        <v>157</v>
      </c>
      <c r="C21" s="3">
        <v>46285</v>
      </c>
      <c r="D21" s="2" t="s">
        <v>162</v>
      </c>
      <c r="E21" s="2" t="s">
        <v>161</v>
      </c>
      <c r="F21" s="2">
        <v>7961</v>
      </c>
      <c r="G21" s="2"/>
      <c r="H21" s="2"/>
      <c r="I21" s="2" t="s">
        <v>163</v>
      </c>
    </row>
    <row r="22" spans="1:9" ht="327.75">
      <c r="A22" s="2" t="s">
        <v>38</v>
      </c>
      <c r="B22" s="2" t="s">
        <v>157</v>
      </c>
      <c r="C22" s="3">
        <v>46285</v>
      </c>
      <c r="D22" s="2" t="s">
        <v>165</v>
      </c>
      <c r="E22" s="2" t="s">
        <v>166</v>
      </c>
      <c r="F22" s="2">
        <v>118</v>
      </c>
      <c r="G22" s="2">
        <v>118</v>
      </c>
      <c r="H22" s="2"/>
      <c r="I22" s="2" t="s">
        <v>167</v>
      </c>
    </row>
    <row r="23" spans="1:9" ht="409.5">
      <c r="A23" s="2" t="s">
        <v>26</v>
      </c>
      <c r="B23" s="2" t="s">
        <v>168</v>
      </c>
      <c r="C23" s="3">
        <v>46286</v>
      </c>
      <c r="D23" s="2" t="s">
        <v>169</v>
      </c>
      <c r="E23" s="2" t="s">
        <v>170</v>
      </c>
      <c r="F23" s="2">
        <v>301</v>
      </c>
      <c r="G23" s="2"/>
      <c r="H23" s="2"/>
      <c r="I23" s="2" t="s">
        <v>171</v>
      </c>
    </row>
    <row r="24" spans="1:9" ht="327.75">
      <c r="A24" s="2" t="s">
        <v>38</v>
      </c>
      <c r="B24" s="2" t="s">
        <v>168</v>
      </c>
      <c r="C24" s="3">
        <v>46286</v>
      </c>
      <c r="D24" s="2" t="s">
        <v>172</v>
      </c>
      <c r="E24" s="2" t="s">
        <v>173</v>
      </c>
      <c r="F24" s="2">
        <v>449</v>
      </c>
      <c r="G24" s="2"/>
      <c r="H24" s="2"/>
      <c r="I24" s="2" t="s">
        <v>174</v>
      </c>
    </row>
    <row r="25" spans="1:9" ht="270.75">
      <c r="A25" s="2" t="s">
        <v>38</v>
      </c>
      <c r="B25" s="2" t="s">
        <v>15</v>
      </c>
      <c r="C25" s="3">
        <v>46286</v>
      </c>
      <c r="D25" s="2" t="s">
        <v>176</v>
      </c>
      <c r="E25" s="2" t="s">
        <v>177</v>
      </c>
      <c r="F25" s="2">
        <v>1981</v>
      </c>
      <c r="G25" s="2"/>
      <c r="H25" t="s">
        <v>181</v>
      </c>
      <c r="I25" s="2" t="s">
        <v>182</v>
      </c>
    </row>
    <row r="26" spans="1:9" ht="171">
      <c r="A26" s="2" t="s">
        <v>38</v>
      </c>
      <c r="B26" s="2" t="s">
        <v>15</v>
      </c>
      <c r="C26" s="3">
        <v>46286</v>
      </c>
      <c r="D26" s="2" t="s">
        <v>176</v>
      </c>
      <c r="E26" s="2" t="s">
        <v>178</v>
      </c>
      <c r="F26" s="2">
        <v>1981</v>
      </c>
      <c r="G26" s="2">
        <v>978</v>
      </c>
      <c r="H26" s="2"/>
      <c r="I26" s="2" t="s">
        <v>179</v>
      </c>
    </row>
    <row r="27" spans="1:9" ht="313.5">
      <c r="A27" s="2" t="s">
        <v>26</v>
      </c>
      <c r="B27" s="2" t="s">
        <v>15</v>
      </c>
      <c r="C27" s="3">
        <v>46286</v>
      </c>
      <c r="D27" s="2" t="s">
        <v>183</v>
      </c>
      <c r="E27" s="2" t="s">
        <v>140</v>
      </c>
      <c r="F27" s="2">
        <v>773</v>
      </c>
      <c r="G27" s="2"/>
      <c r="H27" s="2"/>
      <c r="I27" s="2" t="s">
        <v>184</v>
      </c>
    </row>
    <row r="28" spans="1:9">
      <c r="A28" s="2"/>
      <c r="B28" s="2"/>
      <c r="C28" s="2"/>
      <c r="D28" s="2"/>
      <c r="E28" s="2"/>
      <c r="F28" s="2"/>
      <c r="G28" s="2"/>
      <c r="H28" s="2"/>
      <c r="I28" s="2"/>
    </row>
    <row r="29" spans="1:9">
      <c r="A29" s="2"/>
      <c r="B29" s="2"/>
      <c r="C29" s="2"/>
      <c r="D29" s="2"/>
      <c r="E29" s="2"/>
      <c r="F29" s="2"/>
      <c r="G29" s="2"/>
      <c r="H29" s="2"/>
      <c r="I29" s="2"/>
    </row>
    <row r="30" spans="1:9">
      <c r="A30" s="2"/>
      <c r="B30" s="2"/>
      <c r="C30" s="2"/>
      <c r="D30" s="2"/>
      <c r="E30" s="2"/>
      <c r="F30" s="2"/>
      <c r="G30" s="2"/>
      <c r="H30" s="2"/>
      <c r="I30" s="2"/>
    </row>
    <row r="31" spans="1:9">
      <c r="A31" s="2"/>
      <c r="B31" s="2"/>
      <c r="C31" s="2"/>
      <c r="D31" s="2"/>
      <c r="E31" s="2"/>
      <c r="F31" s="2"/>
      <c r="G31" s="2"/>
      <c r="H31" s="2"/>
      <c r="I31" s="2"/>
    </row>
    <row r="32" spans="1:9">
      <c r="A32" s="2"/>
      <c r="B32" s="2"/>
      <c r="C32" s="2"/>
      <c r="D32" s="2"/>
      <c r="E32" s="2"/>
      <c r="F32" s="2"/>
      <c r="G32" s="2"/>
      <c r="H32" s="2"/>
      <c r="I32" s="2"/>
    </row>
    <row r="33" spans="1:9">
      <c r="A33" s="2"/>
      <c r="B33" s="2"/>
      <c r="C33" s="2"/>
      <c r="D33" s="2"/>
      <c r="E33" s="2"/>
      <c r="F33" s="2"/>
      <c r="G33" s="2"/>
      <c r="H33" s="2"/>
      <c r="I33" s="2"/>
    </row>
    <row r="34" spans="1:9">
      <c r="A34" s="2"/>
      <c r="B34" s="2"/>
      <c r="C34" s="2"/>
      <c r="D34" s="2"/>
      <c r="E34" s="2"/>
      <c r="F34" s="2"/>
      <c r="G34" s="2"/>
      <c r="H34" s="2"/>
      <c r="I34" s="2"/>
    </row>
    <row r="35" spans="1:9">
      <c r="A35" s="2"/>
      <c r="B35" s="2"/>
      <c r="C35" s="2"/>
      <c r="D35" s="2"/>
      <c r="E35" s="2"/>
      <c r="F35" s="2"/>
      <c r="G35" s="2"/>
      <c r="H35" s="2"/>
      <c r="I35" s="2"/>
    </row>
    <row r="36" spans="1:9">
      <c r="A36" s="2"/>
      <c r="B36" s="2"/>
      <c r="C36" s="2"/>
      <c r="D36" s="2"/>
      <c r="E36" s="2"/>
      <c r="F36" s="2"/>
      <c r="G36" s="2"/>
      <c r="H36" s="2"/>
      <c r="I36" s="2"/>
    </row>
    <row r="37" spans="1:9">
      <c r="A37" s="2"/>
      <c r="B37" s="2"/>
      <c r="C37" s="2"/>
      <c r="D37" s="2"/>
      <c r="E37" s="2"/>
      <c r="F37" s="2"/>
      <c r="G37" s="2"/>
      <c r="H37" s="2"/>
      <c r="I37" s="2"/>
    </row>
    <row r="38" spans="1:9">
      <c r="A38" s="2"/>
      <c r="B38" s="2"/>
      <c r="C38" s="2"/>
      <c r="D38" s="2"/>
      <c r="E38" s="2"/>
      <c r="F38" s="2"/>
      <c r="G38" s="2"/>
      <c r="H38" s="2"/>
      <c r="I38" s="2"/>
    </row>
    <row r="39" spans="1:9">
      <c r="A39" s="2"/>
      <c r="B39" s="2"/>
      <c r="C39" s="2"/>
      <c r="D39" s="2"/>
      <c r="E39" s="2"/>
      <c r="F39" s="2"/>
      <c r="G39" s="2"/>
      <c r="H39" s="2"/>
      <c r="I39" s="2"/>
    </row>
    <row r="40" spans="1:9">
      <c r="A40" s="2"/>
      <c r="B40" s="2"/>
      <c r="C40" s="2"/>
      <c r="D40" s="2"/>
      <c r="E40" s="2"/>
      <c r="F40" s="2"/>
      <c r="G40" s="2"/>
      <c r="H40" s="2"/>
      <c r="I40" s="2"/>
    </row>
    <row r="41" spans="1:9">
      <c r="A41" s="2"/>
      <c r="B41" s="2"/>
      <c r="C41" s="2"/>
      <c r="D41" s="2"/>
      <c r="E41" s="2"/>
      <c r="F41" s="2"/>
      <c r="G41" s="2"/>
      <c r="H41" s="2"/>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row r="61" spans="1:9">
      <c r="A61" s="2"/>
      <c r="B61" s="2"/>
      <c r="C61" s="2"/>
      <c r="D61" s="2"/>
      <c r="E61" s="2"/>
      <c r="F61" s="2"/>
      <c r="G61" s="2"/>
      <c r="H61" s="2"/>
      <c r="I61" s="2"/>
    </row>
    <row r="62" spans="1:9">
      <c r="A62" s="2"/>
      <c r="B62" s="2"/>
      <c r="C62" s="2"/>
      <c r="D62" s="2"/>
      <c r="E62" s="2"/>
      <c r="F62" s="2"/>
      <c r="G62" s="2"/>
      <c r="H62" s="2"/>
      <c r="I62" s="2"/>
    </row>
    <row r="63" spans="1:9">
      <c r="A63" s="2"/>
      <c r="B63" s="2"/>
      <c r="C63" s="2"/>
      <c r="D63" s="2"/>
      <c r="E63" s="2"/>
      <c r="F63" s="2"/>
      <c r="G63" s="2"/>
      <c r="H63" s="2"/>
      <c r="I63" s="2"/>
    </row>
    <row r="64" spans="1:9">
      <c r="A64" s="2"/>
      <c r="B64" s="2"/>
      <c r="C64" s="2"/>
      <c r="D64" s="2"/>
      <c r="E64" s="2"/>
      <c r="F64" s="2"/>
      <c r="G64" s="2"/>
      <c r="H64" s="2"/>
      <c r="I64" s="2"/>
    </row>
    <row r="65" spans="1:9">
      <c r="A65" s="2"/>
      <c r="B65" s="2"/>
      <c r="C65" s="2"/>
      <c r="D65" s="2"/>
      <c r="E65" s="2"/>
      <c r="F65" s="2"/>
      <c r="G65" s="2"/>
      <c r="H65" s="2"/>
      <c r="I65" s="2"/>
    </row>
    <row r="66" spans="1:9">
      <c r="A66" s="2"/>
      <c r="B66" s="2"/>
      <c r="C66" s="2"/>
      <c r="D66" s="2"/>
      <c r="E66" s="2"/>
      <c r="F66" s="2"/>
      <c r="G66" s="2"/>
      <c r="H66" s="2"/>
      <c r="I66" s="2"/>
    </row>
    <row r="67" spans="1:9">
      <c r="A67" s="2"/>
      <c r="B67" s="2"/>
      <c r="C67" s="2"/>
      <c r="D67" s="2"/>
      <c r="E67" s="2"/>
      <c r="F67" s="2"/>
      <c r="G67" s="2"/>
      <c r="H67" s="2"/>
      <c r="I67" s="2"/>
    </row>
    <row r="68" spans="1:9">
      <c r="A68" s="2"/>
      <c r="B68" s="2"/>
      <c r="C68" s="2"/>
      <c r="D68" s="2"/>
      <c r="E68" s="2"/>
      <c r="F68" s="2"/>
      <c r="G68" s="2"/>
      <c r="H68" s="2"/>
      <c r="I68" s="2"/>
    </row>
    <row r="69" spans="1:9">
      <c r="A69" s="2"/>
      <c r="B69" s="2"/>
      <c r="C69" s="2"/>
      <c r="D69" s="2"/>
      <c r="E69" s="2"/>
      <c r="F69" s="2"/>
      <c r="G69" s="2"/>
      <c r="H69" s="2"/>
      <c r="I69" s="2"/>
    </row>
    <row r="70" spans="1:9">
      <c r="A70" s="2"/>
      <c r="B70" s="2"/>
      <c r="C70" s="2"/>
      <c r="D70" s="2"/>
      <c r="E70" s="2"/>
      <c r="F70" s="2"/>
      <c r="G70" s="2"/>
      <c r="H70" s="2"/>
      <c r="I70" s="2"/>
    </row>
    <row r="71" spans="1:9">
      <c r="A71" s="2"/>
      <c r="B71" s="2"/>
      <c r="C71" s="2"/>
      <c r="D71" s="2"/>
      <c r="E71" s="2"/>
      <c r="F71" s="2"/>
      <c r="G71" s="2"/>
      <c r="H71" s="2"/>
      <c r="I71" s="2"/>
    </row>
    <row r="72" spans="1:9">
      <c r="A72" s="2"/>
      <c r="B72" s="2"/>
      <c r="C72" s="2"/>
      <c r="D72" s="2"/>
      <c r="E72" s="2"/>
      <c r="F72" s="2"/>
      <c r="G72" s="2"/>
      <c r="H72" s="2"/>
      <c r="I72" s="2"/>
    </row>
    <row r="73" spans="1:9">
      <c r="A73" s="2"/>
      <c r="B73" s="2"/>
      <c r="C73" s="2"/>
      <c r="D73" s="2"/>
      <c r="E73" s="2"/>
      <c r="F73" s="2"/>
      <c r="G73" s="2"/>
      <c r="H73" s="2"/>
      <c r="I73" s="2"/>
    </row>
    <row r="74" spans="1:9">
      <c r="A74" s="2"/>
      <c r="B74" s="2"/>
      <c r="C74" s="2"/>
      <c r="D74" s="2"/>
      <c r="E74" s="2"/>
      <c r="F74" s="2"/>
      <c r="G74" s="2"/>
      <c r="H74" s="2"/>
      <c r="I74" s="2"/>
    </row>
    <row r="75" spans="1:9">
      <c r="A75" s="2"/>
      <c r="B75" s="2"/>
      <c r="C75" s="2"/>
      <c r="D75" s="2"/>
      <c r="E75" s="2"/>
      <c r="F75" s="2"/>
      <c r="G75" s="2"/>
      <c r="H75" s="2"/>
      <c r="I75" s="2"/>
    </row>
    <row r="76" spans="1:9">
      <c r="A76" s="2"/>
      <c r="B76" s="2"/>
      <c r="C76" s="2"/>
      <c r="D76" s="2"/>
      <c r="E76" s="2"/>
      <c r="F76" s="2"/>
      <c r="G76" s="2"/>
      <c r="H76" s="2"/>
      <c r="I76" s="2"/>
    </row>
    <row r="77" spans="1:9">
      <c r="A77" s="2"/>
      <c r="B77" s="2"/>
      <c r="C77" s="2"/>
      <c r="D77" s="2"/>
      <c r="E77" s="2"/>
      <c r="F77" s="2"/>
      <c r="G77" s="2"/>
      <c r="H77" s="2"/>
      <c r="I77" s="2"/>
    </row>
    <row r="78" spans="1:9">
      <c r="A78" s="2"/>
      <c r="B78" s="2"/>
      <c r="C78" s="2"/>
      <c r="D78" s="2"/>
      <c r="E78" s="2"/>
      <c r="F78" s="2"/>
      <c r="G78" s="2"/>
      <c r="H78" s="2"/>
      <c r="I78" s="2"/>
    </row>
    <row r="79" spans="1:9">
      <c r="A79" s="2"/>
      <c r="B79" s="2"/>
      <c r="C79" s="2"/>
      <c r="D79" s="2"/>
      <c r="E79" s="2"/>
      <c r="F79" s="2"/>
      <c r="G79" s="2"/>
      <c r="H79" s="2"/>
      <c r="I79" s="2"/>
    </row>
    <row r="80" spans="1:9">
      <c r="A80" s="2"/>
      <c r="B80" s="2"/>
      <c r="C80" s="2"/>
      <c r="D80" s="2"/>
      <c r="E80" s="2"/>
      <c r="F80" s="2"/>
      <c r="G80" s="2"/>
      <c r="H80" s="2"/>
      <c r="I80" s="2"/>
    </row>
    <row r="81" spans="1:9">
      <c r="A81" s="2"/>
      <c r="B81" s="2"/>
      <c r="C81" s="2"/>
      <c r="D81" s="2"/>
      <c r="E81" s="2"/>
      <c r="F81" s="2"/>
      <c r="G81" s="2"/>
      <c r="H81" s="2"/>
      <c r="I81" s="2"/>
    </row>
    <row r="82" spans="1:9">
      <c r="A82" s="2"/>
      <c r="B82" s="2"/>
      <c r="C82" s="2"/>
      <c r="D82" s="2"/>
      <c r="E82" s="2"/>
      <c r="F82" s="2"/>
      <c r="G82" s="2"/>
      <c r="H82" s="2"/>
      <c r="I82" s="2"/>
    </row>
    <row r="83" spans="1:9">
      <c r="A83" s="2"/>
      <c r="B83" s="2"/>
      <c r="C83" s="2"/>
      <c r="D83" s="2"/>
      <c r="E83" s="2"/>
      <c r="F83" s="2"/>
      <c r="G83" s="2"/>
      <c r="H83" s="2"/>
      <c r="I83" s="2"/>
    </row>
    <row r="84" spans="1:9">
      <c r="A84" s="2"/>
      <c r="B84" s="2"/>
      <c r="C84" s="2"/>
      <c r="D84" s="2"/>
      <c r="E84" s="2"/>
      <c r="F84" s="2"/>
      <c r="G84" s="2"/>
      <c r="H84" s="2"/>
      <c r="I84" s="2"/>
    </row>
    <row r="85" spans="1:9">
      <c r="A85" s="2"/>
      <c r="B85" s="2"/>
      <c r="C85" s="2"/>
      <c r="D85" s="2"/>
      <c r="E85" s="2"/>
      <c r="F85" s="2"/>
      <c r="G85" s="2"/>
      <c r="H85" s="2"/>
      <c r="I85" s="2"/>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workbookViewId="0">
      <selection activeCell="H16" sqref="A2:H16"/>
    </sheetView>
  </sheetViews>
  <sheetFormatPr defaultRowHeight="14.25"/>
  <cols>
    <col min="1" max="1" width="9" customWidth="1"/>
    <col min="2" max="2" width="30" customWidth="1"/>
    <col min="3" max="3" width="32" customWidth="1"/>
    <col min="4" max="4" width="60" customWidth="1"/>
    <col min="5" max="5" width="14" customWidth="1"/>
    <col min="6" max="6" width="24" customWidth="1"/>
    <col min="7" max="7" width="62" customWidth="1"/>
    <col min="8" max="8" width="42" customWidth="1"/>
  </cols>
  <sheetData>
    <row r="1" spans="1:8" ht="15">
      <c r="A1" s="1" t="s">
        <v>0</v>
      </c>
      <c r="B1" s="1" t="s">
        <v>1</v>
      </c>
      <c r="C1" s="1" t="s">
        <v>9</v>
      </c>
      <c r="D1" s="1" t="s">
        <v>10</v>
      </c>
      <c r="E1" s="1" t="s">
        <v>11</v>
      </c>
      <c r="F1" s="1" t="s">
        <v>12</v>
      </c>
      <c r="G1" s="1" t="s">
        <v>8</v>
      </c>
      <c r="H1" s="1" t="s">
        <v>13</v>
      </c>
    </row>
    <row r="2" spans="1:8" ht="29.25">
      <c r="A2" s="2" t="s">
        <v>14</v>
      </c>
      <c r="B2" s="2" t="s">
        <v>15</v>
      </c>
      <c r="C2" s="2" t="s">
        <v>16</v>
      </c>
      <c r="D2" s="2" t="s">
        <v>17</v>
      </c>
      <c r="E2" s="2">
        <v>5</v>
      </c>
      <c r="F2" s="2" t="s">
        <v>18</v>
      </c>
      <c r="G2" s="2" t="s">
        <v>19</v>
      </c>
      <c r="H2" s="2" t="s">
        <v>20</v>
      </c>
    </row>
    <row r="3" spans="1:8" ht="15">
      <c r="A3" s="2" t="s">
        <v>14</v>
      </c>
      <c r="B3" s="2" t="s">
        <v>15</v>
      </c>
      <c r="C3" s="2" t="s">
        <v>21</v>
      </c>
      <c r="D3" s="2" t="s">
        <v>22</v>
      </c>
      <c r="E3" s="2">
        <v>53</v>
      </c>
      <c r="F3" s="2" t="s">
        <v>18</v>
      </c>
      <c r="G3" s="2" t="s">
        <v>23</v>
      </c>
      <c r="H3" s="2" t="s">
        <v>20</v>
      </c>
    </row>
    <row r="4" spans="1:8" ht="15">
      <c r="A4" s="2" t="s">
        <v>14</v>
      </c>
      <c r="B4" s="2" t="s">
        <v>15</v>
      </c>
      <c r="C4" s="2" t="s">
        <v>24</v>
      </c>
      <c r="D4" s="2" t="s">
        <v>25</v>
      </c>
      <c r="E4" s="2">
        <v>1</v>
      </c>
      <c r="F4" s="2" t="s">
        <v>18</v>
      </c>
      <c r="G4" s="2" t="s">
        <v>23</v>
      </c>
      <c r="H4" s="2" t="s">
        <v>20</v>
      </c>
    </row>
    <row r="5" spans="1:8" ht="29.25">
      <c r="A5" s="2" t="s">
        <v>26</v>
      </c>
      <c r="B5" s="2" t="s">
        <v>15</v>
      </c>
      <c r="C5" s="2" t="s">
        <v>27</v>
      </c>
      <c r="D5" s="2" t="s">
        <v>28</v>
      </c>
      <c r="E5" s="2"/>
      <c r="F5" s="2" t="s">
        <v>18</v>
      </c>
      <c r="G5" s="2" t="s">
        <v>29</v>
      </c>
      <c r="H5" s="2" t="s">
        <v>30</v>
      </c>
    </row>
    <row r="6" spans="1:8" ht="15">
      <c r="A6" s="2" t="s">
        <v>26</v>
      </c>
      <c r="B6" s="2" t="s">
        <v>15</v>
      </c>
      <c r="C6" s="2" t="s">
        <v>31</v>
      </c>
      <c r="D6" s="2" t="s">
        <v>32</v>
      </c>
      <c r="E6" s="2">
        <v>1</v>
      </c>
      <c r="F6" s="2" t="s">
        <v>18</v>
      </c>
      <c r="G6" s="2" t="s">
        <v>23</v>
      </c>
      <c r="H6" s="2" t="s">
        <v>30</v>
      </c>
    </row>
    <row r="7" spans="1:8" ht="29.25">
      <c r="A7" s="2" t="s">
        <v>26</v>
      </c>
      <c r="B7" s="2" t="s">
        <v>15</v>
      </c>
      <c r="C7" s="2" t="s">
        <v>33</v>
      </c>
      <c r="D7" s="2" t="s">
        <v>34</v>
      </c>
      <c r="E7" s="2">
        <v>2</v>
      </c>
      <c r="F7" s="2" t="s">
        <v>18</v>
      </c>
      <c r="G7" s="2" t="s">
        <v>23</v>
      </c>
      <c r="H7" s="2" t="s">
        <v>30</v>
      </c>
    </row>
    <row r="8" spans="1:8" ht="29.25">
      <c r="A8" s="2" t="s">
        <v>26</v>
      </c>
      <c r="B8" s="2" t="s">
        <v>15</v>
      </c>
      <c r="C8" s="2" t="s">
        <v>35</v>
      </c>
      <c r="D8" s="2" t="s">
        <v>36</v>
      </c>
      <c r="E8" s="2">
        <v>1</v>
      </c>
      <c r="F8" s="2" t="s">
        <v>18</v>
      </c>
      <c r="G8" s="2" t="s">
        <v>37</v>
      </c>
      <c r="H8" s="2" t="s">
        <v>30</v>
      </c>
    </row>
    <row r="9" spans="1:8" ht="29.25">
      <c r="A9" s="2" t="s">
        <v>38</v>
      </c>
      <c r="B9" s="2" t="s">
        <v>15</v>
      </c>
      <c r="C9" s="2" t="s">
        <v>39</v>
      </c>
      <c r="D9" s="2" t="s">
        <v>40</v>
      </c>
      <c r="E9" s="2">
        <v>1</v>
      </c>
      <c r="F9" s="2" t="s">
        <v>18</v>
      </c>
      <c r="G9" s="2" t="s">
        <v>41</v>
      </c>
      <c r="H9" s="2" t="s">
        <v>42</v>
      </c>
    </row>
    <row r="10" spans="1:8" ht="29.25">
      <c r="A10" s="2" t="s">
        <v>38</v>
      </c>
      <c r="B10" s="2" t="s">
        <v>15</v>
      </c>
      <c r="C10" s="2" t="s">
        <v>43</v>
      </c>
      <c r="D10" s="2" t="s">
        <v>44</v>
      </c>
      <c r="E10" s="2">
        <v>0</v>
      </c>
      <c r="F10" s="2" t="s">
        <v>45</v>
      </c>
      <c r="G10" s="2" t="s">
        <v>46</v>
      </c>
      <c r="H10" s="2" t="s">
        <v>47</v>
      </c>
    </row>
    <row r="11" spans="1:8" ht="43.5">
      <c r="A11" s="2" t="s">
        <v>38</v>
      </c>
      <c r="B11" s="2" t="s">
        <v>15</v>
      </c>
      <c r="C11" s="2" t="s">
        <v>43</v>
      </c>
      <c r="D11" s="2" t="s">
        <v>48</v>
      </c>
      <c r="E11" s="2">
        <v>1</v>
      </c>
      <c r="F11" s="2" t="s">
        <v>49</v>
      </c>
      <c r="G11" s="2" t="s">
        <v>50</v>
      </c>
      <c r="H11" s="2" t="s">
        <v>42</v>
      </c>
    </row>
    <row r="12" spans="1:8" ht="43.5">
      <c r="A12" s="2" t="s">
        <v>14</v>
      </c>
      <c r="B12" s="2" t="s">
        <v>51</v>
      </c>
      <c r="C12" s="2" t="s">
        <v>16</v>
      </c>
      <c r="D12" s="2" t="s">
        <v>52</v>
      </c>
      <c r="E12" s="2">
        <v>0</v>
      </c>
      <c r="F12" s="2" t="s">
        <v>53</v>
      </c>
      <c r="G12" s="2" t="s">
        <v>54</v>
      </c>
      <c r="H12" s="2" t="s">
        <v>187</v>
      </c>
    </row>
    <row r="13" spans="1:8" ht="30">
      <c r="A13" s="2" t="s">
        <v>26</v>
      </c>
      <c r="B13" s="2" t="s">
        <v>55</v>
      </c>
      <c r="C13" s="2" t="s">
        <v>27</v>
      </c>
      <c r="D13" s="2" t="s">
        <v>56</v>
      </c>
      <c r="E13" s="2">
        <v>0</v>
      </c>
      <c r="F13" s="2" t="s">
        <v>57</v>
      </c>
      <c r="G13" s="2" t="s">
        <v>58</v>
      </c>
      <c r="H13" s="2" t="s">
        <v>59</v>
      </c>
    </row>
    <row r="14" spans="1:8" ht="29.25">
      <c r="A14" s="2" t="s">
        <v>26</v>
      </c>
      <c r="B14" s="2" t="s">
        <v>60</v>
      </c>
      <c r="C14" s="2" t="s">
        <v>27</v>
      </c>
      <c r="D14" s="2" t="s">
        <v>61</v>
      </c>
      <c r="E14" s="2">
        <v>4</v>
      </c>
      <c r="F14" s="2" t="s">
        <v>53</v>
      </c>
      <c r="G14" s="2" t="s">
        <v>62</v>
      </c>
      <c r="H14" s="2" t="s">
        <v>63</v>
      </c>
    </row>
    <row r="15" spans="1:8" ht="29.25">
      <c r="A15" s="2" t="s">
        <v>38</v>
      </c>
      <c r="B15" s="2" t="s">
        <v>60</v>
      </c>
      <c r="C15" s="2" t="s">
        <v>43</v>
      </c>
      <c r="D15" s="2" t="s">
        <v>64</v>
      </c>
      <c r="E15" s="2">
        <v>1</v>
      </c>
      <c r="F15" s="2" t="s">
        <v>18</v>
      </c>
      <c r="G15" s="2" t="s">
        <v>65</v>
      </c>
      <c r="H15" s="2" t="s">
        <v>66</v>
      </c>
    </row>
    <row r="16" spans="1:8" ht="29.25">
      <c r="A16" s="2" t="s">
        <v>38</v>
      </c>
      <c r="B16" s="2" t="s">
        <v>60</v>
      </c>
      <c r="C16" s="2" t="s">
        <v>39</v>
      </c>
      <c r="D16" s="2" t="s">
        <v>67</v>
      </c>
      <c r="E16" s="2">
        <v>2</v>
      </c>
      <c r="F16" s="2" t="s">
        <v>18</v>
      </c>
      <c r="G16" s="2" t="s">
        <v>68</v>
      </c>
      <c r="H16" s="2" t="s">
        <v>66</v>
      </c>
    </row>
  </sheetData>
  <conditionalFormatting sqref="F2:F16">
    <cfRule type="expression" dxfId="1" priority="1">
      <formula>OR(ISNUMBER(SEARCH("PASS",F2)),ISNUMBER(SEARCH("PRESENT",F2)))</formula>
    </cfRule>
    <cfRule type="expression" dxfId="0" priority="2">
      <formula>ISNUMBER(SEARCH("FAIL",F2))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B5" sqref="B5"/>
    </sheetView>
  </sheetViews>
  <sheetFormatPr defaultRowHeight="14.25"/>
  <cols>
    <col min="1" max="1" width="12" customWidth="1"/>
    <col min="2" max="2" width="9" customWidth="1"/>
    <col min="3" max="3" width="28" customWidth="1"/>
    <col min="4" max="4" width="10" customWidth="1"/>
    <col min="5" max="5" width="52" customWidth="1"/>
    <col min="6" max="6" width="16" customWidth="1"/>
    <col min="7" max="8" width="14" customWidth="1"/>
    <col min="9" max="9" width="20" customWidth="1"/>
    <col min="10" max="10" width="28" customWidth="1"/>
    <col min="11" max="11" width="32" customWidth="1"/>
    <col min="12" max="13" width="46" customWidth="1"/>
  </cols>
  <sheetData>
    <row r="1" spans="1:1">
      <c r="A1" t="s">
        <v>188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
  <sheetViews>
    <sheetView workbookViewId="0">
      <selection activeCell="D5" sqref="D5"/>
    </sheetView>
  </sheetViews>
  <sheetFormatPr defaultRowHeight="14.25"/>
  <cols>
    <col min="1" max="1" width="8" customWidth="1"/>
    <col min="2" max="2" width="48" customWidth="1"/>
    <col min="3" max="3" width="16" customWidth="1"/>
    <col min="4" max="4" width="50" customWidth="1"/>
  </cols>
  <sheetData>
    <row r="1" spans="1:4" ht="15">
      <c r="A1" s="1" t="s">
        <v>70</v>
      </c>
      <c r="B1" s="1" t="s">
        <v>71</v>
      </c>
      <c r="C1" s="1" t="s">
        <v>72</v>
      </c>
      <c r="D1" s="1" t="s">
        <v>8</v>
      </c>
    </row>
    <row r="2" spans="1:4">
      <c r="A2" s="2">
        <v>1</v>
      </c>
      <c r="B2" s="2" t="s">
        <v>73</v>
      </c>
      <c r="C2" s="2" t="s">
        <v>74</v>
      </c>
      <c r="D2" s="2"/>
    </row>
    <row r="3" spans="1:4">
      <c r="A3" s="2">
        <v>2</v>
      </c>
      <c r="B3" s="2" t="s">
        <v>75</v>
      </c>
      <c r="C3" s="2" t="s">
        <v>74</v>
      </c>
      <c r="D3" s="2"/>
    </row>
    <row r="4" spans="1:4">
      <c r="A4" s="2">
        <v>3</v>
      </c>
      <c r="B4" s="2" t="s">
        <v>76</v>
      </c>
      <c r="C4" s="2" t="s">
        <v>74</v>
      </c>
      <c r="D4" s="2"/>
    </row>
    <row r="5" spans="1:4" ht="28.5">
      <c r="A5" s="2">
        <v>4</v>
      </c>
      <c r="B5" s="2" t="s">
        <v>77</v>
      </c>
      <c r="C5" s="2" t="s">
        <v>74</v>
      </c>
      <c r="D5" s="2" t="s">
        <v>186</v>
      </c>
    </row>
    <row r="6" spans="1:4">
      <c r="A6" s="2">
        <v>5</v>
      </c>
      <c r="B6" s="2" t="s">
        <v>78</v>
      </c>
      <c r="C6" s="2" t="s">
        <v>74</v>
      </c>
      <c r="D6" s="2"/>
    </row>
    <row r="7" spans="1:4">
      <c r="A7" s="2">
        <v>6</v>
      </c>
      <c r="B7" s="2" t="s">
        <v>80</v>
      </c>
      <c r="C7" s="2" t="s">
        <v>74</v>
      </c>
      <c r="D7" s="2"/>
    </row>
    <row r="8" spans="1:4">
      <c r="A8" s="2">
        <v>7</v>
      </c>
      <c r="B8" s="2" t="s">
        <v>81</v>
      </c>
      <c r="C8" s="2" t="s">
        <v>74</v>
      </c>
      <c r="D8" s="2" t="s">
        <v>82</v>
      </c>
    </row>
    <row r="9" spans="1:4">
      <c r="A9" s="2">
        <v>8</v>
      </c>
      <c r="B9" s="2" t="s">
        <v>83</v>
      </c>
      <c r="C9" s="2" t="s">
        <v>74</v>
      </c>
      <c r="D9" s="2"/>
    </row>
    <row r="10" spans="1:4" ht="156.75">
      <c r="A10" s="2">
        <v>9</v>
      </c>
      <c r="B10" s="2" t="s">
        <v>84</v>
      </c>
      <c r="C10" s="2" t="s">
        <v>74</v>
      </c>
      <c r="D10" s="2" t="s">
        <v>175</v>
      </c>
    </row>
    <row r="11" spans="1:4">
      <c r="A11" s="2">
        <v>10</v>
      </c>
      <c r="B11" s="2" t="s">
        <v>85</v>
      </c>
      <c r="C11" s="2" t="s">
        <v>79</v>
      </c>
      <c r="D11" s="2"/>
    </row>
    <row r="12" spans="1:4">
      <c r="A12" s="2">
        <v>11</v>
      </c>
      <c r="B12" s="2" t="s">
        <v>86</v>
      </c>
      <c r="C12" s="2" t="s">
        <v>79</v>
      </c>
      <c r="D12" s="2"/>
    </row>
    <row r="13" spans="1:4">
      <c r="A13" s="2">
        <v>12</v>
      </c>
      <c r="B13" s="2" t="s">
        <v>87</v>
      </c>
      <c r="C13" s="2" t="s">
        <v>79</v>
      </c>
      <c r="D13" s="2"/>
    </row>
    <row r="14" spans="1:4">
      <c r="A14" s="2">
        <v>13</v>
      </c>
      <c r="B14" s="2" t="s">
        <v>88</v>
      </c>
      <c r="C14" s="2" t="s">
        <v>79</v>
      </c>
      <c r="D14"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workbookViewId="0">
      <selection activeCell="B9" sqref="A1:B9"/>
    </sheetView>
  </sheetViews>
  <sheetFormatPr defaultRowHeight="14.25"/>
  <cols>
    <col min="1" max="1" width="10" customWidth="1"/>
    <col min="2" max="2" width="95" customWidth="1"/>
  </cols>
  <sheetData>
    <row r="1" spans="1:2" ht="15">
      <c r="A1" s="1" t="s">
        <v>89</v>
      </c>
      <c r="B1" s="1" t="s">
        <v>90</v>
      </c>
    </row>
    <row r="2" spans="1:2">
      <c r="A2" s="2" t="s">
        <v>91</v>
      </c>
      <c r="B2" s="2" t="s">
        <v>92</v>
      </c>
    </row>
    <row r="3" spans="1:2" ht="28.5">
      <c r="A3" s="2" t="s">
        <v>93</v>
      </c>
      <c r="B3" s="2" t="s">
        <v>94</v>
      </c>
    </row>
    <row r="4" spans="1:2">
      <c r="A4" s="2" t="s">
        <v>95</v>
      </c>
      <c r="B4" s="2" t="s">
        <v>96</v>
      </c>
    </row>
    <row r="5" spans="1:2">
      <c r="A5" s="2" t="s">
        <v>97</v>
      </c>
      <c r="B5" s="2" t="s">
        <v>98</v>
      </c>
    </row>
    <row r="6" spans="1:2">
      <c r="A6" s="2" t="s">
        <v>99</v>
      </c>
      <c r="B6" s="2" t="s">
        <v>100</v>
      </c>
    </row>
    <row r="7" spans="1:2">
      <c r="A7" s="2" t="s">
        <v>101</v>
      </c>
      <c r="B7" s="2" t="s">
        <v>102</v>
      </c>
    </row>
    <row r="8" spans="1:2">
      <c r="A8" s="2" t="s">
        <v>103</v>
      </c>
      <c r="B8" s="2" t="s">
        <v>104</v>
      </c>
    </row>
    <row r="9" spans="1:2">
      <c r="A9" s="2" t="s">
        <v>105</v>
      </c>
      <c r="B9" s="2" t="s">
        <v>106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5790C-2A9B-4572-94B6-378794374E4E}">
  <dimension ref="A1:E168"/>
  <sheetViews>
    <sheetView topLeftCell="A137" zoomScaleNormal="100" workbookViewId="0">
      <selection activeCell="H146" sqref="H146"/>
    </sheetView>
  </sheetViews>
  <sheetFormatPr defaultRowHeight="14.25"/>
  <cols>
    <col min="2" max="2" width="11" customWidth="1"/>
    <col min="3" max="3" width="47.375" customWidth="1"/>
    <col min="5" max="5" width="12.75" customWidth="1"/>
  </cols>
  <sheetData>
    <row r="1" spans="1:5" ht="15">
      <c r="A1" s="4" t="s">
        <v>0</v>
      </c>
      <c r="B1" s="4" t="s">
        <v>1</v>
      </c>
      <c r="C1" s="4" t="s">
        <v>111</v>
      </c>
      <c r="D1" s="6" t="s">
        <v>69</v>
      </c>
      <c r="E1" s="6" t="s">
        <v>112</v>
      </c>
    </row>
    <row r="2" spans="1:5">
      <c r="A2" s="7" t="s">
        <v>14</v>
      </c>
      <c r="B2" s="7" t="s">
        <v>15</v>
      </c>
      <c r="C2" t="s">
        <v>123</v>
      </c>
      <c r="D2" s="5">
        <v>2026</v>
      </c>
      <c r="E2" s="5">
        <v>74</v>
      </c>
    </row>
    <row r="3" spans="1:5">
      <c r="A3" s="7" t="s">
        <v>14</v>
      </c>
      <c r="B3" s="7" t="s">
        <v>15</v>
      </c>
      <c r="C3" t="s">
        <v>123</v>
      </c>
      <c r="D3" s="5">
        <v>2025</v>
      </c>
      <c r="E3" s="5">
        <v>99</v>
      </c>
    </row>
    <row r="4" spans="1:5">
      <c r="A4" s="7" t="s">
        <v>14</v>
      </c>
      <c r="B4" s="7" t="s">
        <v>15</v>
      </c>
      <c r="C4" t="s">
        <v>123</v>
      </c>
      <c r="D4" s="5">
        <v>2024</v>
      </c>
      <c r="E4" s="5">
        <v>85</v>
      </c>
    </row>
    <row r="5" spans="1:5">
      <c r="A5" s="7" t="s">
        <v>14</v>
      </c>
      <c r="B5" s="7" t="s">
        <v>15</v>
      </c>
      <c r="C5" t="s">
        <v>123</v>
      </c>
      <c r="D5" s="5">
        <v>2023</v>
      </c>
      <c r="E5" s="5">
        <v>70</v>
      </c>
    </row>
    <row r="6" spans="1:5">
      <c r="A6" s="7" t="s">
        <v>14</v>
      </c>
      <c r="B6" s="7" t="s">
        <v>15</v>
      </c>
      <c r="C6" t="s">
        <v>123</v>
      </c>
      <c r="D6" s="5">
        <v>2022</v>
      </c>
      <c r="E6" s="5">
        <v>58</v>
      </c>
    </row>
    <row r="7" spans="1:5">
      <c r="A7" s="7" t="s">
        <v>14</v>
      </c>
      <c r="B7" s="7" t="s">
        <v>15</v>
      </c>
      <c r="C7" t="s">
        <v>123</v>
      </c>
      <c r="D7" s="5">
        <v>2021</v>
      </c>
      <c r="E7" s="5">
        <v>43</v>
      </c>
    </row>
    <row r="8" spans="1:5">
      <c r="A8" s="7" t="s">
        <v>14</v>
      </c>
      <c r="B8" s="7" t="s">
        <v>15</v>
      </c>
      <c r="C8" t="s">
        <v>123</v>
      </c>
      <c r="D8" s="5">
        <v>2020</v>
      </c>
      <c r="E8" s="5">
        <v>43</v>
      </c>
    </row>
    <row r="9" spans="1:5">
      <c r="A9" s="7" t="s">
        <v>14</v>
      </c>
      <c r="B9" s="7" t="s">
        <v>15</v>
      </c>
      <c r="C9" t="s">
        <v>123</v>
      </c>
      <c r="D9" s="5">
        <v>2019</v>
      </c>
      <c r="E9" s="5">
        <v>26</v>
      </c>
    </row>
    <row r="10" spans="1:5">
      <c r="A10" s="7" t="s">
        <v>14</v>
      </c>
      <c r="B10" s="7" t="s">
        <v>15</v>
      </c>
      <c r="C10" t="s">
        <v>123</v>
      </c>
      <c r="D10" s="5">
        <v>2018</v>
      </c>
      <c r="E10" s="5">
        <v>20</v>
      </c>
    </row>
    <row r="11" spans="1:5">
      <c r="A11" s="7" t="s">
        <v>14</v>
      </c>
      <c r="B11" s="7" t="s">
        <v>15</v>
      </c>
      <c r="C11" t="s">
        <v>123</v>
      </c>
      <c r="D11" s="5">
        <v>2017</v>
      </c>
      <c r="E11" s="5">
        <v>13</v>
      </c>
    </row>
    <row r="12" spans="1:5">
      <c r="A12" s="7" t="s">
        <v>14</v>
      </c>
      <c r="B12" s="7" t="s">
        <v>15</v>
      </c>
      <c r="C12" t="s">
        <v>123</v>
      </c>
      <c r="D12" s="5">
        <v>2016</v>
      </c>
      <c r="E12" s="5">
        <v>12</v>
      </c>
    </row>
    <row r="13" spans="1:5">
      <c r="A13" s="7" t="s">
        <v>14</v>
      </c>
      <c r="B13" s="7" t="s">
        <v>15</v>
      </c>
      <c r="C13" t="s">
        <v>123</v>
      </c>
      <c r="D13" s="5">
        <v>2015</v>
      </c>
      <c r="E13" s="5">
        <v>7</v>
      </c>
    </row>
    <row r="14" spans="1:5">
      <c r="A14" s="7" t="s">
        <v>14</v>
      </c>
      <c r="B14" s="7" t="s">
        <v>15</v>
      </c>
      <c r="C14" s="7" t="s">
        <v>124</v>
      </c>
      <c r="D14" s="5">
        <v>2027</v>
      </c>
      <c r="E14" s="5">
        <v>1</v>
      </c>
    </row>
    <row r="15" spans="1:5">
      <c r="A15" s="7" t="s">
        <v>14</v>
      </c>
      <c r="B15" s="7" t="s">
        <v>15</v>
      </c>
      <c r="C15" s="7" t="s">
        <v>124</v>
      </c>
      <c r="D15" s="5">
        <v>2026</v>
      </c>
      <c r="E15" s="5">
        <v>100</v>
      </c>
    </row>
    <row r="16" spans="1:5">
      <c r="A16" s="7" t="s">
        <v>14</v>
      </c>
      <c r="B16" s="7" t="s">
        <v>15</v>
      </c>
      <c r="C16" s="7" t="s">
        <v>124</v>
      </c>
      <c r="D16" s="5">
        <v>2025</v>
      </c>
      <c r="E16" s="5">
        <v>122</v>
      </c>
    </row>
    <row r="17" spans="1:5">
      <c r="A17" s="7" t="s">
        <v>14</v>
      </c>
      <c r="B17" s="7" t="s">
        <v>15</v>
      </c>
      <c r="C17" s="7" t="s">
        <v>124</v>
      </c>
      <c r="D17" s="5">
        <v>2024</v>
      </c>
      <c r="E17" s="5">
        <v>119</v>
      </c>
    </row>
    <row r="18" spans="1:5">
      <c r="A18" s="7" t="s">
        <v>14</v>
      </c>
      <c r="B18" s="7" t="s">
        <v>15</v>
      </c>
      <c r="C18" s="7" t="s">
        <v>124</v>
      </c>
      <c r="D18" s="5">
        <v>2023</v>
      </c>
      <c r="E18" s="5">
        <v>96</v>
      </c>
    </row>
    <row r="19" spans="1:5">
      <c r="A19" s="7" t="s">
        <v>14</v>
      </c>
      <c r="B19" s="7" t="s">
        <v>15</v>
      </c>
      <c r="C19" s="7" t="s">
        <v>124</v>
      </c>
      <c r="D19" s="5">
        <v>2022</v>
      </c>
      <c r="E19" s="5">
        <v>75</v>
      </c>
    </row>
    <row r="20" spans="1:5">
      <c r="A20" s="7" t="s">
        <v>14</v>
      </c>
      <c r="B20" s="7" t="s">
        <v>15</v>
      </c>
      <c r="C20" s="7" t="s">
        <v>124</v>
      </c>
      <c r="D20" s="5">
        <v>2021</v>
      </c>
      <c r="E20" s="5">
        <v>55</v>
      </c>
    </row>
    <row r="21" spans="1:5">
      <c r="A21" s="7" t="s">
        <v>14</v>
      </c>
      <c r="B21" s="7" t="s">
        <v>15</v>
      </c>
      <c r="C21" s="7" t="s">
        <v>124</v>
      </c>
      <c r="D21" s="5">
        <v>2020</v>
      </c>
      <c r="E21" s="5">
        <v>50</v>
      </c>
    </row>
    <row r="22" spans="1:5">
      <c r="A22" s="7" t="s">
        <v>14</v>
      </c>
      <c r="B22" s="7" t="s">
        <v>15</v>
      </c>
      <c r="C22" s="7" t="s">
        <v>124</v>
      </c>
      <c r="D22" s="5">
        <v>2019</v>
      </c>
      <c r="E22" s="5">
        <v>35</v>
      </c>
    </row>
    <row r="23" spans="1:5">
      <c r="A23" s="7" t="s">
        <v>14</v>
      </c>
      <c r="B23" s="7" t="s">
        <v>15</v>
      </c>
      <c r="C23" s="7" t="s">
        <v>124</v>
      </c>
      <c r="D23" s="5">
        <v>2018</v>
      </c>
      <c r="E23" s="5">
        <v>32</v>
      </c>
    </row>
    <row r="24" spans="1:5">
      <c r="A24" s="7" t="s">
        <v>14</v>
      </c>
      <c r="B24" s="7" t="s">
        <v>15</v>
      </c>
      <c r="C24" s="7" t="s">
        <v>124</v>
      </c>
      <c r="D24" s="5">
        <v>2017</v>
      </c>
      <c r="E24" s="5">
        <v>16</v>
      </c>
    </row>
    <row r="25" spans="1:5">
      <c r="A25" s="7" t="s">
        <v>14</v>
      </c>
      <c r="B25" s="7" t="s">
        <v>15</v>
      </c>
      <c r="C25" s="7" t="s">
        <v>124</v>
      </c>
      <c r="D25" s="5">
        <v>2016</v>
      </c>
      <c r="E25" s="5">
        <v>13</v>
      </c>
    </row>
    <row r="26" spans="1:5">
      <c r="A26" s="7" t="s">
        <v>14</v>
      </c>
      <c r="B26" s="7" t="s">
        <v>15</v>
      </c>
      <c r="C26" s="7" t="s">
        <v>124</v>
      </c>
      <c r="D26" s="5">
        <v>2015</v>
      </c>
      <c r="E26" s="5">
        <v>8</v>
      </c>
    </row>
    <row r="27" spans="1:5">
      <c r="A27" s="7" t="s">
        <v>14</v>
      </c>
      <c r="B27" s="7" t="s">
        <v>15</v>
      </c>
      <c r="C27" s="7" t="s">
        <v>124</v>
      </c>
      <c r="D27" s="5">
        <v>2014</v>
      </c>
      <c r="E27" s="5">
        <v>1</v>
      </c>
    </row>
    <row r="28" spans="1:5">
      <c r="A28" s="7" t="s">
        <v>14</v>
      </c>
      <c r="B28" s="7" t="s">
        <v>15</v>
      </c>
      <c r="C28" s="7" t="s">
        <v>124</v>
      </c>
      <c r="D28" s="5">
        <v>2013</v>
      </c>
      <c r="E28" s="5">
        <v>2</v>
      </c>
    </row>
    <row r="29" spans="1:5">
      <c r="A29" s="7" t="s">
        <v>14</v>
      </c>
      <c r="B29" s="7" t="s">
        <v>15</v>
      </c>
      <c r="C29" s="7" t="s">
        <v>124</v>
      </c>
      <c r="D29" s="5">
        <v>2012</v>
      </c>
      <c r="E29" s="5">
        <v>4</v>
      </c>
    </row>
    <row r="30" spans="1:5">
      <c r="A30" s="7" t="s">
        <v>14</v>
      </c>
      <c r="B30" s="7" t="s">
        <v>15</v>
      </c>
      <c r="C30" s="7" t="s">
        <v>124</v>
      </c>
      <c r="D30" s="5">
        <v>2011</v>
      </c>
      <c r="E30" s="5">
        <v>3</v>
      </c>
    </row>
    <row r="31" spans="1:5">
      <c r="A31" s="7" t="s">
        <v>14</v>
      </c>
      <c r="B31" s="7" t="s">
        <v>15</v>
      </c>
      <c r="C31" s="7" t="s">
        <v>124</v>
      </c>
      <c r="D31" s="5">
        <v>2010</v>
      </c>
      <c r="E31" s="5">
        <v>0</v>
      </c>
    </row>
    <row r="32" spans="1:5">
      <c r="A32" s="7" t="s">
        <v>14</v>
      </c>
      <c r="B32" s="7" t="s">
        <v>15</v>
      </c>
      <c r="C32" s="7" t="s">
        <v>124</v>
      </c>
      <c r="D32" s="5">
        <v>2009</v>
      </c>
      <c r="E32" s="5">
        <v>0</v>
      </c>
    </row>
    <row r="33" spans="1:5">
      <c r="A33" s="7" t="s">
        <v>14</v>
      </c>
      <c r="B33" s="7" t="s">
        <v>15</v>
      </c>
      <c r="C33" s="7" t="s">
        <v>124</v>
      </c>
      <c r="D33" s="5">
        <v>2008</v>
      </c>
      <c r="E33" s="5">
        <v>0</v>
      </c>
    </row>
    <row r="34" spans="1:5">
      <c r="A34" s="7" t="s">
        <v>14</v>
      </c>
      <c r="B34" s="7" t="s">
        <v>15</v>
      </c>
      <c r="C34" s="7" t="s">
        <v>124</v>
      </c>
      <c r="D34" s="5">
        <v>2007</v>
      </c>
      <c r="E34" s="5">
        <v>0</v>
      </c>
    </row>
    <row r="35" spans="1:5">
      <c r="A35" s="7" t="s">
        <v>14</v>
      </c>
      <c r="B35" s="7" t="s">
        <v>15</v>
      </c>
      <c r="C35" s="7" t="s">
        <v>124</v>
      </c>
      <c r="D35" s="5">
        <v>2006</v>
      </c>
      <c r="E35" s="5">
        <v>1</v>
      </c>
    </row>
    <row r="36" spans="1:5">
      <c r="A36" s="7" t="s">
        <v>14</v>
      </c>
      <c r="B36" s="7" t="s">
        <v>15</v>
      </c>
      <c r="C36" s="7" t="s">
        <v>124</v>
      </c>
      <c r="D36" s="5">
        <v>2005</v>
      </c>
      <c r="E36" s="5">
        <v>1</v>
      </c>
    </row>
    <row r="37" spans="1:5">
      <c r="A37" s="7" t="s">
        <v>14</v>
      </c>
      <c r="B37" s="7" t="s">
        <v>15</v>
      </c>
      <c r="C37" s="7" t="s">
        <v>124</v>
      </c>
      <c r="D37" s="5">
        <v>2004</v>
      </c>
      <c r="E37" s="5">
        <v>0</v>
      </c>
    </row>
    <row r="38" spans="1:5">
      <c r="A38" s="7" t="s">
        <v>14</v>
      </c>
      <c r="B38" s="7" t="s">
        <v>15</v>
      </c>
      <c r="C38" s="7" t="s">
        <v>124</v>
      </c>
      <c r="D38" s="5">
        <v>2003</v>
      </c>
      <c r="E38" s="5">
        <v>0</v>
      </c>
    </row>
    <row r="39" spans="1:5">
      <c r="A39" s="7" t="s">
        <v>14</v>
      </c>
      <c r="B39" s="7" t="s">
        <v>15</v>
      </c>
      <c r="C39" s="7" t="s">
        <v>124</v>
      </c>
      <c r="D39" s="5">
        <v>2002</v>
      </c>
      <c r="E39" s="5">
        <v>0</v>
      </c>
    </row>
    <row r="40" spans="1:5">
      <c r="A40" s="7" t="s">
        <v>14</v>
      </c>
      <c r="B40" s="7" t="s">
        <v>15</v>
      </c>
      <c r="C40" s="7" t="s">
        <v>124</v>
      </c>
      <c r="D40" s="5">
        <v>2001</v>
      </c>
      <c r="E40" s="5">
        <v>0</v>
      </c>
    </row>
    <row r="41" spans="1:5">
      <c r="A41" s="7" t="s">
        <v>14</v>
      </c>
      <c r="B41" s="7" t="s">
        <v>15</v>
      </c>
      <c r="C41" s="7" t="s">
        <v>124</v>
      </c>
      <c r="D41" s="5">
        <v>2000</v>
      </c>
      <c r="E41" s="5">
        <v>1</v>
      </c>
    </row>
    <row r="42" spans="1:5">
      <c r="A42" s="7" t="s">
        <v>14</v>
      </c>
      <c r="B42" s="7" t="s">
        <v>51</v>
      </c>
      <c r="C42" s="7" t="s">
        <v>124</v>
      </c>
      <c r="D42" s="5">
        <v>1991</v>
      </c>
      <c r="E42" s="5">
        <v>1</v>
      </c>
    </row>
    <row r="43" spans="1:5">
      <c r="A43" s="7" t="s">
        <v>14</v>
      </c>
      <c r="B43" s="7" t="s">
        <v>51</v>
      </c>
      <c r="C43" s="7" t="s">
        <v>124</v>
      </c>
      <c r="D43" s="5">
        <v>1995</v>
      </c>
      <c r="E43" s="5">
        <v>1</v>
      </c>
    </row>
    <row r="44" spans="1:5">
      <c r="A44" s="7" t="s">
        <v>14</v>
      </c>
      <c r="B44" s="7" t="s">
        <v>51</v>
      </c>
      <c r="C44" s="7" t="s">
        <v>124</v>
      </c>
      <c r="D44" s="5">
        <v>2008</v>
      </c>
      <c r="E44" s="5">
        <v>1</v>
      </c>
    </row>
    <row r="45" spans="1:5">
      <c r="A45" s="7" t="s">
        <v>14</v>
      </c>
      <c r="B45" s="7" t="s">
        <v>51</v>
      </c>
      <c r="C45" s="7" t="s">
        <v>124</v>
      </c>
      <c r="D45" s="5">
        <v>2010</v>
      </c>
      <c r="E45" s="5">
        <v>1</v>
      </c>
    </row>
    <row r="46" spans="1:5">
      <c r="A46" s="7" t="s">
        <v>14</v>
      </c>
      <c r="B46" s="7" t="s">
        <v>51</v>
      </c>
      <c r="C46" s="7" t="s">
        <v>124</v>
      </c>
      <c r="D46" s="5">
        <v>2011</v>
      </c>
      <c r="E46" s="5">
        <v>2</v>
      </c>
    </row>
    <row r="47" spans="1:5">
      <c r="A47" s="7" t="s">
        <v>14</v>
      </c>
      <c r="B47" s="7" t="s">
        <v>51</v>
      </c>
      <c r="C47" s="7" t="s">
        <v>124</v>
      </c>
      <c r="D47" s="5">
        <v>2012</v>
      </c>
      <c r="E47" s="5">
        <v>2</v>
      </c>
    </row>
    <row r="48" spans="1:5">
      <c r="A48" s="7" t="s">
        <v>14</v>
      </c>
      <c r="B48" s="7" t="s">
        <v>51</v>
      </c>
      <c r="C48" s="7" t="s">
        <v>124</v>
      </c>
      <c r="D48" s="5">
        <v>2013</v>
      </c>
      <c r="E48" s="5">
        <v>2</v>
      </c>
    </row>
    <row r="49" spans="1:5">
      <c r="A49" s="7" t="s">
        <v>14</v>
      </c>
      <c r="B49" s="7" t="s">
        <v>51</v>
      </c>
      <c r="C49" s="7" t="s">
        <v>124</v>
      </c>
      <c r="D49" s="5">
        <v>2014</v>
      </c>
      <c r="E49" s="5">
        <v>5</v>
      </c>
    </row>
    <row r="50" spans="1:5">
      <c r="A50" s="7" t="s">
        <v>14</v>
      </c>
      <c r="B50" s="7" t="s">
        <v>51</v>
      </c>
      <c r="C50" s="7" t="s">
        <v>124</v>
      </c>
      <c r="D50" s="5">
        <v>2015</v>
      </c>
      <c r="E50" s="5">
        <v>5</v>
      </c>
    </row>
    <row r="51" spans="1:5">
      <c r="A51" s="7" t="s">
        <v>14</v>
      </c>
      <c r="B51" s="7" t="s">
        <v>51</v>
      </c>
      <c r="C51" s="7" t="s">
        <v>124</v>
      </c>
      <c r="D51" s="5">
        <v>2016</v>
      </c>
      <c r="E51" s="5">
        <v>10</v>
      </c>
    </row>
    <row r="52" spans="1:5">
      <c r="A52" s="7" t="s">
        <v>14</v>
      </c>
      <c r="B52" s="7" t="s">
        <v>51</v>
      </c>
      <c r="C52" s="7" t="s">
        <v>124</v>
      </c>
      <c r="D52" s="5">
        <v>2017</v>
      </c>
      <c r="E52" s="5">
        <v>10</v>
      </c>
    </row>
    <row r="53" spans="1:5">
      <c r="A53" s="7" t="s">
        <v>14</v>
      </c>
      <c r="B53" s="7" t="s">
        <v>51</v>
      </c>
      <c r="C53" s="7" t="s">
        <v>124</v>
      </c>
      <c r="D53" s="5">
        <v>2018</v>
      </c>
      <c r="E53" s="5">
        <v>25</v>
      </c>
    </row>
    <row r="54" spans="1:5">
      <c r="A54" s="7" t="s">
        <v>14</v>
      </c>
      <c r="B54" s="7" t="s">
        <v>51</v>
      </c>
      <c r="C54" s="7" t="s">
        <v>124</v>
      </c>
      <c r="D54" s="5">
        <v>2019</v>
      </c>
      <c r="E54" s="5">
        <v>23</v>
      </c>
    </row>
    <row r="55" spans="1:5">
      <c r="A55" s="7" t="s">
        <v>14</v>
      </c>
      <c r="B55" s="7" t="s">
        <v>51</v>
      </c>
      <c r="C55" s="7" t="s">
        <v>124</v>
      </c>
      <c r="D55" s="5">
        <v>2020</v>
      </c>
      <c r="E55" s="5">
        <v>27</v>
      </c>
    </row>
    <row r="56" spans="1:5">
      <c r="A56" s="7" t="s">
        <v>14</v>
      </c>
      <c r="B56" s="7" t="s">
        <v>51</v>
      </c>
      <c r="C56" s="7" t="s">
        <v>124</v>
      </c>
      <c r="D56" s="5">
        <v>2021</v>
      </c>
      <c r="E56" s="5">
        <v>30</v>
      </c>
    </row>
    <row r="57" spans="1:5">
      <c r="A57" s="7" t="s">
        <v>14</v>
      </c>
      <c r="B57" s="7" t="s">
        <v>51</v>
      </c>
      <c r="C57" s="7" t="s">
        <v>124</v>
      </c>
      <c r="D57" s="5">
        <v>2022</v>
      </c>
      <c r="E57" s="5">
        <v>44</v>
      </c>
    </row>
    <row r="58" spans="1:5">
      <c r="A58" s="7" t="s">
        <v>14</v>
      </c>
      <c r="B58" s="7" t="s">
        <v>51</v>
      </c>
      <c r="C58" s="7" t="s">
        <v>124</v>
      </c>
      <c r="D58" s="5">
        <v>2023</v>
      </c>
      <c r="E58" s="5">
        <v>47</v>
      </c>
    </row>
    <row r="59" spans="1:5">
      <c r="A59" s="7" t="s">
        <v>14</v>
      </c>
      <c r="B59" s="7" t="s">
        <v>51</v>
      </c>
      <c r="C59" s="7" t="s">
        <v>124</v>
      </c>
      <c r="D59" s="5">
        <v>2024</v>
      </c>
      <c r="E59" s="5">
        <v>104</v>
      </c>
    </row>
    <row r="60" spans="1:5">
      <c r="A60" s="7" t="s">
        <v>14</v>
      </c>
      <c r="B60" s="7" t="s">
        <v>51</v>
      </c>
      <c r="C60" s="7" t="s">
        <v>124</v>
      </c>
      <c r="D60" s="5">
        <v>2025</v>
      </c>
      <c r="E60" s="5">
        <v>84</v>
      </c>
    </row>
    <row r="61" spans="1:5">
      <c r="A61" s="7" t="s">
        <v>14</v>
      </c>
      <c r="B61" s="7" t="s">
        <v>51</v>
      </c>
      <c r="C61" s="7" t="s">
        <v>124</v>
      </c>
      <c r="D61" s="5">
        <v>2026</v>
      </c>
      <c r="E61" s="5">
        <v>27</v>
      </c>
    </row>
    <row r="62" spans="1:5">
      <c r="A62" s="7" t="s">
        <v>14</v>
      </c>
      <c r="B62" s="7" t="s">
        <v>51</v>
      </c>
      <c r="C62" s="7" t="s">
        <v>137</v>
      </c>
      <c r="D62" s="5">
        <v>2015</v>
      </c>
      <c r="E62" s="5">
        <v>5</v>
      </c>
    </row>
    <row r="63" spans="1:5">
      <c r="A63" s="7" t="s">
        <v>14</v>
      </c>
      <c r="B63" s="7" t="s">
        <v>51</v>
      </c>
      <c r="C63" s="7" t="s">
        <v>137</v>
      </c>
      <c r="D63" s="5">
        <v>2016</v>
      </c>
      <c r="E63" s="5">
        <v>8</v>
      </c>
    </row>
    <row r="64" spans="1:5">
      <c r="A64" s="7" t="s">
        <v>14</v>
      </c>
      <c r="B64" s="7" t="s">
        <v>51</v>
      </c>
      <c r="C64" s="7" t="s">
        <v>137</v>
      </c>
      <c r="D64" s="5">
        <v>2017</v>
      </c>
      <c r="E64" s="5">
        <v>7</v>
      </c>
    </row>
    <row r="65" spans="1:5">
      <c r="A65" s="7" t="s">
        <v>14</v>
      </c>
      <c r="B65" s="7" t="s">
        <v>51</v>
      </c>
      <c r="C65" s="7" t="s">
        <v>137</v>
      </c>
      <c r="D65" s="5">
        <v>2018</v>
      </c>
      <c r="E65" s="5">
        <v>21</v>
      </c>
    </row>
    <row r="66" spans="1:5">
      <c r="A66" s="7" t="s">
        <v>14</v>
      </c>
      <c r="B66" s="7" t="s">
        <v>51</v>
      </c>
      <c r="C66" s="7" t="s">
        <v>137</v>
      </c>
      <c r="D66" s="5">
        <v>2019</v>
      </c>
      <c r="E66" s="5">
        <v>20</v>
      </c>
    </row>
    <row r="67" spans="1:5">
      <c r="A67" s="7" t="s">
        <v>14</v>
      </c>
      <c r="B67" s="7" t="s">
        <v>51</v>
      </c>
      <c r="C67" s="7" t="s">
        <v>137</v>
      </c>
      <c r="D67" s="5">
        <v>2020</v>
      </c>
      <c r="E67" s="5">
        <v>20</v>
      </c>
    </row>
    <row r="68" spans="1:5">
      <c r="A68" s="7" t="s">
        <v>14</v>
      </c>
      <c r="B68" s="7" t="s">
        <v>51</v>
      </c>
      <c r="C68" s="7" t="s">
        <v>137</v>
      </c>
      <c r="D68" s="5">
        <v>2021</v>
      </c>
      <c r="E68" s="5">
        <v>21</v>
      </c>
    </row>
    <row r="69" spans="1:5">
      <c r="A69" s="7" t="s">
        <v>14</v>
      </c>
      <c r="B69" s="7" t="s">
        <v>51</v>
      </c>
      <c r="C69" s="7" t="s">
        <v>137</v>
      </c>
      <c r="D69" s="5">
        <v>2022</v>
      </c>
      <c r="E69" s="5">
        <v>38</v>
      </c>
    </row>
    <row r="70" spans="1:5">
      <c r="A70" s="7" t="s">
        <v>14</v>
      </c>
      <c r="B70" s="7" t="s">
        <v>51</v>
      </c>
      <c r="C70" s="7" t="s">
        <v>137</v>
      </c>
      <c r="D70" s="5">
        <v>2023</v>
      </c>
      <c r="E70" s="5">
        <v>38</v>
      </c>
    </row>
    <row r="71" spans="1:5">
      <c r="A71" s="7" t="s">
        <v>14</v>
      </c>
      <c r="B71" s="7" t="s">
        <v>51</v>
      </c>
      <c r="C71" s="7" t="s">
        <v>137</v>
      </c>
      <c r="D71" s="5">
        <v>2024</v>
      </c>
      <c r="E71" s="5">
        <v>87</v>
      </c>
    </row>
    <row r="72" spans="1:5">
      <c r="A72" s="7" t="s">
        <v>14</v>
      </c>
      <c r="B72" s="7" t="s">
        <v>51</v>
      </c>
      <c r="C72" s="7" t="s">
        <v>137</v>
      </c>
      <c r="D72" s="5">
        <v>2025</v>
      </c>
      <c r="E72" s="5">
        <v>71</v>
      </c>
    </row>
    <row r="73" spans="1:5">
      <c r="A73" s="7" t="s">
        <v>26</v>
      </c>
      <c r="B73" s="7" t="s">
        <v>15</v>
      </c>
      <c r="C73" s="7" t="s">
        <v>113</v>
      </c>
      <c r="D73" s="5">
        <v>2019</v>
      </c>
      <c r="E73" s="5">
        <v>2</v>
      </c>
    </row>
    <row r="74" spans="1:5">
      <c r="A74" s="7" t="s">
        <v>26</v>
      </c>
      <c r="B74" s="7" t="s">
        <v>15</v>
      </c>
      <c r="C74" s="7" t="s">
        <v>113</v>
      </c>
      <c r="D74" s="5">
        <v>2020</v>
      </c>
      <c r="E74" s="5">
        <v>14</v>
      </c>
    </row>
    <row r="75" spans="1:5">
      <c r="A75" s="7" t="s">
        <v>26</v>
      </c>
      <c r="B75" s="7" t="s">
        <v>15</v>
      </c>
      <c r="C75" s="7" t="s">
        <v>113</v>
      </c>
      <c r="D75" s="5">
        <v>2021</v>
      </c>
      <c r="E75" s="5">
        <v>25</v>
      </c>
    </row>
    <row r="76" spans="1:5">
      <c r="A76" s="7" t="s">
        <v>26</v>
      </c>
      <c r="B76" s="7" t="s">
        <v>15</v>
      </c>
      <c r="C76" s="7" t="s">
        <v>113</v>
      </c>
      <c r="D76" s="5">
        <v>2022</v>
      </c>
      <c r="E76" s="5">
        <v>38</v>
      </c>
    </row>
    <row r="77" spans="1:5">
      <c r="A77" s="7" t="s">
        <v>26</v>
      </c>
      <c r="B77" s="7" t="s">
        <v>15</v>
      </c>
      <c r="C77" s="7" t="s">
        <v>113</v>
      </c>
      <c r="D77" s="5">
        <v>2023</v>
      </c>
      <c r="E77" s="5">
        <v>105</v>
      </c>
    </row>
    <row r="78" spans="1:5">
      <c r="A78" s="7" t="s">
        <v>26</v>
      </c>
      <c r="B78" s="7" t="s">
        <v>15</v>
      </c>
      <c r="C78" s="7" t="s">
        <v>113</v>
      </c>
      <c r="D78" s="5">
        <v>2024</v>
      </c>
      <c r="E78" s="5">
        <v>191</v>
      </c>
    </row>
    <row r="79" spans="1:5">
      <c r="A79" s="7" t="s">
        <v>26</v>
      </c>
      <c r="B79" s="7" t="s">
        <v>15</v>
      </c>
      <c r="C79" s="7" t="s">
        <v>113</v>
      </c>
      <c r="D79" s="5">
        <v>2025</v>
      </c>
      <c r="E79" s="5">
        <v>378</v>
      </c>
    </row>
    <row r="80" spans="1:5">
      <c r="A80" s="7" t="s">
        <v>26</v>
      </c>
      <c r="B80" s="7" t="s">
        <v>15</v>
      </c>
      <c r="C80" s="7" t="s">
        <v>113</v>
      </c>
      <c r="D80" s="5">
        <v>2026</v>
      </c>
      <c r="E80" s="5">
        <v>362</v>
      </c>
    </row>
    <row r="81" spans="1:5">
      <c r="A81" s="7" t="s">
        <v>26</v>
      </c>
      <c r="B81" s="7" t="s">
        <v>15</v>
      </c>
      <c r="C81" s="7" t="s">
        <v>113</v>
      </c>
      <c r="D81" s="5">
        <v>2027</v>
      </c>
      <c r="E81" s="5">
        <v>9</v>
      </c>
    </row>
    <row r="82" spans="1:5">
      <c r="A82" s="7" t="s">
        <v>38</v>
      </c>
      <c r="B82" s="7" t="s">
        <v>15</v>
      </c>
      <c r="C82" s="7" t="s">
        <v>180</v>
      </c>
      <c r="D82" s="5">
        <v>2027</v>
      </c>
      <c r="E82" s="5">
        <v>7</v>
      </c>
    </row>
    <row r="83" spans="1:5">
      <c r="A83" s="7" t="s">
        <v>38</v>
      </c>
      <c r="B83" s="7" t="s">
        <v>15</v>
      </c>
      <c r="C83" s="7" t="s">
        <v>180</v>
      </c>
      <c r="D83" s="5">
        <v>2026</v>
      </c>
      <c r="E83" s="5">
        <v>289</v>
      </c>
    </row>
    <row r="84" spans="1:5">
      <c r="A84" s="7" t="s">
        <v>38</v>
      </c>
      <c r="B84" s="7" t="s">
        <v>15</v>
      </c>
      <c r="C84" s="7" t="s">
        <v>180</v>
      </c>
      <c r="D84" s="5">
        <v>2025</v>
      </c>
      <c r="E84" s="5">
        <v>326</v>
      </c>
    </row>
    <row r="85" spans="1:5">
      <c r="A85" s="7" t="s">
        <v>38</v>
      </c>
      <c r="B85" s="7" t="s">
        <v>15</v>
      </c>
      <c r="C85" s="7" t="s">
        <v>180</v>
      </c>
      <c r="D85" s="5">
        <v>2024</v>
      </c>
      <c r="E85" s="5">
        <v>240</v>
      </c>
    </row>
    <row r="86" spans="1:5">
      <c r="A86" s="7" t="s">
        <v>38</v>
      </c>
      <c r="B86" s="7" t="s">
        <v>15</v>
      </c>
      <c r="C86" s="7" t="s">
        <v>180</v>
      </c>
      <c r="D86" s="5">
        <v>2023</v>
      </c>
      <c r="E86" s="5">
        <v>207</v>
      </c>
    </row>
    <row r="87" spans="1:5">
      <c r="A87" s="7" t="s">
        <v>38</v>
      </c>
      <c r="B87" s="7" t="s">
        <v>15</v>
      </c>
      <c r="C87" s="7" t="s">
        <v>180</v>
      </c>
      <c r="D87" s="5">
        <v>2022</v>
      </c>
      <c r="E87" s="5">
        <v>174</v>
      </c>
    </row>
    <row r="88" spans="1:5">
      <c r="A88" s="7" t="s">
        <v>38</v>
      </c>
      <c r="B88" s="7" t="s">
        <v>15</v>
      </c>
      <c r="C88" s="7" t="s">
        <v>180</v>
      </c>
      <c r="D88" s="5">
        <v>2021</v>
      </c>
      <c r="E88" s="5">
        <v>143</v>
      </c>
    </row>
    <row r="89" spans="1:5">
      <c r="A89" s="7" t="s">
        <v>38</v>
      </c>
      <c r="B89" s="7" t="s">
        <v>15</v>
      </c>
      <c r="C89" s="7" t="s">
        <v>180</v>
      </c>
      <c r="D89" s="5">
        <v>2020</v>
      </c>
      <c r="E89" s="5">
        <v>118</v>
      </c>
    </row>
    <row r="90" spans="1:5">
      <c r="A90" s="7" t="s">
        <v>38</v>
      </c>
      <c r="B90" s="7" t="s">
        <v>15</v>
      </c>
      <c r="C90" s="7" t="s">
        <v>180</v>
      </c>
      <c r="D90" s="5">
        <v>2019</v>
      </c>
      <c r="E90" s="5">
        <v>91</v>
      </c>
    </row>
    <row r="91" spans="1:5">
      <c r="A91" s="7" t="s">
        <v>38</v>
      </c>
      <c r="B91" s="7" t="s">
        <v>15</v>
      </c>
      <c r="C91" s="7" t="s">
        <v>180</v>
      </c>
      <c r="D91" s="5">
        <v>2018</v>
      </c>
      <c r="E91" s="5">
        <v>64</v>
      </c>
    </row>
    <row r="92" spans="1:5">
      <c r="A92" s="7" t="s">
        <v>38</v>
      </c>
      <c r="B92" s="7" t="s">
        <v>15</v>
      </c>
      <c r="C92" s="7" t="s">
        <v>180</v>
      </c>
      <c r="D92" s="5">
        <v>2017</v>
      </c>
      <c r="E92" s="5">
        <v>54</v>
      </c>
    </row>
    <row r="93" spans="1:5">
      <c r="A93" s="7" t="s">
        <v>38</v>
      </c>
      <c r="B93" s="7" t="s">
        <v>15</v>
      </c>
      <c r="C93" s="7" t="s">
        <v>180</v>
      </c>
      <c r="D93" s="5">
        <v>2016</v>
      </c>
      <c r="E93" s="5">
        <v>48</v>
      </c>
    </row>
    <row r="94" spans="1:5">
      <c r="A94" s="7" t="s">
        <v>38</v>
      </c>
      <c r="B94" s="7" t="s">
        <v>15</v>
      </c>
      <c r="C94" s="7" t="s">
        <v>180</v>
      </c>
      <c r="D94" s="5">
        <v>2015</v>
      </c>
      <c r="E94" s="5">
        <v>34</v>
      </c>
    </row>
    <row r="95" spans="1:5">
      <c r="A95" s="7" t="s">
        <v>38</v>
      </c>
      <c r="B95" s="7" t="s">
        <v>15</v>
      </c>
      <c r="C95" s="7" t="s">
        <v>180</v>
      </c>
      <c r="D95" s="5">
        <v>2014</v>
      </c>
      <c r="E95" s="5">
        <v>42</v>
      </c>
    </row>
    <row r="96" spans="1:5">
      <c r="A96" s="7" t="s">
        <v>38</v>
      </c>
      <c r="B96" s="7" t="s">
        <v>15</v>
      </c>
      <c r="C96" s="7" t="s">
        <v>180</v>
      </c>
      <c r="D96" s="5">
        <v>2013</v>
      </c>
      <c r="E96" s="5">
        <v>39</v>
      </c>
    </row>
    <row r="97" spans="1:5">
      <c r="A97" s="7" t="s">
        <v>38</v>
      </c>
      <c r="B97" s="7" t="s">
        <v>15</v>
      </c>
      <c r="C97" s="7" t="s">
        <v>180</v>
      </c>
      <c r="D97" s="5">
        <v>2012</v>
      </c>
      <c r="E97" s="5">
        <v>29</v>
      </c>
    </row>
    <row r="98" spans="1:5">
      <c r="A98" s="7" t="s">
        <v>38</v>
      </c>
      <c r="B98" s="7" t="s">
        <v>15</v>
      </c>
      <c r="C98" s="7" t="s">
        <v>180</v>
      </c>
      <c r="D98" s="5">
        <v>2011</v>
      </c>
      <c r="E98" s="5">
        <v>32</v>
      </c>
    </row>
    <row r="99" spans="1:5">
      <c r="A99" s="7" t="s">
        <v>38</v>
      </c>
      <c r="B99" s="7" t="s">
        <v>15</v>
      </c>
      <c r="C99" s="7" t="s">
        <v>180</v>
      </c>
      <c r="D99" s="5">
        <v>2010</v>
      </c>
      <c r="E99" s="5">
        <v>24</v>
      </c>
    </row>
    <row r="100" spans="1:5">
      <c r="A100" s="7" t="s">
        <v>38</v>
      </c>
      <c r="B100" s="7" t="s">
        <v>15</v>
      </c>
      <c r="C100" s="7" t="s">
        <v>180</v>
      </c>
      <c r="D100" s="5">
        <v>2009</v>
      </c>
      <c r="E100" s="5">
        <v>23</v>
      </c>
    </row>
    <row r="101" spans="1:5">
      <c r="A101" s="7" t="s">
        <v>38</v>
      </c>
      <c r="B101" s="7" t="s">
        <v>15</v>
      </c>
      <c r="C101" s="7" t="s">
        <v>180</v>
      </c>
      <c r="D101" s="5">
        <v>2008</v>
      </c>
      <c r="E101" s="5">
        <v>26</v>
      </c>
    </row>
    <row r="102" spans="1:5">
      <c r="A102" s="7" t="s">
        <v>38</v>
      </c>
      <c r="B102" s="7" t="s">
        <v>15</v>
      </c>
      <c r="C102" s="7" t="s">
        <v>180</v>
      </c>
      <c r="D102" s="5">
        <v>2007</v>
      </c>
      <c r="E102" s="5">
        <v>27</v>
      </c>
    </row>
    <row r="103" spans="1:5">
      <c r="A103" s="7" t="s">
        <v>38</v>
      </c>
      <c r="B103" s="7" t="s">
        <v>15</v>
      </c>
      <c r="C103" s="7" t="s">
        <v>180</v>
      </c>
      <c r="D103" s="5">
        <v>2006</v>
      </c>
      <c r="E103" s="5">
        <v>26</v>
      </c>
    </row>
    <row r="104" spans="1:5">
      <c r="A104" s="7" t="s">
        <v>38</v>
      </c>
      <c r="B104" s="7" t="s">
        <v>15</v>
      </c>
      <c r="C104" s="7" t="s">
        <v>180</v>
      </c>
      <c r="D104" s="5">
        <v>2005</v>
      </c>
      <c r="E104" s="5">
        <v>16</v>
      </c>
    </row>
    <row r="105" spans="1:5">
      <c r="A105" s="7" t="s">
        <v>38</v>
      </c>
      <c r="B105" s="7" t="s">
        <v>15</v>
      </c>
      <c r="C105" s="7" t="s">
        <v>180</v>
      </c>
      <c r="D105" s="5">
        <v>2004</v>
      </c>
      <c r="E105" s="5">
        <v>9</v>
      </c>
    </row>
    <row r="106" spans="1:5">
      <c r="A106" s="7" t="s">
        <v>38</v>
      </c>
      <c r="B106" s="7" t="s">
        <v>15</v>
      </c>
      <c r="C106" s="7" t="s">
        <v>180</v>
      </c>
      <c r="D106" s="5">
        <v>2003</v>
      </c>
      <c r="E106" s="5">
        <v>11</v>
      </c>
    </row>
    <row r="107" spans="1:5">
      <c r="A107" s="7" t="s">
        <v>38</v>
      </c>
      <c r="B107" s="7" t="s">
        <v>15</v>
      </c>
      <c r="C107" s="7" t="s">
        <v>180</v>
      </c>
      <c r="D107" s="5">
        <v>2002</v>
      </c>
      <c r="E107" s="5">
        <v>13</v>
      </c>
    </row>
    <row r="108" spans="1:5">
      <c r="A108" s="7" t="s">
        <v>38</v>
      </c>
      <c r="B108" s="7" t="s">
        <v>15</v>
      </c>
      <c r="C108" s="7" t="s">
        <v>180</v>
      </c>
      <c r="D108" s="5">
        <v>2001</v>
      </c>
      <c r="E108" s="5">
        <v>9</v>
      </c>
    </row>
    <row r="109" spans="1:5">
      <c r="A109" s="7" t="s">
        <v>38</v>
      </c>
      <c r="B109" s="7" t="s">
        <v>15</v>
      </c>
      <c r="C109" s="7" t="s">
        <v>180</v>
      </c>
      <c r="D109" s="5">
        <v>2000</v>
      </c>
      <c r="E109" s="5">
        <v>10</v>
      </c>
    </row>
    <row r="110" spans="1:5" ht="28.5">
      <c r="A110" s="7" t="s">
        <v>38</v>
      </c>
      <c r="B110" s="7" t="s">
        <v>157</v>
      </c>
      <c r="C110" s="7" t="s">
        <v>124</v>
      </c>
      <c r="D110" s="5">
        <v>2026</v>
      </c>
      <c r="E110" s="5">
        <v>10</v>
      </c>
    </row>
    <row r="111" spans="1:5" ht="28.5">
      <c r="A111" s="7" t="s">
        <v>38</v>
      </c>
      <c r="B111" s="7" t="s">
        <v>157</v>
      </c>
      <c r="C111" s="7" t="s">
        <v>124</v>
      </c>
      <c r="D111" s="5">
        <v>2025</v>
      </c>
      <c r="E111" s="5">
        <v>16</v>
      </c>
    </row>
    <row r="112" spans="1:5" ht="28.5">
      <c r="A112" s="7" t="s">
        <v>38</v>
      </c>
      <c r="B112" s="7" t="s">
        <v>157</v>
      </c>
      <c r="C112" s="7" t="s">
        <v>124</v>
      </c>
      <c r="D112" s="5">
        <v>2024</v>
      </c>
      <c r="E112" s="5">
        <v>11</v>
      </c>
    </row>
    <row r="113" spans="1:5" ht="28.5">
      <c r="A113" s="7" t="s">
        <v>38</v>
      </c>
      <c r="B113" s="7" t="s">
        <v>157</v>
      </c>
      <c r="C113" s="7" t="s">
        <v>124</v>
      </c>
      <c r="D113" s="5">
        <v>2023</v>
      </c>
      <c r="E113" s="5">
        <v>14</v>
      </c>
    </row>
    <row r="114" spans="1:5" ht="28.5">
      <c r="A114" s="7" t="s">
        <v>38</v>
      </c>
      <c r="B114" s="7" t="s">
        <v>157</v>
      </c>
      <c r="C114" s="7" t="s">
        <v>124</v>
      </c>
      <c r="D114" s="5">
        <v>2022</v>
      </c>
      <c r="E114" s="5">
        <v>21</v>
      </c>
    </row>
    <row r="115" spans="1:5" ht="28.5">
      <c r="A115" s="7" t="s">
        <v>38</v>
      </c>
      <c r="B115" s="7" t="s">
        <v>157</v>
      </c>
      <c r="C115" s="7" t="s">
        <v>124</v>
      </c>
      <c r="D115" s="5">
        <v>2021</v>
      </c>
      <c r="E115" s="5">
        <v>6</v>
      </c>
    </row>
    <row r="116" spans="1:5" ht="28.5">
      <c r="A116" s="7" t="s">
        <v>38</v>
      </c>
      <c r="B116" s="7" t="s">
        <v>157</v>
      </c>
      <c r="C116" s="7" t="s">
        <v>124</v>
      </c>
      <c r="D116" s="5">
        <v>2020</v>
      </c>
      <c r="E116" s="5">
        <v>6</v>
      </c>
    </row>
    <row r="117" spans="1:5" ht="28.5">
      <c r="A117" s="7" t="s">
        <v>38</v>
      </c>
      <c r="B117" s="7" t="s">
        <v>157</v>
      </c>
      <c r="C117" s="7" t="s">
        <v>124</v>
      </c>
      <c r="D117" s="5">
        <v>2019</v>
      </c>
      <c r="E117" s="5">
        <v>3</v>
      </c>
    </row>
    <row r="118" spans="1:5" ht="28.5">
      <c r="A118" s="7" t="s">
        <v>38</v>
      </c>
      <c r="B118" s="7" t="s">
        <v>157</v>
      </c>
      <c r="C118" s="7" t="s">
        <v>124</v>
      </c>
      <c r="D118" s="5">
        <v>2018</v>
      </c>
      <c r="E118" s="5">
        <v>6</v>
      </c>
    </row>
    <row r="119" spans="1:5" ht="28.5">
      <c r="A119" s="7" t="s">
        <v>38</v>
      </c>
      <c r="B119" s="7" t="s">
        <v>157</v>
      </c>
      <c r="C119" s="7" t="s">
        <v>124</v>
      </c>
      <c r="D119" s="5">
        <v>2017</v>
      </c>
      <c r="E119" s="5">
        <v>4</v>
      </c>
    </row>
    <row r="120" spans="1:5" ht="28.5">
      <c r="A120" s="7" t="s">
        <v>38</v>
      </c>
      <c r="B120" s="7" t="s">
        <v>157</v>
      </c>
      <c r="C120" s="7" t="s">
        <v>124</v>
      </c>
      <c r="D120" s="5">
        <v>2016</v>
      </c>
      <c r="E120" s="5">
        <v>3</v>
      </c>
    </row>
    <row r="121" spans="1:5" ht="28.5">
      <c r="A121" s="7" t="s">
        <v>38</v>
      </c>
      <c r="B121" s="7" t="s">
        <v>157</v>
      </c>
      <c r="C121" s="7" t="s">
        <v>124</v>
      </c>
      <c r="D121" s="5">
        <v>2014</v>
      </c>
      <c r="E121" s="5">
        <v>2</v>
      </c>
    </row>
    <row r="122" spans="1:5" ht="28.5">
      <c r="A122" s="7" t="s">
        <v>38</v>
      </c>
      <c r="B122" s="7" t="s">
        <v>157</v>
      </c>
      <c r="C122" s="7" t="s">
        <v>124</v>
      </c>
      <c r="D122" s="5">
        <v>2013</v>
      </c>
      <c r="E122" s="5">
        <v>3</v>
      </c>
    </row>
    <row r="123" spans="1:5" ht="28.5">
      <c r="A123" s="7" t="s">
        <v>38</v>
      </c>
      <c r="B123" s="7" t="s">
        <v>157</v>
      </c>
      <c r="C123" s="7" t="s">
        <v>124</v>
      </c>
      <c r="D123" s="5">
        <v>2012</v>
      </c>
      <c r="E123" s="5">
        <v>2</v>
      </c>
    </row>
    <row r="124" spans="1:5" ht="28.5">
      <c r="A124" s="7" t="s">
        <v>38</v>
      </c>
      <c r="B124" s="7" t="s">
        <v>157</v>
      </c>
      <c r="C124" s="7" t="s">
        <v>124</v>
      </c>
      <c r="D124" s="5">
        <v>2011</v>
      </c>
      <c r="E124" s="5">
        <v>1</v>
      </c>
    </row>
    <row r="125" spans="1:5" ht="28.5">
      <c r="A125" s="7" t="s">
        <v>38</v>
      </c>
      <c r="B125" s="7" t="s">
        <v>157</v>
      </c>
      <c r="C125" s="7" t="s">
        <v>124</v>
      </c>
      <c r="D125" s="5">
        <v>2010</v>
      </c>
      <c r="E125" s="5">
        <v>1</v>
      </c>
    </row>
    <row r="126" spans="1:5" ht="28.5">
      <c r="A126" s="7" t="s">
        <v>38</v>
      </c>
      <c r="B126" s="7" t="s">
        <v>157</v>
      </c>
      <c r="C126" s="7" t="s">
        <v>124</v>
      </c>
      <c r="D126" s="5">
        <v>2009</v>
      </c>
      <c r="E126" s="5">
        <v>2</v>
      </c>
    </row>
    <row r="127" spans="1:5" ht="28.5">
      <c r="A127" s="7" t="s">
        <v>38</v>
      </c>
      <c r="B127" s="7" t="s">
        <v>157</v>
      </c>
      <c r="C127" s="7" t="s">
        <v>124</v>
      </c>
      <c r="D127" s="5">
        <v>2008</v>
      </c>
      <c r="E127" s="5">
        <v>1</v>
      </c>
    </row>
    <row r="128" spans="1:5" ht="28.5">
      <c r="A128" s="7" t="s">
        <v>38</v>
      </c>
      <c r="B128" s="7" t="s">
        <v>157</v>
      </c>
      <c r="C128" s="7" t="s">
        <v>124</v>
      </c>
      <c r="D128" s="5">
        <v>2006</v>
      </c>
      <c r="E128" s="5">
        <v>2</v>
      </c>
    </row>
    <row r="129" spans="1:5" ht="28.5">
      <c r="A129" s="7" t="s">
        <v>38</v>
      </c>
      <c r="B129" s="7" t="s">
        <v>157</v>
      </c>
      <c r="C129" s="7" t="s">
        <v>124</v>
      </c>
      <c r="D129" s="5">
        <v>2005</v>
      </c>
      <c r="E129" s="5">
        <v>1</v>
      </c>
    </row>
    <row r="130" spans="1:5" ht="28.5">
      <c r="A130" s="7" t="s">
        <v>38</v>
      </c>
      <c r="B130" s="7" t="s">
        <v>157</v>
      </c>
      <c r="C130" s="7" t="s">
        <v>124</v>
      </c>
      <c r="D130" s="5">
        <v>2002</v>
      </c>
      <c r="E130" s="5">
        <v>1</v>
      </c>
    </row>
    <row r="131" spans="1:5" ht="28.5">
      <c r="A131" s="7" t="s">
        <v>38</v>
      </c>
      <c r="B131" s="7" t="s">
        <v>157</v>
      </c>
      <c r="C131" s="7" t="s">
        <v>124</v>
      </c>
      <c r="D131" s="5">
        <v>2001</v>
      </c>
      <c r="E131" s="5">
        <v>1</v>
      </c>
    </row>
    <row r="132" spans="1:5" ht="28.5">
      <c r="A132" s="7" t="s">
        <v>38</v>
      </c>
      <c r="B132" s="7" t="s">
        <v>157</v>
      </c>
      <c r="C132" s="7" t="s">
        <v>124</v>
      </c>
      <c r="D132" s="5">
        <v>1988</v>
      </c>
      <c r="E132" s="5">
        <v>1</v>
      </c>
    </row>
    <row r="133" spans="1:5">
      <c r="A133" s="7" t="s">
        <v>26</v>
      </c>
      <c r="B133" s="7" t="s">
        <v>168</v>
      </c>
      <c r="C133" s="7" t="s">
        <v>113</v>
      </c>
      <c r="D133" s="5">
        <v>2026</v>
      </c>
      <c r="E133" s="5">
        <v>74</v>
      </c>
    </row>
    <row r="134" spans="1:5">
      <c r="A134" s="7" t="s">
        <v>26</v>
      </c>
      <c r="B134" s="7" t="s">
        <v>168</v>
      </c>
      <c r="C134" s="7" t="s">
        <v>113</v>
      </c>
      <c r="D134" s="5">
        <v>2025</v>
      </c>
      <c r="E134" s="5">
        <v>103</v>
      </c>
    </row>
    <row r="135" spans="1:5">
      <c r="A135" s="7" t="s">
        <v>26</v>
      </c>
      <c r="B135" s="7" t="s">
        <v>168</v>
      </c>
      <c r="C135" s="7" t="s">
        <v>113</v>
      </c>
      <c r="D135" s="5">
        <v>2024</v>
      </c>
      <c r="E135" s="5">
        <v>56</v>
      </c>
    </row>
    <row r="136" spans="1:5">
      <c r="A136" s="7" t="s">
        <v>26</v>
      </c>
      <c r="B136" s="7" t="s">
        <v>168</v>
      </c>
      <c r="C136" s="7" t="s">
        <v>113</v>
      </c>
      <c r="D136" s="5">
        <v>2023</v>
      </c>
      <c r="E136" s="5">
        <v>33</v>
      </c>
    </row>
    <row r="137" spans="1:5">
      <c r="A137" s="7" t="s">
        <v>26</v>
      </c>
      <c r="B137" s="7" t="s">
        <v>168</v>
      </c>
      <c r="C137" s="7" t="s">
        <v>113</v>
      </c>
      <c r="D137" s="5">
        <v>2022</v>
      </c>
      <c r="E137" s="5">
        <v>20</v>
      </c>
    </row>
    <row r="138" spans="1:5">
      <c r="A138" s="7" t="s">
        <v>26</v>
      </c>
      <c r="B138" s="7" t="s">
        <v>168</v>
      </c>
      <c r="C138" s="7" t="s">
        <v>113</v>
      </c>
      <c r="D138" s="5">
        <v>2021</v>
      </c>
      <c r="E138" s="5">
        <v>9</v>
      </c>
    </row>
    <row r="139" spans="1:5">
      <c r="A139" s="7" t="s">
        <v>26</v>
      </c>
      <c r="B139" s="7" t="s">
        <v>168</v>
      </c>
      <c r="C139" s="7" t="s">
        <v>113</v>
      </c>
      <c r="D139" s="5">
        <v>2020</v>
      </c>
      <c r="E139" s="5">
        <v>4</v>
      </c>
    </row>
    <row r="140" spans="1:5">
      <c r="A140" s="7" t="s">
        <v>26</v>
      </c>
      <c r="B140" s="7" t="s">
        <v>168</v>
      </c>
      <c r="C140" s="7" t="s">
        <v>113</v>
      </c>
      <c r="D140" s="5">
        <v>2019</v>
      </c>
      <c r="E140" s="5">
        <v>2</v>
      </c>
    </row>
    <row r="141" spans="1:5">
      <c r="A141" s="7" t="s">
        <v>38</v>
      </c>
      <c r="B141" s="7" t="s">
        <v>15</v>
      </c>
      <c r="C141" s="7" t="s">
        <v>113</v>
      </c>
      <c r="D141" s="5">
        <v>2027</v>
      </c>
      <c r="E141" s="5">
        <v>7</v>
      </c>
    </row>
    <row r="142" spans="1:5">
      <c r="A142" s="7" t="s">
        <v>38</v>
      </c>
      <c r="B142" s="7" t="s">
        <v>15</v>
      </c>
      <c r="C142" s="7" t="s">
        <v>113</v>
      </c>
      <c r="D142" s="5">
        <v>2026</v>
      </c>
      <c r="E142" s="5">
        <v>289</v>
      </c>
    </row>
    <row r="143" spans="1:5">
      <c r="A143" s="7" t="s">
        <v>38</v>
      </c>
      <c r="B143" s="7" t="s">
        <v>15</v>
      </c>
      <c r="C143" s="7" t="s">
        <v>113</v>
      </c>
      <c r="D143" s="5">
        <v>2025</v>
      </c>
      <c r="E143" s="5">
        <v>324</v>
      </c>
    </row>
    <row r="144" spans="1:5">
      <c r="A144" s="7" t="s">
        <v>38</v>
      </c>
      <c r="B144" s="7" t="s">
        <v>15</v>
      </c>
      <c r="C144" s="7" t="s">
        <v>113</v>
      </c>
      <c r="D144" s="5">
        <v>2024</v>
      </c>
      <c r="E144" s="5">
        <v>234</v>
      </c>
    </row>
    <row r="145" spans="1:5">
      <c r="A145" s="7" t="s">
        <v>38</v>
      </c>
      <c r="B145" s="7" t="s">
        <v>15</v>
      </c>
      <c r="C145" s="7" t="s">
        <v>113</v>
      </c>
      <c r="D145" s="5">
        <v>2023</v>
      </c>
      <c r="E145" s="5">
        <v>202</v>
      </c>
    </row>
    <row r="146" spans="1:5">
      <c r="A146" s="7" t="s">
        <v>38</v>
      </c>
      <c r="B146" s="7" t="s">
        <v>15</v>
      </c>
      <c r="C146" s="7" t="s">
        <v>113</v>
      </c>
      <c r="D146" s="5">
        <v>2022</v>
      </c>
      <c r="E146" s="5">
        <v>167</v>
      </c>
    </row>
    <row r="147" spans="1:5">
      <c r="A147" s="7" t="s">
        <v>38</v>
      </c>
      <c r="B147" s="7" t="s">
        <v>15</v>
      </c>
      <c r="C147" s="7" t="s">
        <v>113</v>
      </c>
      <c r="D147" s="5">
        <v>2021</v>
      </c>
      <c r="E147" s="5">
        <v>139</v>
      </c>
    </row>
    <row r="148" spans="1:5">
      <c r="A148" s="7" t="s">
        <v>38</v>
      </c>
      <c r="B148" s="7" t="s">
        <v>15</v>
      </c>
      <c r="C148" s="7" t="s">
        <v>113</v>
      </c>
      <c r="D148" s="5">
        <v>2020</v>
      </c>
      <c r="E148" s="5">
        <v>112</v>
      </c>
    </row>
    <row r="149" spans="1:5">
      <c r="A149" s="7" t="s">
        <v>38</v>
      </c>
      <c r="B149" s="7" t="s">
        <v>15</v>
      </c>
      <c r="C149" s="7" t="s">
        <v>113</v>
      </c>
      <c r="D149" s="5">
        <v>2019</v>
      </c>
      <c r="E149" s="5">
        <v>84</v>
      </c>
    </row>
    <row r="150" spans="1:5">
      <c r="A150" s="7" t="s">
        <v>38</v>
      </c>
      <c r="B150" s="7" t="s">
        <v>15</v>
      </c>
      <c r="C150" s="7" t="s">
        <v>113</v>
      </c>
      <c r="D150" s="5">
        <v>2018</v>
      </c>
      <c r="E150" s="5">
        <v>60</v>
      </c>
    </row>
    <row r="151" spans="1:5">
      <c r="A151" s="7" t="s">
        <v>38</v>
      </c>
      <c r="B151" s="7" t="s">
        <v>15</v>
      </c>
      <c r="C151" s="7" t="s">
        <v>113</v>
      </c>
      <c r="D151" s="5">
        <v>2017</v>
      </c>
      <c r="E151" s="5">
        <v>44</v>
      </c>
    </row>
    <row r="152" spans="1:5">
      <c r="A152" s="7" t="s">
        <v>38</v>
      </c>
      <c r="B152" s="7" t="s">
        <v>15</v>
      </c>
      <c r="C152" s="7" t="s">
        <v>113</v>
      </c>
      <c r="D152" s="5">
        <v>2016</v>
      </c>
      <c r="E152" s="5">
        <v>40</v>
      </c>
    </row>
    <row r="153" spans="1:5">
      <c r="A153" s="7" t="s">
        <v>38</v>
      </c>
      <c r="B153" s="7" t="s">
        <v>15</v>
      </c>
      <c r="C153" s="7" t="s">
        <v>113</v>
      </c>
      <c r="D153" s="5">
        <v>2015</v>
      </c>
      <c r="E153" s="5">
        <v>29</v>
      </c>
    </row>
    <row r="154" spans="1:5">
      <c r="A154" s="7" t="s">
        <v>38</v>
      </c>
      <c r="B154" s="7" t="s">
        <v>15</v>
      </c>
      <c r="C154" s="7" t="s">
        <v>113</v>
      </c>
      <c r="D154" s="5">
        <v>2014</v>
      </c>
      <c r="E154" s="5">
        <v>38</v>
      </c>
    </row>
    <row r="155" spans="1:5">
      <c r="A155" s="7" t="s">
        <v>38</v>
      </c>
      <c r="B155" s="7" t="s">
        <v>15</v>
      </c>
      <c r="C155" s="7" t="s">
        <v>113</v>
      </c>
      <c r="D155" s="5">
        <v>2013</v>
      </c>
      <c r="E155" s="5">
        <v>34</v>
      </c>
    </row>
    <row r="156" spans="1:5">
      <c r="A156" s="7" t="s">
        <v>38</v>
      </c>
      <c r="B156" s="7" t="s">
        <v>15</v>
      </c>
      <c r="C156" s="7" t="s">
        <v>113</v>
      </c>
      <c r="D156" s="5">
        <v>2012</v>
      </c>
      <c r="E156" s="5">
        <v>21</v>
      </c>
    </row>
    <row r="157" spans="1:5">
      <c r="A157" s="7" t="s">
        <v>38</v>
      </c>
      <c r="B157" s="7" t="s">
        <v>15</v>
      </c>
      <c r="C157" s="7" t="s">
        <v>113</v>
      </c>
      <c r="D157" s="5">
        <v>2011</v>
      </c>
      <c r="E157" s="5">
        <v>22</v>
      </c>
    </row>
    <row r="158" spans="1:5">
      <c r="A158" s="7" t="s">
        <v>38</v>
      </c>
      <c r="B158" s="7" t="s">
        <v>15</v>
      </c>
      <c r="C158" s="7" t="s">
        <v>113</v>
      </c>
      <c r="D158" s="5">
        <v>2010</v>
      </c>
      <c r="E158" s="5">
        <v>18</v>
      </c>
    </row>
    <row r="159" spans="1:5">
      <c r="A159" s="7" t="s">
        <v>38</v>
      </c>
      <c r="B159" s="7" t="s">
        <v>15</v>
      </c>
      <c r="C159" s="7" t="s">
        <v>113</v>
      </c>
      <c r="D159" s="5">
        <v>2009</v>
      </c>
      <c r="E159" s="5">
        <v>17</v>
      </c>
    </row>
    <row r="160" spans="1:5">
      <c r="A160" s="7" t="s">
        <v>38</v>
      </c>
      <c r="B160" s="7" t="s">
        <v>15</v>
      </c>
      <c r="C160" s="7" t="s">
        <v>113</v>
      </c>
      <c r="D160" s="5">
        <v>2008</v>
      </c>
      <c r="E160" s="5">
        <v>20</v>
      </c>
    </row>
    <row r="161" spans="1:5">
      <c r="A161" s="7" t="s">
        <v>38</v>
      </c>
      <c r="B161" s="7" t="s">
        <v>15</v>
      </c>
      <c r="C161" s="7" t="s">
        <v>113</v>
      </c>
      <c r="D161" s="5">
        <v>2007</v>
      </c>
      <c r="E161" s="5">
        <v>14</v>
      </c>
    </row>
    <row r="162" spans="1:5">
      <c r="A162" s="7" t="s">
        <v>38</v>
      </c>
      <c r="B162" s="7" t="s">
        <v>15</v>
      </c>
      <c r="C162" s="7" t="s">
        <v>113</v>
      </c>
      <c r="D162" s="5">
        <v>2006</v>
      </c>
      <c r="E162" s="5">
        <v>18</v>
      </c>
    </row>
    <row r="163" spans="1:5">
      <c r="A163" s="7" t="s">
        <v>38</v>
      </c>
      <c r="B163" s="7" t="s">
        <v>15</v>
      </c>
      <c r="C163" s="7" t="s">
        <v>113</v>
      </c>
      <c r="D163" s="5">
        <v>2005</v>
      </c>
      <c r="E163" s="5">
        <v>11</v>
      </c>
    </row>
    <row r="164" spans="1:5">
      <c r="A164" s="7" t="s">
        <v>38</v>
      </c>
      <c r="B164" s="7" t="s">
        <v>15</v>
      </c>
      <c r="C164" s="7" t="s">
        <v>113</v>
      </c>
      <c r="D164" s="5">
        <v>2004</v>
      </c>
      <c r="E164" s="5">
        <v>7</v>
      </c>
    </row>
    <row r="165" spans="1:5">
      <c r="A165" s="7" t="s">
        <v>38</v>
      </c>
      <c r="B165" s="7" t="s">
        <v>15</v>
      </c>
      <c r="C165" s="7" t="s">
        <v>113</v>
      </c>
      <c r="D165" s="5">
        <v>2003</v>
      </c>
      <c r="E165" s="5">
        <v>9</v>
      </c>
    </row>
    <row r="166" spans="1:5">
      <c r="A166" s="7" t="s">
        <v>38</v>
      </c>
      <c r="B166" s="7" t="s">
        <v>15</v>
      </c>
      <c r="C166" s="7" t="s">
        <v>113</v>
      </c>
      <c r="D166" s="5">
        <v>2002</v>
      </c>
      <c r="E166" s="5">
        <v>11</v>
      </c>
    </row>
    <row r="167" spans="1:5">
      <c r="A167" s="7" t="s">
        <v>38</v>
      </c>
      <c r="B167" s="7" t="s">
        <v>15</v>
      </c>
      <c r="C167" s="7" t="s">
        <v>113</v>
      </c>
      <c r="D167" s="5">
        <v>2001</v>
      </c>
      <c r="E167" s="5">
        <v>6</v>
      </c>
    </row>
    <row r="168" spans="1:5">
      <c r="A168" s="7" t="s">
        <v>38</v>
      </c>
      <c r="B168" s="7" t="s">
        <v>15</v>
      </c>
      <c r="C168" s="7" t="s">
        <v>113</v>
      </c>
      <c r="D168" s="5">
        <v>2000</v>
      </c>
      <c r="E168" s="5">
        <v>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Search Evidence</vt:lpstr>
      <vt:lpstr>Known Item Tests</vt:lpstr>
      <vt:lpstr>Screening</vt:lpstr>
      <vt:lpstr>Phase Tracker</vt:lpstr>
      <vt:lpstr>Exclusion Codes</vt:lpstr>
      <vt:lpstr>Year Histograms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Arnaud Dorasamy</cp:lastModifiedBy>
  <dcterms:modified xsi:type="dcterms:W3CDTF">2026-10-17T00:15:45Z</dcterms:modified>
</cp:coreProperties>
</file>