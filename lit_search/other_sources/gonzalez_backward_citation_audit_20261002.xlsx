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e9ed69ed71ddea64/Documents/GitHub/autonomous_vehicles_arnaud/lit_search/other_sources/"/>
    </mc:Choice>
  </mc:AlternateContent>
  <xr:revisionPtr revIDLastSave="102" documentId="11_6CDF37C24ECC41EDAD931744729C04A66648E24B" xr6:coauthVersionLast="47" xr6:coauthVersionMax="47" xr10:uidLastSave="{E7D0F0A9-1E38-4689-AD97-0672E8420583}"/>
  <bookViews>
    <workbookView xWindow="-120" yWindow="-120" windowWidth="29040" windowHeight="15720" activeTab="3" xr2:uid="{00000000-000D-0000-FFFF-FFFF00000000}"/>
  </bookViews>
  <sheets>
    <sheet name="Method" sheetId="1" r:id="rId1"/>
    <sheet name="Audit" sheetId="2" r:id="rId2"/>
    <sheet name="Summary" sheetId="3" r:id="rId3"/>
    <sheet name="Abstract scree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 l="1"/>
  <c r="B15" i="3"/>
  <c r="B14" i="3"/>
  <c r="B12" i="3"/>
  <c r="B10" i="3"/>
  <c r="B9" i="3"/>
  <c r="B8" i="3"/>
  <c r="B7" i="3"/>
  <c r="B5" i="3"/>
  <c r="B13" i="3" s="1"/>
  <c r="B4" i="3"/>
  <c r="B3" i="3"/>
</calcChain>
</file>

<file path=xl/sharedStrings.xml><?xml version="1.0" encoding="utf-8"?>
<sst xmlns="http://schemas.openxmlformats.org/spreadsheetml/2006/main" count="853" uniqueCount="372">
  <si>
    <t>Backward citation audit: method, limits and how to use</t>
  </si>
  <si>
    <t>WHAT THIS IS</t>
  </si>
  <si>
    <t>Every entry in the reference list of González et al. (2017), "A Review on Quantification Learning", ACM Computing Surveys</t>
  </si>
  <si>
    <t>50(5), doi:10.1145/3117807, checked against the deduplicated screening corpus. Built 2 October 2026.</t>
  </si>
  <si>
    <t>WHERE THE REFERENCE LIST CAME FROM</t>
  </si>
  <si>
    <t>The list as deposited with Crossref: 77 entries. It is alphabetical by first author, so "Ref no." is the entry's position</t>
  </si>
  <si>
    <t>in the paper's own reference list. Check the list against the paper before the audit is treated as final: the paper is</t>
  </si>
  <si>
    <t>the primary source and this is a copy of it.</t>
  </si>
  <si>
    <t>HOW EACH REFERENCE WAS CHECKED</t>
  </si>
  <si>
    <t>1. DOI match against the corpus (exact).</t>
  </si>
  <si>
    <t>2. Title match after normalising case, punctuation and spacing; a similarity of 0.90 or more counts as the same work.</t>
  </si>
  <si>
    <t>Exact-title matching is not enough: reference 8 is in the corpus as "nearest neighbor" but cited as "nearest neighbour",</t>
  </si>
  <si>
    <t>and an exact-title check reports it missing.</t>
  </si>
  <si>
    <t>LIMITS — READ BEFORE USING THE COUNTS</t>
  </si>
  <si>
    <t>a. Corpus file. The check ran on the 2,190-record export of 21 September, which is two records short of the 2,192-record</t>
  </si>
  <si>
    <t>corpus. RESOLVED 4 October 2026: re-run against the complete 2,192-record ALL ACCEPTED - DEDUPED.ris; no additional corpus matches were found and the 7/70 split was unchanged.</t>
  </si>
  <si>
    <t>b. Titles not resolved. 21 references have a DOI but no title here, because the lookup service rate-limited the requests.</t>
  </si>
  <si>
    <t xml:space="preserve">   All 21 are confirmed absent from the corpus by DOI. Their titles are shaded red: read each from the paper by its Ref no.</t>
  </si>
  <si>
    <t>RESOLVED 4 October 2026: all 21 missing titles, first authors and years were copied from the paper's own reference list and the title-variant check was re-run.</t>
  </si>
  <si>
    <t>c. Three pairings not looked up. References 18, 26 and 50 take their titles from the paper's reference list as given in the</t>
  </si>
  <si>
    <t>RESOLVED 4 October 2026: references 18, 26 and 50 were confirmed against the paper by list position/title/venue; first author and year were filled from the paper.</t>
  </si>
  <si>
    <t>WHAT YOU EDIT</t>
  </si>
  <si>
    <t>Only the two shaded columns, and only for rows marked NOT IN CORPUS: Title-stage decision (G) and Note (H).</t>
  </si>
  <si>
    <t>Decision takes INCLUDE, EXCLUDE or MAYBE. Example:  23 | Forman | 2005 | Counting Positives Accurately ... | INCLUDE |</t>
  </si>
  <si>
    <t>The decisions are yours. Apply the Stage 1 title rule: where a title is uninformative, carry the record forward.</t>
  </si>
  <si>
    <t>INCLUDE and MAYBE mean: retrieve the record and screen its abstract against the Strand B-ii test, then full text.</t>
  </si>
  <si>
    <t>Do not include a reference only because González et al. cite it; much of the list is general background.</t>
  </si>
  <si>
    <t>THE TWO HELPER COLUMNS</t>
  </si>
  <si>
    <t>"B-ii terms in title" lists which of these terms appear, mechanically: quantif*, prevalence, class prior, prior</t>
  </si>
  <si>
    <t>(probability) shift, label shift, class distribution, class ratio, class balance, a priori probabilit*, classify and count.</t>
  </si>
  <si>
    <t>It is a sorting aid, not a decision. Reference 23, Forman (2005), a core classify-and-count paper, carries none of them.</t>
  </si>
  <si>
    <t>"Abstract on disk" marks references whose record, with abstract, sits in the superseded first-build export</t>
  </si>
  <si>
    <t>(PRISMA_dedup_current_20260921.ris). That saves retrieval time only. Such a record enters through the citation-searching</t>
  </si>
  <si>
    <t>arm; it does not revive the superseded Scopus search.</t>
  </si>
  <si>
    <t>HOW IT ENTERS THE PRISMA FIGURE</t>
  </si>
  <si>
    <t>Other-sources arm, citation searching: entries examined, less those already in the corpus, gives the new records. The new</t>
  </si>
  <si>
    <t>records then pass through title, abstract and full-text assessment under the same Strand B-ii rules as database records.</t>
  </si>
  <si>
    <t>The Summary tab holds these counts as live formulas.</t>
  </si>
  <si>
    <t>SCOPE OF THIS METHOD</t>
  </si>
  <si>
    <t>The review was published in 2017, so its reference list stops there. Backward searching from it cannot identify anything</t>
  </si>
  <si>
    <t>published from 2017 onwards. Forward citation searching (records that cite the review) is the method that covers that period.</t>
  </si>
  <si>
    <t>Ref no.</t>
  </si>
  <si>
    <t>First author</t>
  </si>
  <si>
    <t>Year</t>
  </si>
  <si>
    <t>Title</t>
  </si>
  <si>
    <t>DOI</t>
  </si>
  <si>
    <t>Corpus status</t>
  </si>
  <si>
    <t>Title-stage decision</t>
  </si>
  <si>
    <t>Note</t>
  </si>
  <si>
    <t>B-ii terms in title</t>
  </si>
  <si>
    <t>Abstract on disk</t>
  </si>
  <si>
    <t>How checked</t>
  </si>
  <si>
    <t>Matching corpus record</t>
  </si>
  <si>
    <t>Title source</t>
  </si>
  <si>
    <t>Alaiz-Rodríguez</t>
  </si>
  <si>
    <t>2008</t>
  </si>
  <si>
    <t>Quantifying the proportion of damaged sperm cells based on image analysis and neural networks</t>
  </si>
  <si>
    <t>NOT IN CORPUS</t>
  </si>
  <si>
    <t>INCLUDE</t>
  </si>
  <si>
    <t>quantifying</t>
  </si>
  <si>
    <t>Title absent; Rechecked 4 Oct 2026 against full 2,192-record corpus: no DOI/title match; no title-similarity pair &gt;= 0.85.</t>
  </si>
  <si>
    <t>Crossref reference list</t>
  </si>
  <si>
    <t>2011</t>
  </si>
  <si>
    <t>Class and subclass probability re-estimation to adapt a classifier in the presence of concept drift</t>
  </si>
  <si>
    <t>10.1016/j.neucom.2011.03.019</t>
  </si>
  <si>
    <t>Y</t>
  </si>
  <si>
    <t>DOI and title both absent; Rechecked 4 Oct 2026 against full 2,192-record corpus: no DOI/title match; no title-similarity pair &gt;= 0.85.</t>
  </si>
  <si>
    <t>Superseded first-build export (DOI match)</t>
  </si>
  <si>
    <t>Amati</t>
  </si>
  <si>
    <t>2014</t>
  </si>
  <si>
    <t>A scalable approach to near real-time sentiment analysis on social networks</t>
  </si>
  <si>
    <t>MAYBE</t>
  </si>
  <si>
    <t>Sentiment estimation on twitter</t>
  </si>
  <si>
    <t>Armstrong</t>
  </si>
  <si>
    <t>1978</t>
  </si>
  <si>
    <t>Long-range Forecasting: From Crystal Ball to Computer</t>
  </si>
  <si>
    <t>EXCLUDE</t>
  </si>
  <si>
    <t>Asoh</t>
  </si>
  <si>
    <t>2012</t>
  </si>
  <si>
    <t>A fast and simple method for profiling a population of twitter users</t>
  </si>
  <si>
    <t>Barranquero</t>
  </si>
  <si>
    <t>2015</t>
  </si>
  <si>
    <t>Quantification-oriented learning based on reliable classifiers</t>
  </si>
  <si>
    <t>10.1016/j.patcog.2014.07.032</t>
  </si>
  <si>
    <t>quantification</t>
  </si>
  <si>
    <t>2013</t>
  </si>
  <si>
    <t>On the study of nearest neighbour algorithms for prevalence estimation in binary problems</t>
  </si>
  <si>
    <t>10.1016/j.patcog.2012.07.022</t>
  </si>
  <si>
    <t>IN CORPUS</t>
  </si>
  <si>
    <t>prevalence</t>
  </si>
  <si>
    <t>DOI match; Rechecked 4 Oct 2026 against full 2,192-record corpus: corpus match confirmed.</t>
  </si>
  <si>
    <t>On the study of nearest neighbor algorithms for prevalence estimation in binary problems (2013)</t>
  </si>
  <si>
    <t>Paper reference list, verified 4 Oct 2026</t>
  </si>
  <si>
    <t>Beijbom</t>
  </si>
  <si>
    <t>Quantification in-the-wild: Data-sets and baselines</t>
  </si>
  <si>
    <t>Bella</t>
  </si>
  <si>
    <t>2010</t>
  </si>
  <si>
    <t>Quantification via Probability Estimators</t>
  </si>
  <si>
    <t>10.1109/ICDM.2010.75</t>
  </si>
  <si>
    <t>Crossref DOI lookup, 2 Oct 2026</t>
  </si>
  <si>
    <t>Aggregative quantification for regression</t>
  </si>
  <si>
    <t>10.1007/s10618-013-0308-z</t>
  </si>
  <si>
    <t>Paper reference list, year corrected 4 Oct 2026</t>
  </si>
  <si>
    <t>Bray</t>
  </si>
  <si>
    <t>1957</t>
  </si>
  <si>
    <t>An Ordination of the Upland Forest Communities of Southern Wisconsin</t>
  </si>
  <si>
    <t>10.2307/1942268</t>
  </si>
  <si>
    <t>Chan</t>
  </si>
  <si>
    <t>2006</t>
  </si>
  <si>
    <t>Estimating class priors in domain adaptation for word sense disambiguation</t>
  </si>
  <si>
    <t>10.3115/1220175.1220187</t>
  </si>
  <si>
    <t>class priors</t>
  </si>
  <si>
    <t>Estimating class priors in domain adaptation for word sense disambiguation (2006)</t>
  </si>
  <si>
    <t>Corpus record</t>
  </si>
  <si>
    <t>Daume</t>
  </si>
  <si>
    <t>Domain Adaptation for Statistical Classifiers</t>
  </si>
  <si>
    <t>10.1613/jair.1872</t>
  </si>
  <si>
    <t>du Plessis</t>
  </si>
  <si>
    <t>Semi-supervised learning of class balance under class-prior change by distribution matching</t>
  </si>
  <si>
    <t>class balance; class-prior</t>
  </si>
  <si>
    <t>Title match (similarity 1.00); Rechecked 4 Oct 2026 against full 2,192-record corpus: corpus match confirmed.</t>
  </si>
  <si>
    <t>Semi-supervised learning of class balance under class-prior change by distribution matching (2012)</t>
  </si>
  <si>
    <t>Du Plessis</t>
  </si>
  <si>
    <t>Class prior estimation from positive and unlabeled data</t>
  </si>
  <si>
    <t>10.1587/transinf.E97.D.1358</t>
  </si>
  <si>
    <t>class prior</t>
  </si>
  <si>
    <t>DOI and title both absent; nearest corpus title similarity 0.81; Rechecked 4 Oct 2026 against full 2,192-record corpus: no DOI/title match; no title-similarity pair &gt;= 0.85.</t>
  </si>
  <si>
    <t>10.1016/j.neunet.2013.11.010</t>
  </si>
  <si>
    <t>Semi-supervised learning of class balance under class-prior change by distribution matching (2014)</t>
  </si>
  <si>
    <t>Esuli</t>
  </si>
  <si>
    <t>Sentiment quantification</t>
  </si>
  <si>
    <t>10.1109/MIS.2010.94</t>
  </si>
  <si>
    <t>Paper reference list, pairing verified 4 Oct 2026</t>
  </si>
  <si>
    <t>Optimizing text quantifiers for multivariate loss functions</t>
  </si>
  <si>
    <t>10.1145/2700406</t>
  </si>
  <si>
    <t>quantifiers</t>
  </si>
  <si>
    <t>Fawcett</t>
  </si>
  <si>
    <t>2004</t>
  </si>
  <si>
    <t>ROC graphs: Notes and practical considerations for researchers</t>
  </si>
  <si>
    <t>2005</t>
  </si>
  <si>
    <t>A Response to Webb and Ting's On the Application of ROC Analysis to Predict Classification Performance Under Varying Class Distributions</t>
  </si>
  <si>
    <t>10.1007/s10994-005-5256-4</t>
  </si>
  <si>
    <t>class distributions</t>
  </si>
  <si>
    <t>Firat</t>
  </si>
  <si>
    <t>2016</t>
  </si>
  <si>
    <t>Unified framework for quantification</t>
  </si>
  <si>
    <t>Title absent; nearest corpus title similarity 0.72; Rechecked 4 Oct 2026 against full 2,192-record corpus: no DOI/title match; no title-similarity pair &gt;= 0.85.</t>
  </si>
  <si>
    <t>Forman</t>
  </si>
  <si>
    <t>Counting Positives Accurately Despite Inaccurate Classification</t>
  </si>
  <si>
    <t>10.1007/11564096_55</t>
  </si>
  <si>
    <t>Quantifying trends accurately despite classifier error and class imbalance</t>
  </si>
  <si>
    <t>10.1145/1150402.1150423</t>
  </si>
  <si>
    <t>Quantifying counts and costs via classification</t>
  </si>
  <si>
    <t>10.1007/s10618-008-0097-y</t>
  </si>
  <si>
    <t>Pragmatic text mining: Minimizing human effort to quantify many issues in call logs</t>
  </si>
  <si>
    <t>10.1145/1150402.1150520</t>
  </si>
  <si>
    <t>quantify</t>
  </si>
  <si>
    <t>Foulds</t>
  </si>
  <si>
    <t>A review of multi-instance learning assumptions</t>
  </si>
  <si>
    <t>10.1017/S026988890999035X</t>
  </si>
  <si>
    <t>Frank</t>
  </si>
  <si>
    <t>A simple approach to ordinal classification</t>
  </si>
  <si>
    <t>10.1007/3-540-44795-4_13</t>
  </si>
  <si>
    <t>DOI absent from corpus; title check pending; Rechecked 4 Oct 2026 against full 2,192-record corpus: no DOI/title match; no title-similarity pair &gt;= 0.85.</t>
  </si>
  <si>
    <t>Gama</t>
  </si>
  <si>
    <t>A survey on concept drift adaptation</t>
  </si>
  <si>
    <t>10.1145/2523813</t>
  </si>
  <si>
    <t>Gao</t>
  </si>
  <si>
    <t>Tweet Sentiment: From Classification to Quantification</t>
  </si>
  <si>
    <t>10.1145/2808797.2809327</t>
  </si>
  <si>
    <t>From classification to quantification in tweet sentiment analysis</t>
  </si>
  <si>
    <t>10.1007/s13278-016-0327-z</t>
  </si>
  <si>
    <t>Gart</t>
  </si>
  <si>
    <t>Comparison of a screening test and a reference test in epidemiologic studies ii. A probabilistic model for the comparison of diagnostic tests</t>
  </si>
  <si>
    <t>10.1093/oxfordjournals.aje.a120610</t>
  </si>
  <si>
    <t>Giachanou</t>
  </si>
  <si>
    <t>Like it or not: A survey of twitter sentiment analysis methods</t>
  </si>
  <si>
    <t>10.1145/2938640</t>
  </si>
  <si>
    <t>Go</t>
  </si>
  <si>
    <t>2009</t>
  </si>
  <si>
    <t>Twitter sentiment classification using distant supervision</t>
  </si>
  <si>
    <t>González</t>
  </si>
  <si>
    <t>Multiclass support vector machines with example-dependent costs applied to plankton biomass estimation</t>
  </si>
  <si>
    <t>10.1109/TNNLS.2013.2271535</t>
  </si>
  <si>
    <t>Validation methods for plankton image classification systems</t>
  </si>
  <si>
    <t>10.1002/lom3.10151</t>
  </si>
  <si>
    <t>2017</t>
  </si>
  <si>
    <t>Why is quantification an interesting learning problem?</t>
  </si>
  <si>
    <t>González-Castro</t>
  </si>
  <si>
    <t>Class distribution estimation based on the Hellinger distance</t>
  </si>
  <si>
    <t>10.1016/j.ins.2012.05.028</t>
  </si>
  <si>
    <t>class distribution</t>
  </si>
  <si>
    <t>Class distribution estimation based on the Hellinger distance (2013)</t>
  </si>
  <si>
    <t>Hofer</t>
  </si>
  <si>
    <t>Adapting a classification rule to local and global shift when only unlabelled data are available</t>
  </si>
  <si>
    <t>10.1016/j.ejor.2014.11.022</t>
  </si>
  <si>
    <t>Drift mining in data: A framework for addressing drift in classification</t>
  </si>
  <si>
    <t>10.1016/j.csda.2012.07.007</t>
  </si>
  <si>
    <t>Hopkins</t>
  </si>
  <si>
    <t>A method of automated nonparametric content analysis for social science</t>
  </si>
  <si>
    <t>10.1111/j.1540-5907.2009.00428.x</t>
  </si>
  <si>
    <t>Huang</t>
  </si>
  <si>
    <t>2007</t>
  </si>
  <si>
    <t>Correcting sample selection bias by unlabeled data</t>
  </si>
  <si>
    <t>Iyer</t>
  </si>
  <si>
    <t>Maximum mean discrepancy for class ratio estimation: Convergence bounds and kernel selection</t>
  </si>
  <si>
    <t>class ratio</t>
  </si>
  <si>
    <t>Joachims</t>
  </si>
  <si>
    <t>A support vector method for multivariate performance measures</t>
  </si>
  <si>
    <t>10.1145/1102351.1102399</t>
  </si>
  <si>
    <t>Kawakubo</t>
  </si>
  <si>
    <t>Computationally efficient class-prior estimation under class balance change using energy distance</t>
  </si>
  <si>
    <t>10.1587/transinf.2015EDP7212</t>
  </si>
  <si>
    <t>King</t>
  </si>
  <si>
    <t>Verbal autopsy methods with multiple causes of death</t>
  </si>
  <si>
    <t>10.1214/07-STS247</t>
  </si>
  <si>
    <t>Kull</t>
  </si>
  <si>
    <t>Patterns of dataset shift</t>
  </si>
  <si>
    <t>Levy</t>
  </si>
  <si>
    <t>A three-population model for sequential screening for bacteriuria</t>
  </si>
  <si>
    <t>10.1093/oxfordjournals.aje.a121122</t>
  </si>
  <si>
    <t>Da San Martino</t>
  </si>
  <si>
    <t>Ordinal Text Quantification</t>
  </si>
  <si>
    <t>10.1145/2911451.2914749</t>
  </si>
  <si>
    <t>QCRI at SemEval-2016 Task 4: Probabilistic methods for binary and ordinal quantification</t>
  </si>
  <si>
    <t>10.18653/v1/S16-1006</t>
  </si>
  <si>
    <t>Milli</t>
  </si>
  <si>
    <t>Quantification trees</t>
  </si>
  <si>
    <t>10.1109/ICDM.2013.122</t>
  </si>
  <si>
    <t>Quantification in social networks</t>
  </si>
  <si>
    <t>10.1109/DSAA.2015.7344845</t>
  </si>
  <si>
    <t>Moreno-Torres</t>
  </si>
  <si>
    <t>A unifying view on dataset shift in classification</t>
  </si>
  <si>
    <t>10.1016/j.patcog.2011.06.019</t>
  </si>
  <si>
    <t>Narasimhan</t>
  </si>
  <si>
    <t>Stochastic optimization techniques for quantification performance measures</t>
  </si>
  <si>
    <t>Pan</t>
  </si>
  <si>
    <t>A survey on transfer learning</t>
  </si>
  <si>
    <t>10.1109/TKDE.2009.191</t>
  </si>
  <si>
    <t>Pérez-Gállego</t>
  </si>
  <si>
    <t>Using ensembles for problems with characterizable changes in data distribution: A case study on quantification</t>
  </si>
  <si>
    <t>10.1016/j.inffus.2016.07.001</t>
  </si>
  <si>
    <t>Peters</t>
  </si>
  <si>
    <t>The numerical evaluation of the maximum-likelihood estimate of mixture proportions</t>
  </si>
  <si>
    <t>10.1080/03610927608827429</t>
  </si>
  <si>
    <t>Provost</t>
  </si>
  <si>
    <t>Robust classification for imprecise environments</t>
  </si>
  <si>
    <t>10.1023/A:1007601015854</t>
  </si>
  <si>
    <t>Rubner</t>
  </si>
  <si>
    <t>The earth mover’s distance as a metric for image retrieval</t>
  </si>
  <si>
    <t>10.1023/A:1026543900054</t>
  </si>
  <si>
    <t>Saerens</t>
  </si>
  <si>
    <t>2002</t>
  </si>
  <si>
    <t>Adjusting the outputs of a classifier to new a priori probabilities: a simple procedure</t>
  </si>
  <si>
    <t>10.1162/089976602753284446</t>
  </si>
  <si>
    <t>a priori probabilities</t>
  </si>
  <si>
    <t>Adjusting the outputs of a classifier to new a priori probabilities: a simple procedure (2002)</t>
  </si>
  <si>
    <t>Solow</t>
  </si>
  <si>
    <t>Estimating the taxonomic composition of a sample when individuals are classified with error</t>
  </si>
  <si>
    <t>10.3354/meps216309</t>
  </si>
  <si>
    <t>Sosik</t>
  </si>
  <si>
    <t>Automated taxonomic classification of phytoplankton sampled with imaging-inflow cytometry</t>
  </si>
  <si>
    <t>10.4319/lom.2007.5.204</t>
  </si>
  <si>
    <t>Storkey</t>
  </si>
  <si>
    <t>Dataset Shift in Machine Learning</t>
  </si>
  <si>
    <t>Sugiyama</t>
  </si>
  <si>
    <t>Density-difference estimation</t>
  </si>
  <si>
    <t>10.1162/NECO_a_00492</t>
  </si>
  <si>
    <t>Direct importance estimation with model selection and its application to covariate shift adaptation</t>
  </si>
  <si>
    <t>Density Ratio Estimation in Machine Learning</t>
  </si>
  <si>
    <t>10.1017/CBO9781139035613</t>
  </si>
  <si>
    <t>Learning under nonstationarity: Covariate shift and class-balance change</t>
  </si>
  <si>
    <t>10.1002/wics.1275</t>
  </si>
  <si>
    <t>class-balance</t>
  </si>
  <si>
    <t>Tang</t>
  </si>
  <si>
    <t>Network quantification despite biased labels</t>
  </si>
  <si>
    <t>10.1145/1830252.1830271</t>
  </si>
  <si>
    <t>Tasche</t>
  </si>
  <si>
    <t>Exact fit of simple finite mixture models</t>
  </si>
  <si>
    <t>10.3390/jrfm7040150</t>
  </si>
  <si>
    <t>Does quantification without adjustments work?</t>
  </si>
  <si>
    <t>Fisher consistency for prior probability shift</t>
  </si>
  <si>
    <t>prior probability shift</t>
  </si>
  <si>
    <t>Fisher consistency for prior probability shift (2017)</t>
  </si>
  <si>
    <t>Tofallis</t>
  </si>
  <si>
    <t>A better measure of relative prediction accuracy for model selection and model estimation</t>
  </si>
  <si>
    <t>10.1057/jors.2014.103</t>
  </si>
  <si>
    <t>Vucetic</t>
  </si>
  <si>
    <t>2001</t>
  </si>
  <si>
    <t>Classification on data with biased class distribution</t>
  </si>
  <si>
    <t>10.1007/3-540-44795-4_45</t>
  </si>
  <si>
    <t>Webb</t>
  </si>
  <si>
    <t>Characterizing concept drift</t>
  </si>
  <si>
    <t>Weiss</t>
  </si>
  <si>
    <t>A survey of transfer learning</t>
  </si>
  <si>
    <t>10.1186/s40537-016-0043-6</t>
  </si>
  <si>
    <t>Xue</t>
  </si>
  <si>
    <t>Quantification and semi-supervised classification methods for handling changes in class distribution</t>
  </si>
  <si>
    <t>10.1145/1557019.1557117</t>
  </si>
  <si>
    <t>class distribution; quantification</t>
  </si>
  <si>
    <t>Zhang</t>
  </si>
  <si>
    <t>Domain adaptation under target and conditional shift</t>
  </si>
  <si>
    <t>Title absent; nearest corpus title similarity 0.73; Rechecked 4 Oct 2026 against full 2,192-record corpus: no DOI/title match; no title-similarity pair &gt;= 0.85.</t>
  </si>
  <si>
    <t>Backward citation audit: González et al. (2017)</t>
  </si>
  <si>
    <t>Reference-list entries examined</t>
  </si>
  <si>
    <t>All entries in the reference list</t>
  </si>
  <si>
    <t>Already in the corpus</t>
  </si>
  <si>
    <t>Duplicates of database records; no further action</t>
  </si>
  <si>
    <t>New to the corpus</t>
  </si>
  <si>
    <t>Enter through the citation-searching arm</t>
  </si>
  <si>
    <t>New, title known</t>
  </si>
  <si>
    <t>Ready for a title-stage decision</t>
  </si>
  <si>
    <t>New, title still to be read from the paper</t>
  </si>
  <si>
    <t>Shaded red in the Title column</t>
  </si>
  <si>
    <t>New, abstract already on disk</t>
  </si>
  <si>
    <t>Record with abstract in the superseded first-build export</t>
  </si>
  <si>
    <t>New, carrying a B-ii term in the title</t>
  </si>
  <si>
    <t>Sorting aid only; not a decision</t>
  </si>
  <si>
    <t>Title-stage decisions made</t>
  </si>
  <si>
    <t>Title-stage decisions outstanding</t>
  </si>
  <si>
    <t>Retrieve, then screen the abstract against the B-ii test</t>
  </si>
  <si>
    <t>Title uninformative; carried forward</t>
  </si>
  <si>
    <t>Outside Strand B-ii at title stage</t>
  </si>
  <si>
    <t>Abstract</t>
  </si>
  <si>
    <t>Decision</t>
  </si>
  <si>
    <t>Code</t>
  </si>
  <si>
    <t>We consider the problem of classification in environments where training and test data may come from different probability distributions. When the fundamental stationary distribution assumption made in supervised learning (and often not satisfied in practice) does not hold, the classifier performance may significantly deteriorate. Several proposals have been made to deal with classification problems where the class priors change after training, but they may fail when the class conditional data densities also change. To cope with this problem, we propose an algorithm that uses unlabeled test data to adapt the classifier outputs to new operating conditions, without re-training it. The algorithm is based on a posterior probability model with two main assumptions: (1) the classes may be decomposed in several (unknown) subclasses, and (2) all changes in data distributions arise from changes in prior subclass probabilities. Experimental results with a neural network model on synthetic and remote sensing practical settings show that the adaptation at the subclass level can get a better adjustment to the new operational conditions than the methods based on class prior changes. © 2011 Elsevier B.V.</t>
  </si>
  <si>
    <t>Abstract source: PRISMA_dedup_current_20260921.ris; matched by DOI.</t>
  </si>
  <si>
    <t>Real-world applications demand effective methods to estimate the class distribution of a sample. In many domains, this is more productive than seeking individual predictions. At a first glance, the straightforward conclusion could be that this task, recently identified as quantification, is as simple as counting the predictions of a classifier. However, due to natural distribution changes occurring in real-world problems, this solution is unsatisfactory. Moreover, current quantification models based on classifiers present the drawback of being trained with loss functions aimed at classification rather than quantification. Other recent attempts to address this issue suffer certain limitations regarding reliability, measured in terms of classification abilities. This paper presents a learning method that optimizes an alternative metric that combines simultaneously quantification and classification performance. Our proposal offers a new framework that allows the construction of binary quantifiers that are able to accurately estimate the proportion of positives, based on models with reliable classification abilities. © 2014 Elsevier Ltd. All rights reserved.</t>
  </si>
  <si>
    <t>We consider the problem of learning a classifier using only positive and unlabeled samples. In this setting, it is known that a classifier can be successfully learned if the class prior is available. However, in practice, the class prior is unknown and thus must be estimated from data. In this paper, we propose a new method to estimate the class prior by partially matching the class-conditional density of the positive class to the input density. By performing this partial matching in terms of the Pearson divergence, which we estimate directly without density estimation via lower-bound maximization, we can obtain an analytical estimator of the class prior. We further show that an existing class prior estimation method can also be interpreted as performing partial matching under the Pearson divergence, but in an indirect manner. The superiority of our direct class prior estimation method is illustrated on several benchmark datasets. © 2014 The Institute of Electronics, Information and Communication Engineers.</t>
  </si>
  <si>
    <t>We address the problem of quantification, a supervised learning task whose goal is, given a class, to estimate the relative frequency (or prevalence) of the class in a dataset of unlabeled items. Quantification has several applications in data and text mining, such as estimating the prevalence of positive reviews in a set of reviews of a given product or estimating the prevalence of a given support issue in a dataset of transcripts of phone calls to tech support. So far, quantification has been addressed by learning a general-purpose classifier, counting the unlabeled items that have been assigned the class, and tuning the obtained counts according to some heuristics. In this article, we depart from the tradition of using general-purpose classifiers and use instead a supervised learning model for structured prediction, capable of generating classifiers directly optimized for the (multivariate and nonlinear) function used for evaluating quantification accuracy. The experiments that we have run on 5,500 binary high-dimensional datasets (averaging more than 14,000 documents each) show that this method is more accurate, more stable, and more efficient than existing state-of-the-art quantification methods. © 2015 ACM.</t>
  </si>
  <si>
    <t>This paper promotes a new task for supervised machine learning research: quantification - the pursuit of learning methods for accurately estimating the class distribution of a test set, with no concern for predictions on individual cases. A variant for cost quantification addresses the need to total up costs according to categories predicted by imperfect classifiers. These tasks cover a large and important family of applications that measure trends over time. The paper establishes a research methodology, and uses it to evaluate several proposed methods that involve selecting the classification threshold in a way that would spoil the accuracy of individual classifications. In empirical tests, Median Sweep methods show outstanding ability to estimate the class distribution, despite wide disparity in testing and training conditions. The paper addresses shifting class priors and costs, but not concept drift in general. Copyright 2006 ACM.</t>
  </si>
  <si>
    <t>Many business applications track changes over time, for example, measuring the monthly prevalence of influenza incidents. In situations where a classifier is needed to identify the relevant incidents, imperfect classification accuracy can cause substantial bias in estimating class prevalence. The paper defines two research challenges for machine learning. The 'quantification' task is to accurately estimate the number of positive cases (or class distribution) in a test set, using a training set that may have a substantially different distribution. The 'cost quantification' variant estimates the total cost associated with the positive class, where each case is tagged with a cost attribute, such as the expense to resolve the case. Quantification has a very different utility model from traditional classification research. For both forms of quantification, the paper describes a variety of methods and evaluates them with a suitable methodology, revealing which methods give reliable estimates when training data is scarce, the testing class distribution differs widely from training, and the positive class is rare, e.g., 1% positives. These strengths can make quantification practical for business use, even where classification accuracy is poor. © 2008 Springer Science+Business Media, LLC.</t>
  </si>
  <si>
    <t>There are real applications that do not demand to classify or to make predictions about individual objects, but to estimate some magnitude about a group of them. For instance, one of these cases happens in sentiment analysis and opinion mining. Some applications require to classify opinions as positives or negatives, but there are also others, even more useful sometimes, that just need an estimation of which is the proportion of each class during a concrete period of time. “How many tweets about our new product were positive yesterday?” Practitioners should apply quantification algorithms to tackle this kind of problems, instead of just using off-the-shelf classification methods, because classifiers are suboptimal in the context of quantification tasks. Unfortunately, quantification learning is still relatively an under explored area in machine learning. The goal of this paper is to show that quantification learning is an interesting open problem. To support its benefits, we shall show an application to analyze Twitter comments in which even the most simple quantification methods outperform classification approaches. © 2016, Springer-Verlag Berlin Heidelberg.</t>
  </si>
  <si>
    <t>Abstract source: PRISMA_dedup_current_20260921.ris; matched by exact title because the audit DOI is blank.</t>
  </si>
  <si>
    <t>For evolving populations the training data and the test data need not follow the same distribution. Thus, the performance of a prediction model will deteriorate over the course of time. This requires the re-estimation of the prediction model after some time. However, in many applications e.g. credit scoring, new labelled data are not available for re-estimation due to verification latency, i.e. label delay. Thus, methods which enable a prediction model to adapt to distributional changes by using only unlabelled data are highly desirable. A shift adaptation method for binary classification is presented here. The model is based on mixture distributions. The conditional feature distributions are determined at the time where labelled data are available, and the unconditional feature distribution is determined at the time where new unlabelled data are accessible. These mixture distributions provide information on the old and the new positions of subpopulations. A transition model then describes how the subpopulations of each class have drifted to form the new unconditional feature distribution. Assuming that the conditional distributions are reorganised using a minimum of energy, a two-step estimation procedure results. First, for a given class prior distribution the transfer of probability mass is estimated such that the energy required to obtain the new unconditional distribution by a local transfer of the old conditional distributions is a minimum. Since the optimal solution of the resulting transportation problem measures the distance between the old and the new distributions, the change of the class prior distribution is found in a second step by solving the transportation problem for varying class prior distributions and selecting the value for which the objective function is a minimum. Using the solution of the transportation problem and the component parameters of the unconditional feature distribution, the new conditional feature distribution can be determined. This thus allows for a shift adaptation of the classification rule. The performance of the proposed model is investigated using a large real-world dataset on default rates in Danish companies. The results show that the shift adaptation improves classification results. © 2014 Published by Elsevier B.V.</t>
  </si>
  <si>
    <t>A novel statistical methodology for analysing population drift in classification is introduced. Drift denotes changes in the joint distribution of explanatory variables and class labels over time. It entails the deterioration of a classifier's performance and requires the optimal decision boundary to be adapted after some time. However, in the presence of verification latency a re-estimation of the classification model is impossible, since in such a situation only recent unlabelled data are available, and the true corresponding labels only become known after some lapse in time. For this reason a novel drift mining methodology is presented which aims at detecting changes over time. It allows us either to understand evolution in the data from an ex-post perspective or, ex-ante, to anticipate changes in the joint distribution. The proposed drift mining technique assumes that the class priors change by a certain factor from one time point to the next, and that the conditional distributions do not change within this time period. Thus, the conditional distributions can be estimated at a time where recent labelled data are available. In subsequent periods the unconditional distribution can be expressed as a mixture of the conditional distributions, where the mixing proportions are equal to the class priors. However, as the unconditional distributions can also be estimated from new unlabelled data, they can then be compared to the mixture representation by means of least-squares criteria. This allows for easy and fast estimation of the changes in class prior values in the presence of verification latency. The usefulness of this drift mining approach is demonstrated using a real-world dataset from the area of credit scoring. © 2012 Elsevier B.V. All rights reserved.</t>
  </si>
  <si>
    <t>In many real-world classification problems, the class balance often changes between training and test datasets, due to sample selection bias or the non-stationarity of the environment. Naive classifier training under such changes of class balance systematically yields a biased solution. It is known that such a systematic bias can be corrected by weighted training according to the test class balance. However, the test class balance is often unknown in practice. In this paper, we consider a semi-supervised learning setup where labeled training samples and unlabeled test samples are available and propose a class balance estimator based on the energy distance. Through experiments, we demonstrate that the proposed method is computationally much more efficient than existing approaches, with comparable accuracy. Copyright © 2016 The Institute of Electronics, Information and Communication Engineers.</t>
  </si>
  <si>
    <t>In many applications there is a need to monitor how a population is distributed across different classes, and to track the changes in this distribution that derive from varying circumstances, an example such application is monitoring the percentage (or "prevalence") of unemployed people in a given region, or in a given age range, or at different time periods. When the membership of an individual in a class cannot be established deterministically, this monitoring activity requires classification. However, in the above applications the final goal is not determining which class each individual belongs to, but simply estimating the prevalence of each class in the unlabeled data. This task is called quantification. In a supervised learning framework we may estimate the distribution across the classes in a test set from a training set of labeled individuals. However, this may be sub optimal, since the distribution in the test set may be substantially different from that in the training set (a phenomenon called distribution drift). So far, quantification has mostly been addressed by learning a classifier optimized for individual classification and later adjusting the distribution it computes to compensate for its tendency to either under-or over-estimate the prevalence of the class. In this paper we propose instead to use a type of decision trees (quantification trees) optimized not for individual classification, but directly for quantification. Our experiments show that quantification trees are more accurate than existing state-of-the-art quantification methods, while retaining at the same time the simplicity and understandability of the decision tree framework. © 2013 IEEE.</t>
  </si>
  <si>
    <t>In many real-world applications there is a need to monitor the distribution of a population across different classes, and to track changes in this distribution over time. As an example, an important task is to monitor the percentage of unemployed adults in a given region. When the membership of an individual in a class cannot be established deterministically, a typical solution is the classification task. However, in the above applications the final goal is not determining which class the individuals belong to, but estimating the prevalence of each class in the unlabeled data. This task is called quantification. Most of the work in the literature addressed the quantification problem considering data presented in conventional attribute format. Since the ever-growing availability of web and social media we have a flourish of network data representing a new important source of information and by using quantification network techniques we could quantify collective behavior, i.e., the number of users that are involved in certain type of activities, preferences, or behaviors. In this paper we exploit the homophily effect observed in many social networks in order to construct a quantifier for networked data. Our experiments show the effectiveness of the proposed approaches and the comparison with the existing state-of-the-art quantification methods shows that they are more accurate. © 2015 IEEE.</t>
  </si>
  <si>
    <t>One of the fundamental assumptions behind many supervised machine-learning algorithms is that training and test data follow the same probability distribution. However, this important assumption is often violated in practice, for example, because of an unavoidable sample selection bias or nonstationarity of the environment. Owing to violation of the assumption, standard machine-learning methods suffer a significant estimation bias. In this article, we consider two scenarios of such distribution change-the covariate shift where input distributions differ and class-balance change where class-prior probabilities vary in classification-and review semi-supervised adaptation techniques based on importance weighting. © 2013 Wiley Periodicals, Inc.</t>
  </si>
  <si>
    <t>The increasing availability of participatory web and social media presents enormous opportunities to study human relations and collective behaviors. Many applications involving decision making want to obtain certain generalized properties about the population in a network, such as the proportion of actors given a category, instead of the category of individuals. While data mining and machine learning researchers have developed many methods for link-based classification or relational learning, most are optimized to classify individual nodes in a network. In order to accurately estimate the prevalence of one class in a network, some quantification method has to be used. In this work, two kinds of approaches are presented: quantification based on classification or quantification based on link analysis. Extensive experiments are conducted on several representative network data, with interesting findings reported concerning efficacy and robustness of different quantification methods, providing insights to further quantify the ebb and flow of online collective behaviors at macro-level. © 2010 ACM.</t>
  </si>
  <si>
    <t>Labeled data for classification could often be obtained by sampling that restricts or favors choice of certain classes. A classifier trained using such data will be biased, resulting in wrong inference and sub-optimal classification on new data. Given an unlabeled new data set we propose a bootstrap method to estimate its class probabilities by using an estimate of the classifier’s accuracy on training data and an estimate of probabilities of classifier’s predictions on new data. Then, we propose two methods to improve classification accuracy on new data. The first method can be applied only if a classifier was designed to predict posterior class probabilities where predictions of an existing classifier are adjusted according to the estimated class probabilities of new data. The second method can be applied to an arbitrary classification algorithm, but it requires retraining on the properly resampled data. The proposed bootstrap algorithm was validated through experiments with 500 replicates calculated on 1,000 realizations for each of 16 choices of data set size, number of classes, prior class probabilities and conditional probabilities describing a classifier’s performance. Applications of the proposed methodology to a benchmark data set with various class probabilities on unlabeled data and balanced class probabilities on the training data provided strong evidence that the proposed methodology can be successfully used to significantly improve classification on unlabeled data. © Springer-Verlag Berlin Heidelberg 2001.</t>
  </si>
  <si>
    <t>Insemination techniques in the veterinary field demand more objective methods to control the quality of sperm samples. In particular, different factors may damage a number of sperm cells that is difficult to predict in advance. This paper addresses the problem of quantifying the proportion of damaged/intact sperm cells in a given sample based on computer vision techniques and supervised learning. Unlike common supervised classification approaches, neither the individual example classification is important nor the class distribution assumed in learning can be considered stationary. To deal with this, an estimation process based on Posterior Probability estimates (PP), and known to increase the classifier accuracy under changes in class distributions, is assessed here for quantification purposes. It is compared with two approaches based on the classifier confusion matrix (Adjusted Count and Median Sweep) and the naive approach based on classifying and counting. Experimental results with boar sperm samples and back propagation neural networks show that the PP based quantification outperforms any of the previously considered approaches in terms of the Mean Absolute Error, Kullback Leibler divergence and Mean Relative Error. Moreover, in spite of an imperfect classification, the PP approach guarantees a uniform Mean Absolute Error (around 3%) for whatever combination of training and test class distributions, what is very promising in this practical field.</t>
  </si>
  <si>
    <t>This paper reports about results collected during the development of a
scalable Information Retrieval system for near real-time analytics on social net
works. More precisely, we present the end-user functionalities provided by the
system, we introduce the main architectural components, and we report about
performances of our multi-threaded implementation. Since sentiment analysis
functionalities are based on techniques for estimating document category pro
portions, we report about a comparative experimentation aimed to analyse the
effectiveness of such techniques.</t>
  </si>
  <si>
    <t>We study the classifier quantification problem in the context of the topical opinion retrieval, that consists in estimating proportions of the sentiment categories in the result set of a topic. We propose a methodology to circumvent individual classification allowing a real-time sentiment analysis for huge volumes of data. After discussing existing approaches to quantification, the novel proposed methodology is applied to Microblogging Retrieval and provides statistically significant estimates of sentiment category proportions. Our solution modifies Hopkins and King's approach in order to remove manual intervention, and making sentiment analysis feasible in real time. Evaluation is conduced with a test collection made up of about 3,2M tweets.</t>
  </si>
  <si>
    <t>Quantification is the task of estimating the class-distribution of a data-set. While typically considered as a parameter estimation problem with strict assumptions on the data-set shift, we consider quantification in-the-wild, on two large scale data-sets from marine ecology: a survey of Caribbean coral reefs, and a plankton time series from Martha's Vineyard Coastal Observatory. We investigate several quantification methods from the literature and indicate opportunities for future work. In particular, we show that a deep neural network can be fine-tuned on a very limited amount of data (25 - 100 samples) to outperform alternative methods.</t>
  </si>
  <si>
    <t>Quantification is the name given to a novel machine learning task which deals with correctly estimating the number of elements of one class in a set of examples. The output of a quantifier is a real value, since training instances are the same as a classification problem, a natural approach is to train a classifier and to derive a quantifier from it. Some previous works have shown that just classifying the instances and counting the examples belonging to the class of interest classify count typically yields bad quantifiers, especially when the class distribution may vary between training and test. Hence, adjusted versions of classify count have been developed by using modified thresholds. However, previous works have explicitly discarded (without a deep analysis) any possible approach based on the probability estimations of the classifier. In this paper, we present a method based on averaging the probability estimations of a classifier with a very simple scaling that does perform reasonably well, showing that probability estimators for quantification capture a richer view of the problem than methods based on a threshold.</t>
  </si>
  <si>
    <t>The most basic assumption used in statistical learning theory is that training data and test data are drawn from the same underlying distribution. Unfortunately, in many applications, the "in-domain" test data is drawn from a distribution that is related, but not identical, to the "out-of-domain" distribution of the training data. We consider the common case in which labeled out-of-domain data is plentiful, but labeled in-domain data is scarce. We introduce a statistical formulation of this problem in terms of a simple mixture model and present an instantiation of this framework to maximum entropy classifiers and their linear chain counterparts. We present efficient inference algorithms for this special case based on the technique of conditional expectation maximization. Our experimental results show that our approach leads to improved performance on three real world tasks on four different data sets from the natural language processing domain.</t>
  </si>
  <si>
    <t>Quantification is the machine learning task of estimating test-data class proportions that are not necessarily similar to those in training. Apart from its intrinsic value as an aggregate statistic, quantification output can also be used to optimize classifier probabilities, thereby increasing classification accuracy. We unify major quantification approaches under a constrained multi-variate regression framework, and use mathematical programming to estimate class proportions for different loss functions. With this modeling approach, we extend existing binary-only quantification approaches to multi-class settings as well. We empirically verify our unified framework by experimenting with several multi-class datasets including the Stanford Sentiment Treebank and CIFAR-10.</t>
  </si>
  <si>
    <t>Most supervised machine learning research assumes the training set is a random sample from the target population, thus the class distribution is invariant. In real world situations, however, the class distribution changes, and is known to erode the effectiveness of classifiers and calibrated probability estimators. This paper focuses on the problem of accurately estimating the number of positives in the test set—quantification—as opposed to classifying individual cases accuratel y. It compares three methods: classify &amp; count, an adjusted variant, and a mixture model. An empirical evaluation on a text classification benchmark reveals that the simple method is consistently biased, and that the mixture model is surprisingly effective even when positives are very scarce in the training set—a common case in information retrieval.</t>
  </si>
  <si>
    <t>We discuss our experiences in analyzing customer-support issues from the unstructured free-text fields of technical-support call logs. The identification of frequent issues and their accurate quantification is essential in order to track aggregate costs broken down by issue type, to appropriately target engineering resources, and to provide the best diagnosis, support and documentation for most common issues. We present a new set of techniques for doing this efficiently on an industrial scale, without requiring manual coding of calls in the call center. Our approach involves (1) a new text clustering method to identify common and emerging issues; (2) a method to rapidly train large numbers of categorizers in a practical, interactive manner; and (3) a method to accurately quantify categories, even in the face of inaccurate classifications and training sets that necessarily cannot match the class distribution of each new month's data. We present our methodology and a tool we developed and deployed that uses these methods for tracking ongoing support issues and discovering emerging issues at HP.</t>
  </si>
  <si>
    <t>Sentiment classification has become a ubiquitous enabling technology in the Twittersphere, since classifying tweets according to the sentiment they convey towards a given entity (be it a product, a person, a political party, or a policy) has many applications in political science, social science, market research, and many others. In this paper we contend that most previous studies dealing with tweet sentiment classification (TSC) use a suboptimal approach. The reason is that the final goal of most such studies is not estimating the class label (e.g., Positive, Negative, or Neutral) of individual tweets, but estimating the relative frequency (a.k.a. "prevalence") of the different classes in the dataset. The latter task is called quantification, and recent research has convincingly shown that it should be tackled as a task of its own, using learning algorithms and evaluation measures different from those used for classification. In this paper we show, on a multiplicity of TSC datasets, that using a quantification-specific algorithm produces substantially better class frequency estimates than a state-of-the-art classification-oriented algorithm routinely used in TSC. We thus argue that researchers interested in tweet sentiment prevalence should switch to quantification-specific (instead of classification-specific) learning algorithms and evaluation measures.</t>
  </si>
  <si>
    <t>Twitter is attracting significant interests from the research community in the last few years. Sentiment analysis of tweets is among the hottest topics of research nowadays. State of the art approaches of sentiment analysis present many shortcomings when classifying tweets, in particular when the classification goes beyond the binary or ternary classification. Multi-class sentiment analysis has proven to be a very challenging task. This is mainly for the simple reason that a tweet usually does not contain a single sentiment, but many ones. In this paper, we propose a pattern-based approach for sentiment quantification in Twitter. By quantification, we refer to the detection of the existing sentiments within a tweet and the detection of the weight of these sentiments. In a first step, we classify tweets into positive, negative, or neutral. Our approach reaches an accuracy of 81%. We then perform the sentiment quantification on the sentimental tweets (i.e., positive and negative ones) to extract the sentiments within them: we define 5 positive sentiment sub-classes 5 negative ones and detect which exist in each tweet. We define 2 metrics to measure the correctness of sentiment detection, and prove that sentiment quantification can be a more meaningful task than the regular multi-class classification.</t>
  </si>
  <si>
    <t>In many applications, the mistakes made by an automatic classifier are not equal, they have different costs. These problems may be solved using a cost-sensitive learning approach. The main idea is not to minimize the number of errors, but the total cost produced by such mistakes. This brief presents a new multiclass cost-sensitive algorithm, in which each example has attached its corresponding misclassification cost. Our proposal is theoretically well-founded and is designed to optimize cost-sensitive loss functions. This research was motivated by a real-world problem, the biomass estimation of several plankton taxonomic groups. In this particular application, our method improves the performance of traditional multiclass classification approaches that optimize the accuracy.</t>
  </si>
  <si>
    <t>The increasing availability of digitized text presents enormous opportunities for social scientists. Yet hand coding many blogs, speeches, government records, newspapers, or other sources of unstructured text is infeasible. Although computer scientists have methods for automated content analysis, most are optimized to classify individual documents, whereas social scientists instead want generalizations about the population of documents, such as the proportion in a given category. Unfortunately, even a method with a high percent of individual documents correctly classified can be hugely biased when estimating category proportions. By directly optimizing for this social science goal, we develop a method that gives approximately unbiased estimates of category proportions even when the optimal classifier performs poorly. We illustrate with diverse data sets, including the daily expressed opinions of thousands of people about the U.S. presidency. We also make available software that implements our methods and large corpora of text for further analysis.</t>
  </si>
  <si>
    <t>In recent times, many real world applications have emerged that require estimates of class ratios in an unlabeled instance collection as opposed to labels of individual instances in the collection. In this paper we investigate the use of maximum mean discrepancy (MMD) in a reproducing kernel Hilbert space (RKHS) for estimating such ratios. First, we theoretically analyze the MMD-based estimates. Our analysis establishes that, under some mild conditions, the estimate is statistically consistent. More importantly, it provides an upper bound on the error in the estimate in terms of intuitive geometric quantities like class separation and data spread. Next, we use the insights obtained from the theoretical analysis, to propose a novel convex formulation that automatically learns the kernel to be employed in the MMD-based estimation. We design an efficient cutting plane algorithm for solving this formulation. Finally, we empirically compare our estimator with several existing methods, and show significantly improved performance under varying datasets, class ratios, and training sizes.</t>
  </si>
  <si>
    <t>Verbal autopsy procedures are widely used for estimating cause-specific mortality in areas without medical death certification. Data on symptoms reported by caregivers along with the cause of death are collected from a medical facility, and the cause-of-death distribution is estimated in the population where only symptom data are available. Current approaches analyze only one cause at a time, involve assumptions judged difficult or impossible to satisfy, and require expensive, time-consuming, or unreliable physician reviews, expert algorithms, or parametric statistical models. By generalizing current approaches to analyze multiple causes, we show how most of the difficult assumptions underlying existing methods can be dropped. These generalizations also make physician review, expert algorithms and parametric statistical assumptions unnecessary. With theoretical results, and empirical analyses in data from China and Tanzania, we illustrate the accuracy of this approach. While no method of analyzing verbal autopsy data, including the more computationally intensive approach offered here, can give accurate estimates in all circumstances, the procedure offered is conceptually simpler, less expensive, more general, as or more replicable, and easier to use in practice than existing approaches. We also show how our focus on estimating aggregate proportions, which are the quantities of primary interest in verbal autopsy studies, may also greatly reduce the assumptions necessary for, and thus improve the performance of, many individual classifiers in this and other areas. As a companion to this paper, we also offer easy-to-use software that implements the methods discussed herein.</t>
  </si>
  <si>
    <t>In recent years there has been a growing interest in text quantification, a supervised learning task where the goal is to accurately estimate, in an unlabelled set of items, the prevalence (or "relative frequency") of each class c in a predefined set C. Text quantification has several applications, and is a dominant concern in fields such as market research, the social sciences, political science, and epidemiology. In this paper we tackle, for the first time, the problem of ordinal text quantification, defined as the task of performing text quantification when a total order is defined on the set of classes; estimating the prevalence of "five stars" reviews in a set of reviews of a given product, and monitoring this prevalence across time, is an example application. We present OQT, a novel tree-based OQ algorithm, and discuss experimental results obtained on a dataset of tweets classified according to sentiment strength.</t>
  </si>
  <si>
    <t>We describe the systems we have used for
participating in Subtasks D (binary quan
tification) and E (ordinal quantification) of
SemEval-2016 Task 4 “Sentiment Analysis
in Twitter”. The binary quantification sys
tem uses a “Probabilistic Classify and Count”
(PCC) approach that leverages the calibrated
probabilities obtained from the output of an
SVM. The ordinal quantification approach
uses an ordinal tree of PCC binary quantifiers,
where the tree is generated via a splitting crite
rion that minimizes the ordinal quantification
loss.</t>
  </si>
  <si>
    <t>The estimation of class prevalence, i.e., the fraction of the population that belongs to a certain class, is a very useful tool in data analytics and learning, and finds applications in many domains, such as sentiment analysis, epidemiology, etc. For example, in sentiment analysis, the objective is often not to estimate whether a specific text conveys positive or negative sentiment, but rather estimate the overall distribution of positive and negative sentiment during an event window. A popular way of performing the above task, often dubbed quantification, is to use supervised learning to train a prevalence estimator from labelled data. In this paper we propose the first online stochastic algorithms for directly optimizing (i) performance measures for quantification, and (ii) hybrid performance measures that seek to balance quantification and classification performance. We prove rigorous bounds for our algorithms which demonstrate that they exhibit optimal convergence. Our algorithms present a significant advancement in the theory of multivariate optimization. We also report extensive experiments on benchmark and real data sets which demonstrate that our methods significantly outperform existing optimization techniques used for the quantification problem.</t>
  </si>
  <si>
    <t>Ensemble methods are widely applied to supervised learning tasks. Based on a simple strategy they often achieve good performance, especially when the single models comprising the ensemble are diverse. Diversity can be introduced into the ensemble by creating different training samples for each model. In that case, each model is trained with a data distribution that may be different from the original training set distribution. Following that idea, this paper analyzes the hypothesis that ensembles can be especially appropriate in problems that: (i) suffer from distribution changes, (ii) it is possible to characterize those changes beforehand. The idea consists in generating different training samples based on the expected distribution changes, and to train one model with each of them. As a case study, we shall focus on binary quantification problems, introducing ensembles versions for two well-known quantification algorithms. Experimental results show that these ensemble adaptations outperform the original counterpart algorithms, even when trivial aggregation rules are used.</t>
  </si>
  <si>
    <t>When a sample of individual organisms is classified taxonomically with the possibility of classification error, the taxonomic counts of the classified individuals are biased estimates of the true counts in the sample. This note describes asimple method for correcting for this bias based on the classification probabilities of the classifier. The method is illustrated using some data from the Video Plankton Recorder.3</t>
  </si>
  <si>
    <t>We address the problem of estimating the difference between two probability densities. A naive approach is a two-step procedure of first estimating two densities separately and then computing their difference. However, such a two-step procedure does not necessarily work well because the first step is performed without regard to the second step and thus a small error incurred in the first stage can cause a big error in the second stage. In this paper, we propose a single-shot procedure for directly estimating the density difference without separately estimating two densities. We derive a non-parametric finite-sample error bound for the proposed single-shot density-difference estimator and show that it achieves the optimal convergence rate. The usefulness of the proposed method is also demonstrated experimentally.</t>
  </si>
  <si>
    <t>Machine learning is an interdisciplinary field of science and engineering that studies mathematical theories and practical applications of systems that learn. This book introduces theories, methods and applications of density ratio estimation, which is a newly emerging paradigm in the machine learning community. Various machine learning problems such as non-stationarity adaptation, outlier detection, dimensionality reduction, independent component analysis, clustering, classification and conditional density estimation can be systematically solved via the estimation of probability density ratios. The authors offer a comprehensive introduction of various density ratio estimators including methods via density estimation, moment matching, probabilistic classification, density fitting and density ratio fitting, as well as describing how these can be applied to machine learning. The book provides mathematical theories for density ratio estimation including parametric and non-parametric convergence analysis and numerical stability analysis to complete the first and definitive treatment of the entire framework of density ratio estimation in machine learning.</t>
  </si>
  <si>
    <t>How to forecast next year’s portfolio-wide credit default rate based on last year’s default observations and the current score distribution? A classical approach to this problem consists of fitting a mixture of the conditional score distributions observed last year to the current score distribution. This is a special (simple) case of a finite mixture model where the mixture components are fixed and only the weights of the components are estimated. The optimum weights provide a forecast of next year’s portfolio-wide default rate. We point out that the maximum-likelihood (ML) approach to fitting the mixture distribution not only gives an optimum but even an exact fit if we allow the mixture components to vary but keep their density ratio fixed. From this observation we can conclude that the standard default rate forecast based on last year’s conditional default rates will always be located between last year’s portfolio-wide default rate and the ML forecast for next year. As an application example, cost quantification is then discussed. We also discuss how the mixture model based estimation methods can be used to forecast total loss. This involves the reinterpretation of an individual classification problem as a collective quantification problem.</t>
  </si>
  <si>
    <t>Classification is the task of predicting the class labels of objects based on the observation of their features. In contrast, quantification has been defined as the task of determining the prevalences of the different sorts of class labels in a target dataset. The simplest approach to quantification is Classify &amp; Count where a classifier is optimised for classification on a training set and applied to the target dataset for the prediction of class labels. In the case of binary quantification, the number of predicted positive labels is then used as an estimate of the prevalence of the positive class in the target dataset. Since the performance of Classify &amp; Count for quantification is known to be inferior its results typically are subject to adjustments. However, some researchers recently have suggested that Classify &amp; Count might actually work without adjustments if it is based on a classifer that was specifically trained for quantification. We discuss the theoretical foundation for this claim and explore its potential and limitations with a numerical example based on the binormal model with equal variances. In order to identify an optimal quantifier in the binormal setting, we introduce the concept of local Bayes optimality. As a side remark, we present a complete proof of a theorem by Ye et al. (2012).</t>
  </si>
  <si>
    <t>In realistic settings the prevalence of a class may change after a classifier is induced and this will degrade the performance of the classifier. Further complicating this scenario is the fact that labeled data is often scarce and expensive. In this paper we address the problem where the class distribution changes and only unlabeled examples are available from the new distribution. We design and evaluate a number of methods for coping with this problem and compare the performance of these methods. Our quantification-based methods estimate the class distribution of the unlabeled data from the changed distribution and adjust the original classifier accordingly, while our semi-supervised methods build a new classifier using the examples from the new (unlabeled) distribution which are supplemented with predicted class values. We also introduce a hybrid method that utilizes both quantification and semi-supervised learning. All methods are evaluated using accuracy and F-measure on a set of benchmark data sets. Our results demonstrate that our methods yield substantial improvements in accuracy and F-measure.</t>
  </si>
  <si>
    <t>Let X denote the feature and Y the tar
get. We consider domain adaptation under
three possible scenarios: (1) the marginal
PY changes, while the conditional PX|Y stays
the same (target shift), (2) the marginal PY
is fixed, while the conditional PX|Y changes
with certain constraints (conditional shift),
and (3) the marginal PY changes, and the
conditional PX|Y changes with constraints
(generalized target shift). Using background
knowledge, causal interpretations allow us to
determine the correct situation for a problem
at hand. We exploit importance reweight
ing or sample transformation to find the
learning machine that works well on test
data, and propose to estimate the weights
or transformations by reweighting or trans
forming training data to reproduce the covari
ate distribution on the test domain. Thanks
to kernel embedding of conditional as well
as marginal distributions, the proposed ap
proaches avoid distribution estimation, and
are applicable for high-dimensional problems.
Numerical evaluations on synthetic and real
world data sets demonstrate the effectiveness
of the proposed framework</t>
  </si>
  <si>
    <t>Recently, many people have been voicing their opinions via
social network services (SNSs) such as Twitter, thus making SNSs pow
erful real-time marketing tools for investigating users’ response to prod
ucts, events, and contents. In a previous study, we proposed a method
for profiling Twitter users on the basis of their tweets and applied this
method to various marketing applications. The method estimates the
demographics of individual users, such as gender, age, and geographical
location. In contrast to applications for which it is important to esti
mate profiles for individual user– for example, targeted advertising
there are many other marketing applications for which information on
the distribution of demographic classes, such as the ratio of males to fe
males, among a population of all responding users is essential. Although
such distribution can be calculated from the estimated demographic in
formation of individual users, the estimation process may be accelerated
by directly estimating the distribution from the tweets of the responding
users. In this paper, we propose a fast and simple method for profiling
a population of Twitter users who tweet on an event without needing
to estimate the users’ individual demographics. In addition, we evaluate
the proposed method using real tweet data.</t>
  </si>
  <si>
    <t>Opinion mining has come to play a key role in text mining applications for cus
tomer relationship management, consumer attitude detection, brand and prod
uct positioning, and market research. Interest in these applications has spawned
a new generation of companies and products devoted to online reputation man
agement, market perception, and online content monitoring. Historically, one
of the most important incarnations of opinion mining has been sentiment clas
sification, the task of classifying a given piece of natural language text (be it a
short remark, blog post, or full-blown product review) not according to its topic
(as in standard text classification) but according to the opinions expressed in it.
One interesting instance of sentiment classification is detecting whether a given
product review is positive or negative, which is an example of binary classifi
cation. More subtly, it might be interesting to detect how positive or negative
the review is; if we express the possible values on a finite scale of integers, such
as between one (very negative) and five (very positive), this is an example of
ordinal classification (also known as "ordinal regression").
Sentiment classification is pervasive in all contexts where opinions must be
mined from large quantities of text. For instance, in a typical customer rela
tionship management application, a company might ask customers to fill out a
questionnaire to determine their opinions on a product or service they recently
purchased. If the questionnaire contains open questions, the company will need
to bin the textual answers into classes that represent different types of opin
ions. For example, an online bank that polls its customers on how satisfied
they are with their online account might use classes such as "satisfied overall,"
"unhappy with website navigation," "customer ready to churn," and so forth.
When the large amount of questionnaires received makes manual processing too
expensive or simply infeasible given the time constraints, automatically clas
sifying respondents becomes the only available option. Because the "opinion"
dimension is of key importance to this classification endeavor, the technology
used must combine sentiment analysis techniques and (more traditional) text
classification techniques based on supervised learning. 1 Sentiment classification
of textual answers returned within questionnaires could serve other purposes as
1
well. Other applications might include survey coding for the social or political
sciences (such as when open questions inquire about the respondents’ beliefs,
social status, or political leanings) 2 or market research (such as when open ques
tions deal with the respondents’ perception of products, brands, or advertising
campaigns).
Another important sentiment classification application is managing online
product reviews. Such reviews are available across numerous specialized web
sites (Amazon, Epinions.com, Ratingz.net, and TripAdvisor.com are only a few
examples) and increasingly influence consumers’ product-purchasing decisions.
While structured reviews from such websites consist of a textual product eval
uation and a score expressed on an ordered scale of values, many others (such
as those to be found in newsgroups, blogs, and other venues for spontaneous
discussion) contain only a textual evaluation, with no score attached. These
latter reviews are difficult for an automated system to manage, especially when
we need to determine, based on the reviews alone, the best perceived product
in the lot or whether product x is considered better than product y.
Tools capable of interpreting a text-only product review and classifying it
according to how positive it is are thus of the utmost importance. Such a
tool would "star-rate" a product review-that is, assign it a certain number of
"stars" (from one to five) based on its textual content. Additionally, it could
compute the average star-rating obtained by a given product (as resulting from
the product reviews written by different consumers) and rank all the products
in a given range (for example, all horror movies released between 2006 and 2008
and produced in the US) according to their computed average star-rating</t>
  </si>
  <si>
    <t>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</si>
</sst>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quot;$&quot;* #,##0_-;_-&quot;$&quot;* &quot;-&quot;_-;_-@_-"/>
    <numFmt numFmtId="41" formatCode="_-* #,##0_-;\-* #,##0_-;_-* &quot;-&quot;_-;_-@_-"/>
    <numFmt numFmtId="44" formatCode="_-&quot;$&quot;* #,##0.00_-;\-&quot;$&quot;* #,##0.00_-;_-&quot;$&quot;* &quot;-&quot;??_-;_-@_-"/>
    <numFmt numFmtId="43" formatCode="_-* #,##0.00_-;\-* #,##0.00_-;_-* &quot;-&quot;??_-;_-@_-"/>
  </numFmts>
  <fonts count="12" x14ac:knownFonts="1">
    <font>
      <sz val="11"/>
      <color theme="1"/>
      <name val="Calibri"/>
    </font>
    <font>
      <sz val="10"/>
      <name val="Arial"/>
    </font>
    <font>
      <b/>
      <sz val="13"/>
      <color rgb="FFFFFFFF"/>
      <name val="Arial"/>
    </font>
    <font>
      <sz val="10"/>
      <name val="Arial"/>
    </font>
    <font>
      <b/>
      <sz val="11"/>
      <color rgb="FF1F3864"/>
      <name val="Arial"/>
    </font>
    <font>
      <b/>
      <sz val="11"/>
      <color rgb="FFFFFFFF"/>
      <name val="Arial"/>
    </font>
    <font>
      <sz val="11"/>
      <name val="Arial"/>
    </font>
    <font>
      <i/>
      <sz val="9"/>
      <name val="Arial"/>
    </font>
    <font>
      <b/>
      <sz val="11"/>
      <name val="Arial"/>
    </font>
    <font>
      <sz val="10"/>
      <name val="Arial"/>
    </font>
    <font>
      <b/>
      <sz val="11"/>
      <color rgb="FFFFFFFF"/>
      <name val="Calibri"/>
    </font>
    <font>
      <sz val="11"/>
      <color theme="1"/>
      <name val="Calibri"/>
      <family val="2"/>
    </font>
  </fonts>
  <fills count="5">
    <fill>
      <patternFill patternType="none"/>
    </fill>
    <fill>
      <patternFill patternType="gray125"/>
    </fill>
    <fill>
      <patternFill patternType="solid">
        <fgColor rgb="FF1F3864"/>
      </patternFill>
    </fill>
    <fill>
      <patternFill patternType="solid">
        <fgColor rgb="FFFFF2CC"/>
      </patternFill>
    </fill>
    <fill>
      <patternFill patternType="solid">
        <fgColor rgb="FF17365D"/>
      </patternFill>
    </fill>
  </fills>
  <borders count="2">
    <border>
      <left/>
      <right/>
      <top/>
      <bottom/>
      <diagonal/>
    </border>
    <border>
      <left/>
      <right/>
      <top/>
      <bottom style="thin">
        <color rgb="FFD9D9D9"/>
      </bottom>
      <diagonal/>
    </border>
  </borders>
  <cellStyleXfs count="6">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cellStyleXfs>
  <cellXfs count="20">
    <xf numFmtId="0" fontId="0" fillId="0" borderId="0" xfId="0"/>
    <xf numFmtId="0" fontId="2" fillId="2" borderId="0" xfId="0" applyFont="1" applyFill="1"/>
    <xf numFmtId="0" fontId="3" fillId="0" borderId="0" xfId="0" applyFont="1"/>
    <xf numFmtId="0" fontId="4" fillId="0" borderId="0" xfId="0" applyFont="1"/>
    <xf numFmtId="0" fontId="5" fillId="2" borderId="0" xfId="0" applyFont="1" applyFill="1" applyAlignment="1">
      <alignment vertical="center" wrapText="1"/>
    </xf>
    <xf numFmtId="0" fontId="3" fillId="0" borderId="1" xfId="0" applyFont="1" applyBorder="1" applyAlignment="1">
      <alignment vertical="top"/>
    </xf>
    <xf numFmtId="0" fontId="3" fillId="0" borderId="1" xfId="0" applyFont="1" applyBorder="1" applyAlignment="1">
      <alignment vertical="top" wrapText="1"/>
    </xf>
    <xf numFmtId="0" fontId="3" fillId="3" borderId="1" xfId="0" applyFont="1" applyFill="1" applyBorder="1" applyAlignment="1">
      <alignment vertical="top"/>
    </xf>
    <xf numFmtId="0" fontId="6" fillId="0" borderId="0" xfId="0" applyFont="1"/>
    <xf numFmtId="0" fontId="7" fillId="0" borderId="0" xfId="0" applyFont="1"/>
    <xf numFmtId="0" fontId="8" fillId="0" borderId="0" xfId="0" applyFont="1"/>
    <xf numFmtId="0" fontId="3" fillId="0" borderId="0" xfId="0" applyFont="1" applyAlignment="1">
      <alignment vertical="top"/>
    </xf>
    <xf numFmtId="0" fontId="3" fillId="0" borderId="0" xfId="0" applyFont="1" applyAlignment="1">
      <alignment vertical="top" wrapText="1"/>
    </xf>
    <xf numFmtId="0" fontId="3" fillId="3" borderId="0" xfId="0" applyFont="1" applyFill="1" applyAlignment="1">
      <alignment vertical="top"/>
    </xf>
    <xf numFmtId="0" fontId="9" fillId="3" borderId="1" xfId="0" applyFont="1" applyFill="1" applyBorder="1" applyAlignment="1">
      <alignment vertical="top"/>
    </xf>
    <xf numFmtId="0" fontId="10" fillId="4" borderId="0" xfId="0" applyFont="1" applyFill="1" applyAlignment="1">
      <alignment horizontal="center" vertical="center"/>
    </xf>
    <xf numFmtId="0" fontId="0" fillId="0" borderId="0" xfId="0" applyAlignment="1">
      <alignment vertical="top" wrapText="1"/>
    </xf>
    <xf numFmtId="0" fontId="11" fillId="0" borderId="0" xfId="0" applyFont="1" applyAlignment="1">
      <alignment vertical="top" wrapText="1"/>
    </xf>
    <xf numFmtId="0" fontId="10" fillId="4" borderId="0" xfId="0" applyFont="1" applyFill="1" applyAlignment="1">
      <alignment horizontal="center" vertical="center" wrapText="1"/>
    </xf>
    <xf numFmtId="0" fontId="0" fillId="0" borderId="0" xfId="0" applyAlignment="1">
      <alignment wrapText="1"/>
    </xf>
  </cellXfs>
  <cellStyles count="6">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Normal" xfId="0" builtinId="0"/>
    <cellStyle name="Percent" xfId="5" xr:uid="{00000000-0005-0000-0000-000005000000}"/>
  </cellStyles>
  <dxfs count="19">
    <dxf>
      <fill>
        <patternFill>
          <bgColor rgb="FFFCE5CD"/>
        </patternFill>
      </fill>
    </dxf>
    <dxf>
      <fill>
        <patternFill>
          <bgColor rgb="FFEFEFEF"/>
        </patternFill>
      </fill>
    </dxf>
    <dxf>
      <fill>
        <patternFill>
          <bgColor rgb="FFD9EAD3"/>
        </patternFill>
      </fill>
    </dxf>
    <dxf>
      <fill>
        <patternFill>
          <bgColor rgb="FFF4CCCC"/>
        </patternFill>
      </fill>
    </dxf>
    <dxf>
      <font>
        <sz val="10"/>
        <color rgb="FF7F7F7F"/>
        <name val="Arial"/>
      </font>
    </dxf>
    <dxf>
      <font>
        <u val="none"/>
        <sz val="10"/>
        <color auto="1"/>
        <name val="Arial"/>
        <scheme val="none"/>
      </font>
      <border>
        <left/>
        <right/>
        <top/>
        <bottom style="thin">
          <color rgb="FFD9D9D9"/>
        </bottom>
      </border>
    </dxf>
    <dxf>
      <font>
        <u val="none"/>
        <sz val="10"/>
        <color auto="1"/>
        <name val="Arial"/>
        <scheme val="none"/>
      </font>
      <border>
        <left/>
        <right/>
        <top/>
        <bottom style="thin">
          <color rgb="FFD9D9D9"/>
        </bottom>
      </border>
    </dxf>
    <dxf>
      <font>
        <u val="none"/>
        <sz val="10"/>
        <color auto="1"/>
        <name val="Arial"/>
        <scheme val="none"/>
      </font>
      <border>
        <left/>
        <right/>
        <top/>
        <bottom style="thin">
          <color rgb="FFD9D9D9"/>
        </bottom>
      </border>
    </dxf>
    <dxf>
      <font>
        <u val="none"/>
        <sz val="10"/>
        <color auto="1"/>
        <name val="Arial"/>
        <scheme val="none"/>
      </font>
      <border>
        <left/>
        <right/>
        <top/>
        <bottom style="thin">
          <color rgb="FFD9D9D9"/>
        </bottom>
      </border>
    </dxf>
    <dxf>
      <font>
        <u val="none"/>
        <sz val="10"/>
        <color auto="1"/>
        <name val="Arial"/>
        <scheme val="none"/>
      </font>
      <border>
        <left/>
        <right/>
        <top/>
        <bottom style="thin">
          <color rgb="FFD9D9D9"/>
        </bottom>
      </border>
    </dxf>
    <dxf>
      <font>
        <u val="none"/>
        <sz val="10"/>
        <color auto="1"/>
        <name val="Arial"/>
        <scheme val="none"/>
      </font>
      <fill>
        <patternFill>
          <bgColor indexed="64"/>
        </patternFill>
      </fill>
      <border>
        <left/>
        <right/>
        <top/>
        <bottom style="thin">
          <color rgb="FFD9D9D9"/>
        </bottom>
      </border>
    </dxf>
    <dxf>
      <font>
        <u val="none"/>
        <sz val="10"/>
        <color auto="1"/>
        <name val="Arial"/>
        <scheme val="none"/>
      </font>
      <fill>
        <patternFill>
          <bgColor indexed="64"/>
        </patternFill>
      </fill>
      <border>
        <left/>
        <right/>
        <top/>
        <bottom style="thin">
          <color rgb="FFD9D9D9"/>
        </bottom>
      </border>
    </dxf>
    <dxf>
      <font>
        <u val="none"/>
        <sz val="10"/>
        <color auto="1"/>
        <name val="Arial"/>
        <scheme val="none"/>
      </font>
      <border>
        <left/>
        <right/>
        <top/>
        <bottom style="thin">
          <color rgb="FFD9D9D9"/>
        </bottom>
      </border>
    </dxf>
    <dxf>
      <font>
        <u val="none"/>
        <sz val="10"/>
        <color auto="1"/>
        <name val="Arial"/>
        <scheme val="none"/>
      </font>
      <border>
        <left/>
        <right/>
        <top/>
        <bottom style="thin">
          <color rgb="FFD9D9D9"/>
        </bottom>
      </border>
    </dxf>
    <dxf>
      <font>
        <u val="none"/>
        <sz val="10"/>
        <color auto="1"/>
        <name val="Arial"/>
        <scheme val="none"/>
      </font>
      <border>
        <left/>
        <right/>
        <top/>
        <bottom style="thin">
          <color rgb="FFD9D9D9"/>
        </bottom>
      </border>
    </dxf>
    <dxf>
      <font>
        <u val="none"/>
        <sz val="10"/>
        <color auto="1"/>
        <name val="Arial"/>
        <scheme val="none"/>
      </font>
      <border>
        <left/>
        <right/>
        <top/>
        <bottom style="thin">
          <color rgb="FFD9D9D9"/>
        </bottom>
      </border>
    </dxf>
    <dxf>
      <font>
        <u val="none"/>
        <sz val="10"/>
        <color auto="1"/>
        <name val="Arial"/>
        <scheme val="none"/>
      </font>
      <border>
        <left/>
        <right/>
        <top/>
        <bottom style="thin">
          <color rgb="FFD9D9D9"/>
        </bottom>
      </border>
    </dxf>
    <dxf>
      <font>
        <u val="none"/>
        <sz val="10"/>
        <color auto="1"/>
        <name val="Arial"/>
        <scheme val="none"/>
      </font>
      <border>
        <left/>
        <right/>
        <top/>
        <bottom style="thin">
          <color rgb="FFD9D9D9"/>
        </bottom>
      </border>
    </dxf>
    <dxf>
      <font>
        <u val="none"/>
        <sz val="10"/>
        <color auto="1"/>
        <name val="Arial"/>
        <scheme val="none"/>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2CC"/>
      <rgbColor rgb="FFEFEFE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FF99CC"/>
      <rgbColor rgb="FFCC99FF"/>
      <rgbColor rgb="FFF4CCC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78" totalsRowShown="0" dataDxfId="18">
  <autoFilter ref="A1:M78" xr:uid="{00000000-0009-0000-0100-000001000000}">
    <filterColumn colId="5">
      <filters>
        <filter val="NOT IN CORPUS"/>
      </filters>
    </filterColumn>
  </autoFilter>
  <tableColumns count="13">
    <tableColumn id="1" xr3:uid="{00000000-0010-0000-0000-000001000000}" name="Ref no." dataDxfId="17"/>
    <tableColumn id="2" xr3:uid="{00000000-0010-0000-0000-000002000000}" name="First author" dataDxfId="16"/>
    <tableColumn id="3" xr3:uid="{00000000-0010-0000-0000-000003000000}" name="Year" dataDxfId="15"/>
    <tableColumn id="4" xr3:uid="{00000000-0010-0000-0000-000004000000}" name="Title" dataDxfId="14"/>
    <tableColumn id="5" xr3:uid="{00000000-0010-0000-0000-000005000000}" name="DOI" dataDxfId="13"/>
    <tableColumn id="6" xr3:uid="{00000000-0010-0000-0000-000006000000}" name="Corpus status" dataDxfId="12"/>
    <tableColumn id="7" xr3:uid="{00000000-0010-0000-0000-000007000000}" name="Title-stage decision" dataDxfId="11"/>
    <tableColumn id="8" xr3:uid="{00000000-0010-0000-0000-000008000000}" name="Note" dataDxfId="10"/>
    <tableColumn id="9" xr3:uid="{00000000-0010-0000-0000-000009000000}" name="B-ii terms in title" dataDxfId="9"/>
    <tableColumn id="10" xr3:uid="{00000000-0010-0000-0000-00000A000000}" name="Abstract on disk" dataDxfId="8"/>
    <tableColumn id="11" xr3:uid="{00000000-0010-0000-0000-00000B000000}" name="How checked" dataDxfId="7"/>
    <tableColumn id="12" xr3:uid="{00000000-0010-0000-0000-00000C000000}" name="Matching corpus record" dataDxfId="6"/>
    <tableColumn id="13" xr3:uid="{00000000-0010-0000-0000-00000D000000}" name="Title source" dataDxfId="5"/>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9"/>
  <sheetViews>
    <sheetView workbookViewId="0"/>
  </sheetViews>
  <sheetFormatPr defaultColWidth="8.7109375" defaultRowHeight="15" x14ac:dyDescent="0.25"/>
  <cols>
    <col min="1" max="1" width="112" customWidth="1"/>
  </cols>
  <sheetData>
    <row r="1" spans="1:1" ht="21.75" customHeight="1" x14ac:dyDescent="0.25">
      <c r="A1" s="1" t="s">
        <v>0</v>
      </c>
    </row>
    <row r="2" spans="1:1" x14ac:dyDescent="0.25">
      <c r="A2" s="2"/>
    </row>
    <row r="3" spans="1:1" x14ac:dyDescent="0.25">
      <c r="A3" s="3" t="s">
        <v>1</v>
      </c>
    </row>
    <row r="4" spans="1:1" x14ac:dyDescent="0.25">
      <c r="A4" s="2" t="s">
        <v>2</v>
      </c>
    </row>
    <row r="5" spans="1:1" x14ac:dyDescent="0.25">
      <c r="A5" s="2" t="s">
        <v>3</v>
      </c>
    </row>
    <row r="6" spans="1:1" x14ac:dyDescent="0.25">
      <c r="A6" s="2"/>
    </row>
    <row r="7" spans="1:1" x14ac:dyDescent="0.25">
      <c r="A7" s="3" t="s">
        <v>4</v>
      </c>
    </row>
    <row r="8" spans="1:1" x14ac:dyDescent="0.25">
      <c r="A8" s="2" t="s">
        <v>5</v>
      </c>
    </row>
    <row r="9" spans="1:1" x14ac:dyDescent="0.25">
      <c r="A9" s="2" t="s">
        <v>6</v>
      </c>
    </row>
    <row r="10" spans="1:1" x14ac:dyDescent="0.25">
      <c r="A10" s="2" t="s">
        <v>7</v>
      </c>
    </row>
    <row r="11" spans="1:1" x14ac:dyDescent="0.25">
      <c r="A11" s="2"/>
    </row>
    <row r="12" spans="1:1" x14ac:dyDescent="0.25">
      <c r="A12" s="3"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row>
    <row r="18" spans="1:1" x14ac:dyDescent="0.25">
      <c r="A18" s="3" t="s">
        <v>13</v>
      </c>
    </row>
    <row r="19" spans="1:1" x14ac:dyDescent="0.25">
      <c r="A19" s="2" t="s">
        <v>14</v>
      </c>
    </row>
    <row r="20" spans="1:1" x14ac:dyDescent="0.25">
      <c r="A20" s="2" t="s">
        <v>15</v>
      </c>
    </row>
    <row r="21" spans="1:1" x14ac:dyDescent="0.25">
      <c r="A21" s="2" t="s">
        <v>16</v>
      </c>
    </row>
    <row r="22" spans="1:1" x14ac:dyDescent="0.25">
      <c r="A22" s="2" t="s">
        <v>17</v>
      </c>
    </row>
    <row r="23" spans="1:1" x14ac:dyDescent="0.25">
      <c r="A23" s="2" t="s">
        <v>18</v>
      </c>
    </row>
    <row r="24" spans="1:1" x14ac:dyDescent="0.25">
      <c r="A24" s="2" t="s">
        <v>19</v>
      </c>
    </row>
    <row r="25" spans="1:1" x14ac:dyDescent="0.25">
      <c r="A25" s="2" t="s">
        <v>20</v>
      </c>
    </row>
    <row r="26" spans="1:1" x14ac:dyDescent="0.25">
      <c r="A26" s="2"/>
    </row>
    <row r="27" spans="1:1" x14ac:dyDescent="0.25">
      <c r="A27" s="3" t="s">
        <v>21</v>
      </c>
    </row>
    <row r="28" spans="1:1" x14ac:dyDescent="0.25">
      <c r="A28" s="2" t="s">
        <v>22</v>
      </c>
    </row>
    <row r="29" spans="1:1" x14ac:dyDescent="0.25">
      <c r="A29" s="2" t="s">
        <v>23</v>
      </c>
    </row>
    <row r="30" spans="1:1" x14ac:dyDescent="0.25">
      <c r="A30" s="2" t="s">
        <v>24</v>
      </c>
    </row>
    <row r="31" spans="1:1" x14ac:dyDescent="0.25">
      <c r="A31" s="2" t="s">
        <v>25</v>
      </c>
    </row>
    <row r="32" spans="1:1" x14ac:dyDescent="0.25">
      <c r="A32" s="2" t="s">
        <v>26</v>
      </c>
    </row>
    <row r="33" spans="1:1" x14ac:dyDescent="0.25">
      <c r="A33" s="2"/>
    </row>
    <row r="34" spans="1:1" x14ac:dyDescent="0.25">
      <c r="A34" s="3" t="s">
        <v>27</v>
      </c>
    </row>
    <row r="35" spans="1:1" x14ac:dyDescent="0.25">
      <c r="A35" s="2" t="s">
        <v>28</v>
      </c>
    </row>
    <row r="36" spans="1:1" x14ac:dyDescent="0.25">
      <c r="A36" s="2" t="s">
        <v>29</v>
      </c>
    </row>
    <row r="37" spans="1:1" x14ac:dyDescent="0.25">
      <c r="A37" s="2" t="s">
        <v>30</v>
      </c>
    </row>
    <row r="38" spans="1:1" x14ac:dyDescent="0.25">
      <c r="A38" s="2" t="s">
        <v>31</v>
      </c>
    </row>
    <row r="39" spans="1:1" x14ac:dyDescent="0.25">
      <c r="A39" s="2" t="s">
        <v>32</v>
      </c>
    </row>
    <row r="40" spans="1:1" x14ac:dyDescent="0.25">
      <c r="A40" s="2" t="s">
        <v>33</v>
      </c>
    </row>
    <row r="41" spans="1:1" x14ac:dyDescent="0.25">
      <c r="A41" s="2"/>
    </row>
    <row r="42" spans="1:1" x14ac:dyDescent="0.25">
      <c r="A42" s="3" t="s">
        <v>34</v>
      </c>
    </row>
    <row r="43" spans="1:1" x14ac:dyDescent="0.25">
      <c r="A43" s="2" t="s">
        <v>35</v>
      </c>
    </row>
    <row r="44" spans="1:1" x14ac:dyDescent="0.25">
      <c r="A44" s="2" t="s">
        <v>36</v>
      </c>
    </row>
    <row r="45" spans="1:1" x14ac:dyDescent="0.25">
      <c r="A45" s="2" t="s">
        <v>37</v>
      </c>
    </row>
    <row r="46" spans="1:1" x14ac:dyDescent="0.25">
      <c r="A46" s="2"/>
    </row>
    <row r="47" spans="1:1" x14ac:dyDescent="0.25">
      <c r="A47" s="3" t="s">
        <v>38</v>
      </c>
    </row>
    <row r="48" spans="1:1" x14ac:dyDescent="0.25">
      <c r="A48" s="2" t="s">
        <v>39</v>
      </c>
    </row>
    <row r="49" spans="1:1" x14ac:dyDescent="0.25">
      <c r="A49" s="2"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8"/>
  <sheetViews>
    <sheetView workbookViewId="0"/>
  </sheetViews>
  <sheetFormatPr defaultColWidth="8.7109375" defaultRowHeight="15" x14ac:dyDescent="0.25"/>
  <cols>
    <col min="1" max="1" width="10.42578125" customWidth="1"/>
    <col min="2" max="2" width="18" customWidth="1"/>
    <col min="3" max="3" width="7.85546875" customWidth="1"/>
    <col min="4" max="4" width="70" customWidth="1"/>
    <col min="5" max="5" width="30" customWidth="1"/>
    <col min="6" max="6" width="17.28515625" customWidth="1"/>
    <col min="7" max="7" width="23.140625" customWidth="1"/>
    <col min="8" max="8" width="30" customWidth="1"/>
    <col min="9" max="9" width="26" customWidth="1"/>
    <col min="10" max="10" width="19.28515625" customWidth="1"/>
    <col min="11" max="11" width="44" customWidth="1"/>
    <col min="12" max="12" width="60" customWidth="1"/>
    <col min="13" max="13" width="52" customWidth="1"/>
  </cols>
  <sheetData>
    <row r="1" spans="1:13" ht="30" customHeight="1" x14ac:dyDescent="0.25">
      <c r="A1" s="4" t="s">
        <v>41</v>
      </c>
      <c r="B1" s="4" t="s">
        <v>42</v>
      </c>
      <c r="C1" s="4" t="s">
        <v>43</v>
      </c>
      <c r="D1" s="4" t="s">
        <v>44</v>
      </c>
      <c r="E1" s="4" t="s">
        <v>45</v>
      </c>
      <c r="F1" s="4" t="s">
        <v>46</v>
      </c>
      <c r="G1" s="4" t="s">
        <v>47</v>
      </c>
      <c r="H1" s="4" t="s">
        <v>48</v>
      </c>
      <c r="I1" s="4" t="s">
        <v>49</v>
      </c>
      <c r="J1" s="4" t="s">
        <v>50</v>
      </c>
      <c r="K1" s="4" t="s">
        <v>51</v>
      </c>
      <c r="L1" s="4" t="s">
        <v>52</v>
      </c>
      <c r="M1" s="4" t="s">
        <v>53</v>
      </c>
    </row>
    <row r="2" spans="1:13" ht="38.25" x14ac:dyDescent="0.25">
      <c r="A2" s="5">
        <v>1</v>
      </c>
      <c r="B2" s="5" t="s">
        <v>54</v>
      </c>
      <c r="C2" s="5" t="s">
        <v>55</v>
      </c>
      <c r="D2" s="6" t="s">
        <v>56</v>
      </c>
      <c r="E2" s="5"/>
      <c r="F2" s="5" t="s">
        <v>57</v>
      </c>
      <c r="G2" s="7" t="s">
        <v>58</v>
      </c>
      <c r="H2" s="7"/>
      <c r="I2" s="5" t="s">
        <v>59</v>
      </c>
      <c r="J2" s="5"/>
      <c r="K2" s="6" t="s">
        <v>60</v>
      </c>
      <c r="L2" s="6"/>
      <c r="M2" s="6" t="s">
        <v>61</v>
      </c>
    </row>
    <row r="3" spans="1:13" ht="38.25" x14ac:dyDescent="0.25">
      <c r="A3" s="5">
        <v>2</v>
      </c>
      <c r="B3" s="5" t="s">
        <v>54</v>
      </c>
      <c r="C3" s="5" t="s">
        <v>62</v>
      </c>
      <c r="D3" s="6" t="s">
        <v>63</v>
      </c>
      <c r="E3" s="5" t="s">
        <v>64</v>
      </c>
      <c r="F3" s="5" t="s">
        <v>57</v>
      </c>
      <c r="G3" s="7" t="s">
        <v>58</v>
      </c>
      <c r="H3" s="7"/>
      <c r="I3" s="5"/>
      <c r="J3" s="5" t="s">
        <v>65</v>
      </c>
      <c r="K3" s="6" t="s">
        <v>66</v>
      </c>
      <c r="L3" s="6"/>
      <c r="M3" s="6" t="s">
        <v>67</v>
      </c>
    </row>
    <row r="4" spans="1:13" ht="38.25" x14ac:dyDescent="0.25">
      <c r="A4" s="5">
        <v>3</v>
      </c>
      <c r="B4" s="5" t="s">
        <v>68</v>
      </c>
      <c r="C4" s="5" t="s">
        <v>69</v>
      </c>
      <c r="D4" s="6" t="s">
        <v>70</v>
      </c>
      <c r="E4" s="5"/>
      <c r="F4" s="5" t="s">
        <v>57</v>
      </c>
      <c r="G4" s="7" t="s">
        <v>71</v>
      </c>
      <c r="H4" s="7"/>
      <c r="I4" s="5"/>
      <c r="J4" s="5"/>
      <c r="K4" s="6" t="s">
        <v>60</v>
      </c>
      <c r="L4" s="6"/>
      <c r="M4" s="6" t="s">
        <v>61</v>
      </c>
    </row>
    <row r="5" spans="1:13" ht="38.25" x14ac:dyDescent="0.25">
      <c r="A5" s="5">
        <v>4</v>
      </c>
      <c r="B5" s="5" t="s">
        <v>68</v>
      </c>
      <c r="C5" s="5" t="s">
        <v>69</v>
      </c>
      <c r="D5" s="6" t="s">
        <v>72</v>
      </c>
      <c r="E5" s="5"/>
      <c r="F5" s="5" t="s">
        <v>57</v>
      </c>
      <c r="G5" s="7" t="s">
        <v>71</v>
      </c>
      <c r="H5" s="7"/>
      <c r="I5" s="5"/>
      <c r="J5" s="5"/>
      <c r="K5" s="6" t="s">
        <v>60</v>
      </c>
      <c r="L5" s="6"/>
      <c r="M5" s="6" t="s">
        <v>61</v>
      </c>
    </row>
    <row r="6" spans="1:13" ht="38.25" x14ac:dyDescent="0.25">
      <c r="A6" s="5">
        <v>5</v>
      </c>
      <c r="B6" s="5" t="s">
        <v>73</v>
      </c>
      <c r="C6" s="5" t="s">
        <v>74</v>
      </c>
      <c r="D6" s="6" t="s">
        <v>75</v>
      </c>
      <c r="E6" s="5"/>
      <c r="F6" s="5" t="s">
        <v>57</v>
      </c>
      <c r="G6" s="7" t="s">
        <v>76</v>
      </c>
      <c r="H6" s="7"/>
      <c r="I6" s="5"/>
      <c r="J6" s="5"/>
      <c r="K6" s="6" t="s">
        <v>60</v>
      </c>
      <c r="L6" s="6"/>
      <c r="M6" s="6" t="s">
        <v>61</v>
      </c>
    </row>
    <row r="7" spans="1:13" ht="38.25" x14ac:dyDescent="0.25">
      <c r="A7" s="5">
        <v>6</v>
      </c>
      <c r="B7" s="5" t="s">
        <v>77</v>
      </c>
      <c r="C7" s="5" t="s">
        <v>78</v>
      </c>
      <c r="D7" s="6" t="s">
        <v>79</v>
      </c>
      <c r="E7" s="5"/>
      <c r="F7" s="5" t="s">
        <v>57</v>
      </c>
      <c r="G7" s="7" t="s">
        <v>71</v>
      </c>
      <c r="H7" s="7"/>
      <c r="I7" s="5"/>
      <c r="J7" s="5"/>
      <c r="K7" s="6" t="s">
        <v>60</v>
      </c>
      <c r="L7" s="6"/>
      <c r="M7" s="6" t="s">
        <v>61</v>
      </c>
    </row>
    <row r="8" spans="1:13" ht="38.25" x14ac:dyDescent="0.25">
      <c r="A8" s="5">
        <v>7</v>
      </c>
      <c r="B8" s="5" t="s">
        <v>80</v>
      </c>
      <c r="C8" s="5" t="s">
        <v>81</v>
      </c>
      <c r="D8" s="6" t="s">
        <v>82</v>
      </c>
      <c r="E8" s="5" t="s">
        <v>83</v>
      </c>
      <c r="F8" s="5" t="s">
        <v>57</v>
      </c>
      <c r="G8" s="7" t="s">
        <v>58</v>
      </c>
      <c r="H8" s="7"/>
      <c r="I8" s="5" t="s">
        <v>84</v>
      </c>
      <c r="J8" s="5" t="s">
        <v>65</v>
      </c>
      <c r="K8" s="6" t="s">
        <v>66</v>
      </c>
      <c r="L8" s="6"/>
      <c r="M8" s="6" t="s">
        <v>67</v>
      </c>
    </row>
    <row r="9" spans="1:13" ht="25.5" hidden="1" x14ac:dyDescent="0.25">
      <c r="A9" s="5">
        <v>8</v>
      </c>
      <c r="B9" s="5" t="s">
        <v>80</v>
      </c>
      <c r="C9" s="5" t="s">
        <v>85</v>
      </c>
      <c r="D9" s="6" t="s">
        <v>86</v>
      </c>
      <c r="E9" s="5" t="s">
        <v>87</v>
      </c>
      <c r="F9" s="5" t="s">
        <v>88</v>
      </c>
      <c r="G9" s="5"/>
      <c r="H9" s="5"/>
      <c r="I9" s="5" t="s">
        <v>89</v>
      </c>
      <c r="J9" s="5"/>
      <c r="K9" s="6" t="s">
        <v>90</v>
      </c>
      <c r="L9" s="6" t="s">
        <v>91</v>
      </c>
      <c r="M9" s="6" t="s">
        <v>92</v>
      </c>
    </row>
    <row r="10" spans="1:13" ht="38.25" x14ac:dyDescent="0.25">
      <c r="A10" s="5">
        <v>9</v>
      </c>
      <c r="B10" s="5" t="s">
        <v>93</v>
      </c>
      <c r="C10" s="5" t="s">
        <v>81</v>
      </c>
      <c r="D10" s="6" t="s">
        <v>94</v>
      </c>
      <c r="E10" s="5"/>
      <c r="F10" s="5" t="s">
        <v>57</v>
      </c>
      <c r="G10" s="7" t="s">
        <v>58</v>
      </c>
      <c r="H10" s="7"/>
      <c r="I10" s="5" t="s">
        <v>84</v>
      </c>
      <c r="J10" s="5"/>
      <c r="K10" s="6" t="s">
        <v>60</v>
      </c>
      <c r="L10" s="6"/>
      <c r="M10" s="6" t="s">
        <v>61</v>
      </c>
    </row>
    <row r="11" spans="1:13" ht="38.25" x14ac:dyDescent="0.25">
      <c r="A11" s="5">
        <v>10</v>
      </c>
      <c r="B11" s="5" t="s">
        <v>95</v>
      </c>
      <c r="C11" s="5" t="s">
        <v>96</v>
      </c>
      <c r="D11" s="6" t="s">
        <v>97</v>
      </c>
      <c r="E11" s="5" t="s">
        <v>98</v>
      </c>
      <c r="F11" s="5" t="s">
        <v>57</v>
      </c>
      <c r="G11" s="7" t="s">
        <v>58</v>
      </c>
      <c r="H11" s="7"/>
      <c r="I11" s="5" t="s">
        <v>84</v>
      </c>
      <c r="J11" s="5"/>
      <c r="K11" s="6" t="s">
        <v>66</v>
      </c>
      <c r="L11" s="6"/>
      <c r="M11" s="6" t="s">
        <v>99</v>
      </c>
    </row>
    <row r="12" spans="1:13" ht="38.25" x14ac:dyDescent="0.25">
      <c r="A12" s="5">
        <v>11</v>
      </c>
      <c r="B12" s="5" t="s">
        <v>95</v>
      </c>
      <c r="C12" s="5">
        <v>2014</v>
      </c>
      <c r="D12" s="6" t="s">
        <v>100</v>
      </c>
      <c r="E12" s="5" t="s">
        <v>101</v>
      </c>
      <c r="F12" s="5" t="s">
        <v>57</v>
      </c>
      <c r="G12" s="7" t="s">
        <v>76</v>
      </c>
      <c r="H12" s="7"/>
      <c r="I12" s="5" t="s">
        <v>84</v>
      </c>
      <c r="J12" s="5"/>
      <c r="K12" s="6" t="s">
        <v>66</v>
      </c>
      <c r="L12" s="6"/>
      <c r="M12" s="6" t="s">
        <v>102</v>
      </c>
    </row>
    <row r="13" spans="1:13" ht="38.25" x14ac:dyDescent="0.25">
      <c r="A13" s="5">
        <v>12</v>
      </c>
      <c r="B13" s="5" t="s">
        <v>103</v>
      </c>
      <c r="C13" s="5" t="s">
        <v>104</v>
      </c>
      <c r="D13" s="6" t="s">
        <v>105</v>
      </c>
      <c r="E13" s="5" t="s">
        <v>106</v>
      </c>
      <c r="F13" s="5" t="s">
        <v>57</v>
      </c>
      <c r="G13" s="7" t="s">
        <v>76</v>
      </c>
      <c r="H13" s="7"/>
      <c r="I13" s="5"/>
      <c r="J13" s="5"/>
      <c r="K13" s="6" t="s">
        <v>66</v>
      </c>
      <c r="L13" s="6"/>
      <c r="M13" s="6" t="s">
        <v>99</v>
      </c>
    </row>
    <row r="14" spans="1:13" ht="25.5" hidden="1" x14ac:dyDescent="0.25">
      <c r="A14" s="5">
        <v>13</v>
      </c>
      <c r="B14" s="5" t="s">
        <v>107</v>
      </c>
      <c r="C14" s="5" t="s">
        <v>108</v>
      </c>
      <c r="D14" s="6" t="s">
        <v>109</v>
      </c>
      <c r="E14" s="5" t="s">
        <v>110</v>
      </c>
      <c r="F14" s="5" t="s">
        <v>88</v>
      </c>
      <c r="G14" s="5"/>
      <c r="H14" s="5"/>
      <c r="I14" s="5" t="s">
        <v>111</v>
      </c>
      <c r="J14" s="5"/>
      <c r="K14" s="6" t="s">
        <v>90</v>
      </c>
      <c r="L14" s="6" t="s">
        <v>112</v>
      </c>
      <c r="M14" s="6" t="s">
        <v>113</v>
      </c>
    </row>
    <row r="15" spans="1:13" ht="38.25" x14ac:dyDescent="0.25">
      <c r="A15" s="5">
        <v>14</v>
      </c>
      <c r="B15" s="5" t="s">
        <v>114</v>
      </c>
      <c r="C15" s="5" t="s">
        <v>108</v>
      </c>
      <c r="D15" s="6" t="s">
        <v>115</v>
      </c>
      <c r="E15" s="5" t="s">
        <v>116</v>
      </c>
      <c r="F15" s="5" t="s">
        <v>57</v>
      </c>
      <c r="G15" s="7" t="s">
        <v>71</v>
      </c>
      <c r="H15" s="7"/>
      <c r="I15" s="5"/>
      <c r="J15" s="5"/>
      <c r="K15" s="6" t="s">
        <v>66</v>
      </c>
      <c r="L15" s="6"/>
      <c r="M15" s="6" t="s">
        <v>99</v>
      </c>
    </row>
    <row r="16" spans="1:13" ht="38.25" hidden="1" x14ac:dyDescent="0.25">
      <c r="A16" s="5">
        <v>15</v>
      </c>
      <c r="B16" s="5" t="s">
        <v>117</v>
      </c>
      <c r="C16" s="5" t="s">
        <v>78</v>
      </c>
      <c r="D16" s="6" t="s">
        <v>118</v>
      </c>
      <c r="E16" s="5"/>
      <c r="F16" s="5" t="s">
        <v>88</v>
      </c>
      <c r="G16" s="5"/>
      <c r="H16" s="5"/>
      <c r="I16" s="5" t="s">
        <v>119</v>
      </c>
      <c r="J16" s="5"/>
      <c r="K16" s="6" t="s">
        <v>120</v>
      </c>
      <c r="L16" s="6" t="s">
        <v>121</v>
      </c>
      <c r="M16" s="6" t="s">
        <v>61</v>
      </c>
    </row>
    <row r="17" spans="1:13" ht="51" x14ac:dyDescent="0.25">
      <c r="A17" s="5">
        <v>16</v>
      </c>
      <c r="B17" s="5" t="s">
        <v>122</v>
      </c>
      <c r="C17" s="5" t="s">
        <v>69</v>
      </c>
      <c r="D17" s="6" t="s">
        <v>123</v>
      </c>
      <c r="E17" s="5" t="s">
        <v>124</v>
      </c>
      <c r="F17" s="5" t="s">
        <v>57</v>
      </c>
      <c r="G17" s="7" t="s">
        <v>58</v>
      </c>
      <c r="H17" s="7"/>
      <c r="I17" s="5" t="s">
        <v>125</v>
      </c>
      <c r="J17" s="5" t="s">
        <v>65</v>
      </c>
      <c r="K17" s="6" t="s">
        <v>126</v>
      </c>
      <c r="L17" s="6"/>
      <c r="M17" s="6" t="s">
        <v>67</v>
      </c>
    </row>
    <row r="18" spans="1:13" ht="25.5" hidden="1" x14ac:dyDescent="0.25">
      <c r="A18" s="5">
        <v>17</v>
      </c>
      <c r="B18" s="5" t="s">
        <v>122</v>
      </c>
      <c r="C18" s="5" t="s">
        <v>69</v>
      </c>
      <c r="D18" s="6" t="s">
        <v>118</v>
      </c>
      <c r="E18" s="5" t="s">
        <v>127</v>
      </c>
      <c r="F18" s="5" t="s">
        <v>88</v>
      </c>
      <c r="G18" s="5"/>
      <c r="H18" s="5"/>
      <c r="I18" s="5" t="s">
        <v>119</v>
      </c>
      <c r="J18" s="5"/>
      <c r="K18" s="6" t="s">
        <v>90</v>
      </c>
      <c r="L18" s="6" t="s">
        <v>128</v>
      </c>
      <c r="M18" s="6" t="s">
        <v>113</v>
      </c>
    </row>
    <row r="19" spans="1:13" ht="38.25" x14ac:dyDescent="0.25">
      <c r="A19" s="5">
        <v>18</v>
      </c>
      <c r="B19" s="5" t="s">
        <v>129</v>
      </c>
      <c r="C19" s="5">
        <v>2010</v>
      </c>
      <c r="D19" s="6" t="s">
        <v>130</v>
      </c>
      <c r="E19" s="5" t="s">
        <v>131</v>
      </c>
      <c r="F19" s="5" t="s">
        <v>57</v>
      </c>
      <c r="G19" s="7" t="s">
        <v>58</v>
      </c>
      <c r="H19" s="7"/>
      <c r="I19" s="5" t="s">
        <v>84</v>
      </c>
      <c r="J19" s="5"/>
      <c r="K19" s="6" t="s">
        <v>66</v>
      </c>
      <c r="L19" s="6"/>
      <c r="M19" s="6" t="s">
        <v>132</v>
      </c>
    </row>
    <row r="20" spans="1:13" ht="38.25" x14ac:dyDescent="0.25">
      <c r="A20" s="5">
        <v>19</v>
      </c>
      <c r="B20" s="5" t="s">
        <v>129</v>
      </c>
      <c r="C20" s="5" t="s">
        <v>81</v>
      </c>
      <c r="D20" s="6" t="s">
        <v>133</v>
      </c>
      <c r="E20" s="5" t="s">
        <v>134</v>
      </c>
      <c r="F20" s="5" t="s">
        <v>57</v>
      </c>
      <c r="G20" s="7" t="s">
        <v>58</v>
      </c>
      <c r="H20" s="7"/>
      <c r="I20" s="5" t="s">
        <v>135</v>
      </c>
      <c r="J20" s="5" t="s">
        <v>65</v>
      </c>
      <c r="K20" s="6" t="s">
        <v>66</v>
      </c>
      <c r="L20" s="6"/>
      <c r="M20" s="6" t="s">
        <v>67</v>
      </c>
    </row>
    <row r="21" spans="1:13" ht="38.25" x14ac:dyDescent="0.25">
      <c r="A21" s="5">
        <v>20</v>
      </c>
      <c r="B21" s="5" t="s">
        <v>136</v>
      </c>
      <c r="C21" s="5" t="s">
        <v>137</v>
      </c>
      <c r="D21" s="6" t="s">
        <v>138</v>
      </c>
      <c r="E21" s="5"/>
      <c r="F21" s="5" t="s">
        <v>57</v>
      </c>
      <c r="G21" s="7" t="s">
        <v>76</v>
      </c>
      <c r="H21" s="7"/>
      <c r="I21" s="5"/>
      <c r="J21" s="5"/>
      <c r="K21" s="6" t="s">
        <v>60</v>
      </c>
      <c r="L21" s="6"/>
      <c r="M21" s="6" t="s">
        <v>61</v>
      </c>
    </row>
    <row r="22" spans="1:13" ht="38.25" x14ac:dyDescent="0.25">
      <c r="A22" s="5">
        <v>21</v>
      </c>
      <c r="B22" s="5" t="s">
        <v>136</v>
      </c>
      <c r="C22" s="5" t="s">
        <v>139</v>
      </c>
      <c r="D22" s="6" t="s">
        <v>140</v>
      </c>
      <c r="E22" s="5" t="s">
        <v>141</v>
      </c>
      <c r="F22" s="5" t="s">
        <v>57</v>
      </c>
      <c r="G22" s="7" t="s">
        <v>76</v>
      </c>
      <c r="H22" s="7"/>
      <c r="I22" s="5" t="s">
        <v>142</v>
      </c>
      <c r="J22" s="5"/>
      <c r="K22" s="6" t="s">
        <v>66</v>
      </c>
      <c r="L22" s="6"/>
      <c r="M22" s="6" t="s">
        <v>99</v>
      </c>
    </row>
    <row r="23" spans="1:13" ht="51" x14ac:dyDescent="0.25">
      <c r="A23" s="5">
        <v>22</v>
      </c>
      <c r="B23" s="5" t="s">
        <v>143</v>
      </c>
      <c r="C23" s="5" t="s">
        <v>144</v>
      </c>
      <c r="D23" s="6" t="s">
        <v>145</v>
      </c>
      <c r="E23" s="5"/>
      <c r="F23" s="5" t="s">
        <v>57</v>
      </c>
      <c r="G23" s="7" t="s">
        <v>58</v>
      </c>
      <c r="H23" s="7"/>
      <c r="I23" s="5" t="s">
        <v>84</v>
      </c>
      <c r="J23" s="5"/>
      <c r="K23" s="6" t="s">
        <v>146</v>
      </c>
      <c r="L23" s="6"/>
      <c r="M23" s="6" t="s">
        <v>61</v>
      </c>
    </row>
    <row r="24" spans="1:13" ht="38.25" x14ac:dyDescent="0.25">
      <c r="A24" s="5">
        <v>23</v>
      </c>
      <c r="B24" s="5" t="s">
        <v>147</v>
      </c>
      <c r="C24" s="5" t="s">
        <v>139</v>
      </c>
      <c r="D24" s="6" t="s">
        <v>148</v>
      </c>
      <c r="E24" s="5" t="s">
        <v>149</v>
      </c>
      <c r="F24" s="5" t="s">
        <v>57</v>
      </c>
      <c r="G24" s="7" t="s">
        <v>58</v>
      </c>
      <c r="H24" s="7"/>
      <c r="I24" s="5"/>
      <c r="J24" s="5"/>
      <c r="K24" s="6" t="s">
        <v>66</v>
      </c>
      <c r="L24" s="6"/>
      <c r="M24" s="6" t="s">
        <v>99</v>
      </c>
    </row>
    <row r="25" spans="1:13" ht="38.25" x14ac:dyDescent="0.25">
      <c r="A25" s="5">
        <v>24</v>
      </c>
      <c r="B25" s="5" t="s">
        <v>147</v>
      </c>
      <c r="C25" s="5" t="s">
        <v>108</v>
      </c>
      <c r="D25" s="6" t="s">
        <v>150</v>
      </c>
      <c r="E25" s="5" t="s">
        <v>151</v>
      </c>
      <c r="F25" s="5" t="s">
        <v>57</v>
      </c>
      <c r="G25" s="7" t="s">
        <v>58</v>
      </c>
      <c r="H25" s="7"/>
      <c r="I25" s="5" t="s">
        <v>59</v>
      </c>
      <c r="J25" s="5" t="s">
        <v>65</v>
      </c>
      <c r="K25" s="6" t="s">
        <v>66</v>
      </c>
      <c r="L25" s="6"/>
      <c r="M25" s="6" t="s">
        <v>67</v>
      </c>
    </row>
    <row r="26" spans="1:13" ht="38.25" x14ac:dyDescent="0.25">
      <c r="A26" s="5">
        <v>25</v>
      </c>
      <c r="B26" s="5" t="s">
        <v>147</v>
      </c>
      <c r="C26" s="5" t="s">
        <v>55</v>
      </c>
      <c r="D26" s="6" t="s">
        <v>152</v>
      </c>
      <c r="E26" s="5" t="s">
        <v>153</v>
      </c>
      <c r="F26" s="5" t="s">
        <v>57</v>
      </c>
      <c r="G26" s="7" t="s">
        <v>58</v>
      </c>
      <c r="H26" s="7"/>
      <c r="I26" s="5" t="s">
        <v>59</v>
      </c>
      <c r="J26" s="5" t="s">
        <v>65</v>
      </c>
      <c r="K26" s="6" t="s">
        <v>66</v>
      </c>
      <c r="L26" s="6"/>
      <c r="M26" s="6" t="s">
        <v>67</v>
      </c>
    </row>
    <row r="27" spans="1:13" ht="38.25" x14ac:dyDescent="0.25">
      <c r="A27" s="5">
        <v>26</v>
      </c>
      <c r="B27" s="5" t="s">
        <v>147</v>
      </c>
      <c r="C27" s="5">
        <v>2006</v>
      </c>
      <c r="D27" s="6" t="s">
        <v>154</v>
      </c>
      <c r="E27" s="5" t="s">
        <v>155</v>
      </c>
      <c r="F27" s="5" t="s">
        <v>57</v>
      </c>
      <c r="G27" s="7" t="s">
        <v>58</v>
      </c>
      <c r="H27" s="7"/>
      <c r="I27" s="5" t="s">
        <v>156</v>
      </c>
      <c r="J27" s="5"/>
      <c r="K27" s="6" t="s">
        <v>66</v>
      </c>
      <c r="L27" s="6"/>
      <c r="M27" s="6" t="s">
        <v>132</v>
      </c>
    </row>
    <row r="28" spans="1:13" ht="38.25" x14ac:dyDescent="0.25">
      <c r="A28" s="5">
        <v>27</v>
      </c>
      <c r="B28" s="5" t="s">
        <v>157</v>
      </c>
      <c r="C28" s="5" t="s">
        <v>96</v>
      </c>
      <c r="D28" s="6" t="s">
        <v>158</v>
      </c>
      <c r="E28" s="5" t="s">
        <v>159</v>
      </c>
      <c r="F28" s="5" t="s">
        <v>57</v>
      </c>
      <c r="G28" s="7" t="s">
        <v>76</v>
      </c>
      <c r="H28" s="7"/>
      <c r="I28" s="5"/>
      <c r="J28" s="5"/>
      <c r="K28" s="6" t="s">
        <v>66</v>
      </c>
      <c r="L28" s="6"/>
      <c r="M28" s="6" t="s">
        <v>99</v>
      </c>
    </row>
    <row r="29" spans="1:13" ht="51" x14ac:dyDescent="0.25">
      <c r="A29" s="5">
        <v>28</v>
      </c>
      <c r="B29" s="5" t="s">
        <v>160</v>
      </c>
      <c r="C29" s="5">
        <v>2001</v>
      </c>
      <c r="D29" s="6" t="s">
        <v>161</v>
      </c>
      <c r="E29" s="5" t="s">
        <v>162</v>
      </c>
      <c r="F29" s="5" t="s">
        <v>57</v>
      </c>
      <c r="G29" s="7" t="s">
        <v>76</v>
      </c>
      <c r="H29" s="7"/>
      <c r="I29" s="5"/>
      <c r="J29" s="5"/>
      <c r="K29" s="6" t="s">
        <v>163</v>
      </c>
      <c r="L29" s="6"/>
      <c r="M29" s="6" t="s">
        <v>92</v>
      </c>
    </row>
    <row r="30" spans="1:13" ht="38.25" x14ac:dyDescent="0.25">
      <c r="A30" s="5">
        <v>29</v>
      </c>
      <c r="B30" s="5" t="s">
        <v>164</v>
      </c>
      <c r="C30" s="5" t="s">
        <v>69</v>
      </c>
      <c r="D30" s="6" t="s">
        <v>165</v>
      </c>
      <c r="E30" s="5" t="s">
        <v>166</v>
      </c>
      <c r="F30" s="5" t="s">
        <v>57</v>
      </c>
      <c r="G30" s="7" t="s">
        <v>76</v>
      </c>
      <c r="H30" s="7"/>
      <c r="I30" s="5"/>
      <c r="J30" s="5"/>
      <c r="K30" s="6" t="s">
        <v>66</v>
      </c>
      <c r="L30" s="6"/>
      <c r="M30" s="6" t="s">
        <v>99</v>
      </c>
    </row>
    <row r="31" spans="1:13" ht="38.25" x14ac:dyDescent="0.25">
      <c r="A31" s="5">
        <v>30</v>
      </c>
      <c r="B31" s="5" t="s">
        <v>167</v>
      </c>
      <c r="C31" s="5" t="s">
        <v>81</v>
      </c>
      <c r="D31" s="6" t="s">
        <v>168</v>
      </c>
      <c r="E31" s="5" t="s">
        <v>169</v>
      </c>
      <c r="F31" s="5" t="s">
        <v>57</v>
      </c>
      <c r="G31" s="7" t="s">
        <v>58</v>
      </c>
      <c r="H31" s="7"/>
      <c r="I31" s="5" t="s">
        <v>84</v>
      </c>
      <c r="J31" s="5"/>
      <c r="K31" s="6" t="s">
        <v>66</v>
      </c>
      <c r="L31" s="6"/>
      <c r="M31" s="6" t="s">
        <v>99</v>
      </c>
    </row>
    <row r="32" spans="1:13" ht="38.25" x14ac:dyDescent="0.25">
      <c r="A32" s="5">
        <v>31</v>
      </c>
      <c r="B32" s="5" t="s">
        <v>167</v>
      </c>
      <c r="C32" s="5" t="s">
        <v>144</v>
      </c>
      <c r="D32" s="6" t="s">
        <v>170</v>
      </c>
      <c r="E32" s="5" t="s">
        <v>171</v>
      </c>
      <c r="F32" s="5" t="s">
        <v>57</v>
      </c>
      <c r="G32" s="7" t="s">
        <v>58</v>
      </c>
      <c r="H32" s="7"/>
      <c r="I32" s="5" t="s">
        <v>84</v>
      </c>
      <c r="J32" s="5"/>
      <c r="K32" s="6" t="s">
        <v>66</v>
      </c>
      <c r="L32" s="6"/>
      <c r="M32" s="6" t="s">
        <v>99</v>
      </c>
    </row>
    <row r="33" spans="1:13" ht="51" x14ac:dyDescent="0.25">
      <c r="A33" s="5">
        <v>32</v>
      </c>
      <c r="B33" s="5" t="s">
        <v>172</v>
      </c>
      <c r="C33" s="5">
        <v>1966</v>
      </c>
      <c r="D33" s="6" t="s">
        <v>173</v>
      </c>
      <c r="E33" s="5" t="s">
        <v>174</v>
      </c>
      <c r="F33" s="5" t="s">
        <v>57</v>
      </c>
      <c r="G33" s="7" t="s">
        <v>76</v>
      </c>
      <c r="H33" s="7"/>
      <c r="I33" s="5"/>
      <c r="J33" s="5"/>
      <c r="K33" s="6" t="s">
        <v>163</v>
      </c>
      <c r="L33" s="6"/>
      <c r="M33" s="6" t="s">
        <v>92</v>
      </c>
    </row>
    <row r="34" spans="1:13" ht="51" x14ac:dyDescent="0.25">
      <c r="A34" s="5">
        <v>33</v>
      </c>
      <c r="B34" s="5" t="s">
        <v>175</v>
      </c>
      <c r="C34" s="5">
        <v>2016</v>
      </c>
      <c r="D34" s="6" t="s">
        <v>176</v>
      </c>
      <c r="E34" s="5" t="s">
        <v>177</v>
      </c>
      <c r="F34" s="5" t="s">
        <v>57</v>
      </c>
      <c r="G34" s="7" t="s">
        <v>76</v>
      </c>
      <c r="H34" s="7"/>
      <c r="I34" s="5"/>
      <c r="J34" s="5"/>
      <c r="K34" s="6" t="s">
        <v>163</v>
      </c>
      <c r="L34" s="6"/>
      <c r="M34" s="6" t="s">
        <v>92</v>
      </c>
    </row>
    <row r="35" spans="1:13" ht="38.25" x14ac:dyDescent="0.25">
      <c r="A35" s="5">
        <v>34</v>
      </c>
      <c r="B35" s="5" t="s">
        <v>178</v>
      </c>
      <c r="C35" s="5" t="s">
        <v>179</v>
      </c>
      <c r="D35" s="6" t="s">
        <v>180</v>
      </c>
      <c r="E35" s="5"/>
      <c r="F35" s="5" t="s">
        <v>57</v>
      </c>
      <c r="G35" s="7" t="s">
        <v>76</v>
      </c>
      <c r="H35" s="7"/>
      <c r="I35" s="5"/>
      <c r="J35" s="5"/>
      <c r="K35" s="6" t="s">
        <v>60</v>
      </c>
      <c r="L35" s="6"/>
      <c r="M35" s="6" t="s">
        <v>61</v>
      </c>
    </row>
    <row r="36" spans="1:13" ht="51" x14ac:dyDescent="0.25">
      <c r="A36" s="5">
        <v>35</v>
      </c>
      <c r="B36" s="5" t="s">
        <v>181</v>
      </c>
      <c r="C36" s="5">
        <v>2013</v>
      </c>
      <c r="D36" s="6" t="s">
        <v>182</v>
      </c>
      <c r="E36" s="5" t="s">
        <v>183</v>
      </c>
      <c r="F36" s="5" t="s">
        <v>57</v>
      </c>
      <c r="G36" s="7" t="s">
        <v>71</v>
      </c>
      <c r="H36" s="7"/>
      <c r="I36" s="5"/>
      <c r="J36" s="5"/>
      <c r="K36" s="6" t="s">
        <v>163</v>
      </c>
      <c r="L36" s="6"/>
      <c r="M36" s="6" t="s">
        <v>92</v>
      </c>
    </row>
    <row r="37" spans="1:13" ht="51" x14ac:dyDescent="0.25">
      <c r="A37" s="5">
        <v>36</v>
      </c>
      <c r="B37" s="5" t="s">
        <v>181</v>
      </c>
      <c r="C37" s="5">
        <v>2017</v>
      </c>
      <c r="D37" s="6" t="s">
        <v>184</v>
      </c>
      <c r="E37" s="5" t="s">
        <v>185</v>
      </c>
      <c r="F37" s="5" t="s">
        <v>57</v>
      </c>
      <c r="G37" s="7" t="s">
        <v>76</v>
      </c>
      <c r="H37" s="7"/>
      <c r="I37" s="5"/>
      <c r="J37" s="5"/>
      <c r="K37" s="6" t="s">
        <v>163</v>
      </c>
      <c r="L37" s="6"/>
      <c r="M37" s="6" t="s">
        <v>92</v>
      </c>
    </row>
    <row r="38" spans="1:13" ht="38.25" x14ac:dyDescent="0.25">
      <c r="A38" s="5">
        <v>37</v>
      </c>
      <c r="B38" s="5" t="s">
        <v>181</v>
      </c>
      <c r="C38" s="5" t="s">
        <v>186</v>
      </c>
      <c r="D38" s="6" t="s">
        <v>187</v>
      </c>
      <c r="E38" s="5"/>
      <c r="F38" s="5" t="s">
        <v>57</v>
      </c>
      <c r="G38" s="7" t="s">
        <v>58</v>
      </c>
      <c r="H38" s="7"/>
      <c r="I38" s="5" t="s">
        <v>84</v>
      </c>
      <c r="J38" s="5" t="s">
        <v>65</v>
      </c>
      <c r="K38" s="6" t="s">
        <v>60</v>
      </c>
      <c r="L38" s="6"/>
      <c r="M38" s="6" t="s">
        <v>61</v>
      </c>
    </row>
    <row r="39" spans="1:13" ht="25.5" hidden="1" x14ac:dyDescent="0.25">
      <c r="A39" s="5">
        <v>38</v>
      </c>
      <c r="B39" s="5" t="s">
        <v>188</v>
      </c>
      <c r="C39" s="5" t="s">
        <v>85</v>
      </c>
      <c r="D39" s="6" t="s">
        <v>189</v>
      </c>
      <c r="E39" s="5" t="s">
        <v>190</v>
      </c>
      <c r="F39" s="5" t="s">
        <v>88</v>
      </c>
      <c r="G39" s="5"/>
      <c r="H39" s="5"/>
      <c r="I39" s="5" t="s">
        <v>191</v>
      </c>
      <c r="J39" s="5"/>
      <c r="K39" s="6" t="s">
        <v>90</v>
      </c>
      <c r="L39" s="6" t="s">
        <v>192</v>
      </c>
      <c r="M39" s="6" t="s">
        <v>113</v>
      </c>
    </row>
    <row r="40" spans="1:13" ht="38.25" x14ac:dyDescent="0.25">
      <c r="A40" s="5">
        <v>39</v>
      </c>
      <c r="B40" s="5" t="s">
        <v>193</v>
      </c>
      <c r="C40" s="5" t="s">
        <v>81</v>
      </c>
      <c r="D40" s="6" t="s">
        <v>194</v>
      </c>
      <c r="E40" s="5" t="s">
        <v>195</v>
      </c>
      <c r="F40" s="5" t="s">
        <v>57</v>
      </c>
      <c r="G40" s="7" t="s">
        <v>71</v>
      </c>
      <c r="H40" s="7"/>
      <c r="I40" s="5"/>
      <c r="J40" s="5" t="s">
        <v>65</v>
      </c>
      <c r="K40" s="6" t="s">
        <v>66</v>
      </c>
      <c r="L40" s="6"/>
      <c r="M40" s="6" t="s">
        <v>67</v>
      </c>
    </row>
    <row r="41" spans="1:13" ht="38.25" x14ac:dyDescent="0.25">
      <c r="A41" s="5">
        <v>40</v>
      </c>
      <c r="B41" s="5" t="s">
        <v>193</v>
      </c>
      <c r="C41" s="5" t="s">
        <v>85</v>
      </c>
      <c r="D41" s="6" t="s">
        <v>196</v>
      </c>
      <c r="E41" s="5" t="s">
        <v>197</v>
      </c>
      <c r="F41" s="5" t="s">
        <v>57</v>
      </c>
      <c r="G41" s="7" t="s">
        <v>71</v>
      </c>
      <c r="H41" s="7"/>
      <c r="I41" s="5"/>
      <c r="J41" s="5" t="s">
        <v>65</v>
      </c>
      <c r="K41" s="6" t="s">
        <v>66</v>
      </c>
      <c r="L41" s="6"/>
      <c r="M41" s="6" t="s">
        <v>67</v>
      </c>
    </row>
    <row r="42" spans="1:13" ht="51" x14ac:dyDescent="0.25">
      <c r="A42" s="5">
        <v>41</v>
      </c>
      <c r="B42" s="5" t="s">
        <v>198</v>
      </c>
      <c r="C42" s="5">
        <v>2010</v>
      </c>
      <c r="D42" s="6" t="s">
        <v>199</v>
      </c>
      <c r="E42" s="5" t="s">
        <v>200</v>
      </c>
      <c r="F42" s="5" t="s">
        <v>57</v>
      </c>
      <c r="G42" s="7" t="s">
        <v>71</v>
      </c>
      <c r="H42" s="7"/>
      <c r="I42" s="5"/>
      <c r="J42" s="5"/>
      <c r="K42" s="6" t="s">
        <v>163</v>
      </c>
      <c r="L42" s="6"/>
      <c r="M42" s="6" t="s">
        <v>92</v>
      </c>
    </row>
    <row r="43" spans="1:13" ht="38.25" x14ac:dyDescent="0.25">
      <c r="A43" s="5">
        <v>42</v>
      </c>
      <c r="B43" s="5" t="s">
        <v>201</v>
      </c>
      <c r="C43" s="5" t="s">
        <v>202</v>
      </c>
      <c r="D43" s="6" t="s">
        <v>203</v>
      </c>
      <c r="E43" s="5"/>
      <c r="F43" s="5" t="s">
        <v>57</v>
      </c>
      <c r="G43" s="7" t="s">
        <v>76</v>
      </c>
      <c r="H43" s="7"/>
      <c r="I43" s="5"/>
      <c r="J43" s="5"/>
      <c r="K43" s="6" t="s">
        <v>60</v>
      </c>
      <c r="L43" s="6"/>
      <c r="M43" s="6" t="s">
        <v>61</v>
      </c>
    </row>
    <row r="44" spans="1:13" ht="38.25" x14ac:dyDescent="0.25">
      <c r="A44" s="5">
        <v>43</v>
      </c>
      <c r="B44" s="5" t="s">
        <v>204</v>
      </c>
      <c r="C44" s="5" t="s">
        <v>69</v>
      </c>
      <c r="D44" s="6" t="s">
        <v>205</v>
      </c>
      <c r="E44" s="5"/>
      <c r="F44" s="5" t="s">
        <v>57</v>
      </c>
      <c r="G44" s="7" t="s">
        <v>58</v>
      </c>
      <c r="H44" s="7"/>
      <c r="I44" s="5" t="s">
        <v>206</v>
      </c>
      <c r="J44" s="5"/>
      <c r="K44" s="6" t="s">
        <v>60</v>
      </c>
      <c r="L44" s="6"/>
      <c r="M44" s="6" t="s">
        <v>61</v>
      </c>
    </row>
    <row r="45" spans="1:13" ht="51" x14ac:dyDescent="0.25">
      <c r="A45" s="5">
        <v>44</v>
      </c>
      <c r="B45" s="5" t="s">
        <v>207</v>
      </c>
      <c r="C45" s="5">
        <v>2005</v>
      </c>
      <c r="D45" s="6" t="s">
        <v>208</v>
      </c>
      <c r="E45" s="5" t="s">
        <v>209</v>
      </c>
      <c r="F45" s="5" t="s">
        <v>57</v>
      </c>
      <c r="G45" s="7" t="s">
        <v>76</v>
      </c>
      <c r="H45" s="7"/>
      <c r="I45" s="5"/>
      <c r="J45" s="5"/>
      <c r="K45" s="6" t="s">
        <v>163</v>
      </c>
      <c r="L45" s="6"/>
      <c r="M45" s="6" t="s">
        <v>92</v>
      </c>
    </row>
    <row r="46" spans="1:13" ht="38.25" x14ac:dyDescent="0.25">
      <c r="A46" s="5">
        <v>45</v>
      </c>
      <c r="B46" s="5" t="s">
        <v>210</v>
      </c>
      <c r="C46" s="5" t="s">
        <v>144</v>
      </c>
      <c r="D46" s="6" t="s">
        <v>211</v>
      </c>
      <c r="E46" s="5" t="s">
        <v>212</v>
      </c>
      <c r="F46" s="5" t="s">
        <v>57</v>
      </c>
      <c r="G46" s="7" t="s">
        <v>58</v>
      </c>
      <c r="H46" s="7"/>
      <c r="I46" s="5" t="s">
        <v>119</v>
      </c>
      <c r="J46" s="5" t="s">
        <v>65</v>
      </c>
      <c r="K46" s="6" t="s">
        <v>66</v>
      </c>
      <c r="L46" s="6"/>
      <c r="M46" s="6" t="s">
        <v>67</v>
      </c>
    </row>
    <row r="47" spans="1:13" ht="51" x14ac:dyDescent="0.25">
      <c r="A47" s="5">
        <v>46</v>
      </c>
      <c r="B47" s="5" t="s">
        <v>213</v>
      </c>
      <c r="C47" s="5">
        <v>2008</v>
      </c>
      <c r="D47" s="6" t="s">
        <v>214</v>
      </c>
      <c r="E47" s="5" t="s">
        <v>215</v>
      </c>
      <c r="F47" s="5" t="s">
        <v>57</v>
      </c>
      <c r="G47" s="7" t="s">
        <v>71</v>
      </c>
      <c r="H47" s="7"/>
      <c r="I47" s="5"/>
      <c r="J47" s="5"/>
      <c r="K47" s="6" t="s">
        <v>163</v>
      </c>
      <c r="L47" s="6"/>
      <c r="M47" s="6" t="s">
        <v>92</v>
      </c>
    </row>
    <row r="48" spans="1:13" ht="38.25" x14ac:dyDescent="0.25">
      <c r="A48" s="5">
        <v>47</v>
      </c>
      <c r="B48" s="5" t="s">
        <v>216</v>
      </c>
      <c r="C48" s="5" t="s">
        <v>69</v>
      </c>
      <c r="D48" s="6" t="s">
        <v>217</v>
      </c>
      <c r="E48" s="5"/>
      <c r="F48" s="5" t="s">
        <v>57</v>
      </c>
      <c r="G48" s="7" t="s">
        <v>76</v>
      </c>
      <c r="H48" s="7"/>
      <c r="I48" s="5"/>
      <c r="J48" s="5"/>
      <c r="K48" s="6" t="s">
        <v>60</v>
      </c>
      <c r="L48" s="6"/>
      <c r="M48" s="6" t="s">
        <v>61</v>
      </c>
    </row>
    <row r="49" spans="1:13" ht="51" x14ac:dyDescent="0.25">
      <c r="A49" s="5">
        <v>48</v>
      </c>
      <c r="B49" s="5" t="s">
        <v>218</v>
      </c>
      <c r="C49" s="5">
        <v>1970</v>
      </c>
      <c r="D49" s="6" t="s">
        <v>219</v>
      </c>
      <c r="E49" s="5" t="s">
        <v>220</v>
      </c>
      <c r="F49" s="5" t="s">
        <v>57</v>
      </c>
      <c r="G49" s="7" t="s">
        <v>76</v>
      </c>
      <c r="H49" s="7"/>
      <c r="I49" s="5"/>
      <c r="J49" s="5"/>
      <c r="K49" s="6" t="s">
        <v>163</v>
      </c>
      <c r="L49" s="6"/>
      <c r="M49" s="6" t="s">
        <v>92</v>
      </c>
    </row>
    <row r="50" spans="1:13" ht="38.25" x14ac:dyDescent="0.25">
      <c r="A50" s="5">
        <v>49</v>
      </c>
      <c r="B50" s="5" t="s">
        <v>221</v>
      </c>
      <c r="C50" s="5" t="s">
        <v>144</v>
      </c>
      <c r="D50" s="6" t="s">
        <v>222</v>
      </c>
      <c r="E50" s="5" t="s">
        <v>223</v>
      </c>
      <c r="F50" s="5" t="s">
        <v>57</v>
      </c>
      <c r="G50" s="7" t="s">
        <v>58</v>
      </c>
      <c r="H50" s="7"/>
      <c r="I50" s="5" t="s">
        <v>84</v>
      </c>
      <c r="J50" s="5"/>
      <c r="K50" s="6" t="s">
        <v>66</v>
      </c>
      <c r="L50" s="6"/>
      <c r="M50" s="6" t="s">
        <v>99</v>
      </c>
    </row>
    <row r="51" spans="1:13" ht="38.25" x14ac:dyDescent="0.25">
      <c r="A51" s="5">
        <v>50</v>
      </c>
      <c r="B51" s="5" t="s">
        <v>221</v>
      </c>
      <c r="C51" s="5">
        <v>2016</v>
      </c>
      <c r="D51" s="6" t="s">
        <v>224</v>
      </c>
      <c r="E51" s="5" t="s">
        <v>225</v>
      </c>
      <c r="F51" s="5" t="s">
        <v>57</v>
      </c>
      <c r="G51" s="7" t="s">
        <v>58</v>
      </c>
      <c r="H51" s="7"/>
      <c r="I51" s="5" t="s">
        <v>84</v>
      </c>
      <c r="J51" s="5"/>
      <c r="K51" s="6" t="s">
        <v>66</v>
      </c>
      <c r="L51" s="6"/>
      <c r="M51" s="6" t="s">
        <v>132</v>
      </c>
    </row>
    <row r="52" spans="1:13" ht="38.25" x14ac:dyDescent="0.25">
      <c r="A52" s="5">
        <v>51</v>
      </c>
      <c r="B52" s="5" t="s">
        <v>226</v>
      </c>
      <c r="C52" s="5" t="s">
        <v>85</v>
      </c>
      <c r="D52" s="6" t="s">
        <v>227</v>
      </c>
      <c r="E52" s="5" t="s">
        <v>228</v>
      </c>
      <c r="F52" s="5" t="s">
        <v>57</v>
      </c>
      <c r="G52" s="7" t="s">
        <v>58</v>
      </c>
      <c r="H52" s="7"/>
      <c r="I52" s="5" t="s">
        <v>84</v>
      </c>
      <c r="J52" s="5" t="s">
        <v>65</v>
      </c>
      <c r="K52" s="6" t="s">
        <v>66</v>
      </c>
      <c r="L52" s="6"/>
      <c r="M52" s="6" t="s">
        <v>67</v>
      </c>
    </row>
    <row r="53" spans="1:13" ht="38.25" x14ac:dyDescent="0.25">
      <c r="A53" s="5">
        <v>52</v>
      </c>
      <c r="B53" s="5" t="s">
        <v>226</v>
      </c>
      <c r="C53" s="5" t="s">
        <v>81</v>
      </c>
      <c r="D53" s="6" t="s">
        <v>229</v>
      </c>
      <c r="E53" s="5" t="s">
        <v>230</v>
      </c>
      <c r="F53" s="5" t="s">
        <v>57</v>
      </c>
      <c r="G53" s="7" t="s">
        <v>58</v>
      </c>
      <c r="H53" s="7"/>
      <c r="I53" s="5" t="s">
        <v>84</v>
      </c>
      <c r="J53" s="5" t="s">
        <v>65</v>
      </c>
      <c r="K53" s="6" t="s">
        <v>66</v>
      </c>
      <c r="L53" s="6"/>
      <c r="M53" s="6" t="s">
        <v>67</v>
      </c>
    </row>
    <row r="54" spans="1:13" ht="51" x14ac:dyDescent="0.25">
      <c r="A54" s="5">
        <v>53</v>
      </c>
      <c r="B54" s="5" t="s">
        <v>231</v>
      </c>
      <c r="C54" s="5">
        <v>2012</v>
      </c>
      <c r="D54" s="6" t="s">
        <v>232</v>
      </c>
      <c r="E54" s="5" t="s">
        <v>233</v>
      </c>
      <c r="F54" s="5" t="s">
        <v>57</v>
      </c>
      <c r="G54" s="7" t="s">
        <v>76</v>
      </c>
      <c r="H54" s="7"/>
      <c r="I54" s="5"/>
      <c r="J54" s="5"/>
      <c r="K54" s="6" t="s">
        <v>163</v>
      </c>
      <c r="L54" s="6"/>
      <c r="M54" s="6" t="s">
        <v>92</v>
      </c>
    </row>
    <row r="55" spans="1:13" ht="38.25" x14ac:dyDescent="0.25">
      <c r="A55" s="5">
        <v>54</v>
      </c>
      <c r="B55" s="5" t="s">
        <v>234</v>
      </c>
      <c r="C55" s="5" t="s">
        <v>144</v>
      </c>
      <c r="D55" s="6" t="s">
        <v>235</v>
      </c>
      <c r="E55" s="5"/>
      <c r="F55" s="5" t="s">
        <v>57</v>
      </c>
      <c r="G55" s="7" t="s">
        <v>58</v>
      </c>
      <c r="H55" s="7"/>
      <c r="I55" s="5" t="s">
        <v>84</v>
      </c>
      <c r="J55" s="5"/>
      <c r="K55" s="6" t="s">
        <v>60</v>
      </c>
      <c r="L55" s="6"/>
      <c r="M55" s="6" t="s">
        <v>61</v>
      </c>
    </row>
    <row r="56" spans="1:13" ht="51" x14ac:dyDescent="0.25">
      <c r="A56" s="5">
        <v>55</v>
      </c>
      <c r="B56" s="5" t="s">
        <v>236</v>
      </c>
      <c r="C56" s="5">
        <v>2010</v>
      </c>
      <c r="D56" s="6" t="s">
        <v>237</v>
      </c>
      <c r="E56" s="5" t="s">
        <v>238</v>
      </c>
      <c r="F56" s="5" t="s">
        <v>57</v>
      </c>
      <c r="G56" s="7" t="s">
        <v>76</v>
      </c>
      <c r="H56" s="7"/>
      <c r="I56" s="5"/>
      <c r="J56" s="5"/>
      <c r="K56" s="6" t="s">
        <v>163</v>
      </c>
      <c r="L56" s="6"/>
      <c r="M56" s="6" t="s">
        <v>92</v>
      </c>
    </row>
    <row r="57" spans="1:13" ht="38.25" x14ac:dyDescent="0.25">
      <c r="A57" s="5">
        <v>56</v>
      </c>
      <c r="B57" s="5" t="s">
        <v>239</v>
      </c>
      <c r="C57" s="5" t="s">
        <v>186</v>
      </c>
      <c r="D57" s="6" t="s">
        <v>240</v>
      </c>
      <c r="E57" s="5" t="s">
        <v>241</v>
      </c>
      <c r="F57" s="5" t="s">
        <v>57</v>
      </c>
      <c r="G57" s="7" t="s">
        <v>58</v>
      </c>
      <c r="H57" s="7"/>
      <c r="I57" s="5" t="s">
        <v>84</v>
      </c>
      <c r="J57" s="5"/>
      <c r="K57" s="6" t="s">
        <v>66</v>
      </c>
      <c r="L57" s="6"/>
      <c r="M57" s="6" t="s">
        <v>99</v>
      </c>
    </row>
    <row r="58" spans="1:13" ht="51" x14ac:dyDescent="0.25">
      <c r="A58" s="5">
        <v>57</v>
      </c>
      <c r="B58" s="5" t="s">
        <v>242</v>
      </c>
      <c r="C58" s="5">
        <v>1976</v>
      </c>
      <c r="D58" s="6" t="s">
        <v>243</v>
      </c>
      <c r="E58" s="5" t="s">
        <v>244</v>
      </c>
      <c r="F58" s="5" t="s">
        <v>57</v>
      </c>
      <c r="G58" s="7" t="s">
        <v>76</v>
      </c>
      <c r="H58" s="7"/>
      <c r="I58" s="5"/>
      <c r="J58" s="5"/>
      <c r="K58" s="6" t="s">
        <v>163</v>
      </c>
      <c r="L58" s="6"/>
      <c r="M58" s="6" t="s">
        <v>92</v>
      </c>
    </row>
    <row r="59" spans="1:13" ht="51" x14ac:dyDescent="0.25">
      <c r="A59" s="5">
        <v>58</v>
      </c>
      <c r="B59" s="5" t="s">
        <v>245</v>
      </c>
      <c r="C59" s="5">
        <v>2001</v>
      </c>
      <c r="D59" s="6" t="s">
        <v>246</v>
      </c>
      <c r="E59" s="5" t="s">
        <v>247</v>
      </c>
      <c r="F59" s="5" t="s">
        <v>57</v>
      </c>
      <c r="G59" s="7" t="s">
        <v>76</v>
      </c>
      <c r="H59" s="7"/>
      <c r="I59" s="5"/>
      <c r="J59" s="5"/>
      <c r="K59" s="6" t="s">
        <v>163</v>
      </c>
      <c r="L59" s="6"/>
      <c r="M59" s="6" t="s">
        <v>92</v>
      </c>
    </row>
    <row r="60" spans="1:13" ht="51" x14ac:dyDescent="0.25">
      <c r="A60" s="5">
        <v>59</v>
      </c>
      <c r="B60" s="5" t="s">
        <v>248</v>
      </c>
      <c r="C60" s="5">
        <v>2000</v>
      </c>
      <c r="D60" s="6" t="s">
        <v>249</v>
      </c>
      <c r="E60" s="5" t="s">
        <v>250</v>
      </c>
      <c r="F60" s="5" t="s">
        <v>57</v>
      </c>
      <c r="G60" s="7" t="s">
        <v>76</v>
      </c>
      <c r="H60" s="7"/>
      <c r="I60" s="5"/>
      <c r="J60" s="5"/>
      <c r="K60" s="6" t="s">
        <v>163</v>
      </c>
      <c r="L60" s="6"/>
      <c r="M60" s="6" t="s">
        <v>92</v>
      </c>
    </row>
    <row r="61" spans="1:13" ht="25.5" hidden="1" x14ac:dyDescent="0.25">
      <c r="A61" s="5">
        <v>60</v>
      </c>
      <c r="B61" s="5" t="s">
        <v>251</v>
      </c>
      <c r="C61" s="5" t="s">
        <v>252</v>
      </c>
      <c r="D61" s="6" t="s">
        <v>253</v>
      </c>
      <c r="E61" s="5" t="s">
        <v>254</v>
      </c>
      <c r="F61" s="5" t="s">
        <v>88</v>
      </c>
      <c r="G61" s="5"/>
      <c r="H61" s="5"/>
      <c r="I61" s="5" t="s">
        <v>255</v>
      </c>
      <c r="J61" s="5"/>
      <c r="K61" s="6" t="s">
        <v>90</v>
      </c>
      <c r="L61" s="6" t="s">
        <v>256</v>
      </c>
      <c r="M61" s="6" t="s">
        <v>113</v>
      </c>
    </row>
    <row r="62" spans="1:13" ht="51" x14ac:dyDescent="0.25">
      <c r="A62" s="5">
        <v>61</v>
      </c>
      <c r="B62" s="5" t="s">
        <v>257</v>
      </c>
      <c r="C62" s="5">
        <v>2001</v>
      </c>
      <c r="D62" s="6" t="s">
        <v>258</v>
      </c>
      <c r="E62" s="5" t="s">
        <v>259</v>
      </c>
      <c r="F62" s="5" t="s">
        <v>57</v>
      </c>
      <c r="G62" s="14" t="s">
        <v>58</v>
      </c>
      <c r="H62" s="7"/>
      <c r="I62" s="5"/>
      <c r="J62" s="5"/>
      <c r="K62" s="6" t="s">
        <v>163</v>
      </c>
      <c r="L62" s="6"/>
      <c r="M62" s="6" t="s">
        <v>92</v>
      </c>
    </row>
    <row r="63" spans="1:13" ht="51" x14ac:dyDescent="0.25">
      <c r="A63" s="5">
        <v>62</v>
      </c>
      <c r="B63" s="5" t="s">
        <v>260</v>
      </c>
      <c r="C63" s="5">
        <v>2007</v>
      </c>
      <c r="D63" s="6" t="s">
        <v>261</v>
      </c>
      <c r="E63" s="5" t="s">
        <v>262</v>
      </c>
      <c r="F63" s="5" t="s">
        <v>57</v>
      </c>
      <c r="G63" s="7" t="s">
        <v>76</v>
      </c>
      <c r="H63" s="7"/>
      <c r="I63" s="5"/>
      <c r="J63" s="5"/>
      <c r="K63" s="6" t="s">
        <v>163</v>
      </c>
      <c r="L63" s="6"/>
      <c r="M63" s="6" t="s">
        <v>92</v>
      </c>
    </row>
    <row r="64" spans="1:13" ht="38.25" x14ac:dyDescent="0.25">
      <c r="A64" s="5">
        <v>63</v>
      </c>
      <c r="B64" s="5" t="s">
        <v>263</v>
      </c>
      <c r="C64" s="5" t="s">
        <v>179</v>
      </c>
      <c r="D64" s="6" t="s">
        <v>264</v>
      </c>
      <c r="E64" s="5"/>
      <c r="F64" s="5" t="s">
        <v>57</v>
      </c>
      <c r="G64" s="7" t="s">
        <v>76</v>
      </c>
      <c r="H64" s="7"/>
      <c r="I64" s="5"/>
      <c r="J64" s="5"/>
      <c r="K64" s="6" t="s">
        <v>60</v>
      </c>
      <c r="L64" s="6"/>
      <c r="M64" s="6" t="s">
        <v>61</v>
      </c>
    </row>
    <row r="65" spans="1:13" ht="51" x14ac:dyDescent="0.25">
      <c r="A65" s="5">
        <v>64</v>
      </c>
      <c r="B65" s="5" t="s">
        <v>265</v>
      </c>
      <c r="C65" s="5">
        <v>2013</v>
      </c>
      <c r="D65" s="6" t="s">
        <v>266</v>
      </c>
      <c r="E65" s="5" t="s">
        <v>267</v>
      </c>
      <c r="F65" s="5" t="s">
        <v>57</v>
      </c>
      <c r="G65" s="7" t="s">
        <v>71</v>
      </c>
      <c r="H65" s="7"/>
      <c r="I65" s="5"/>
      <c r="J65" s="5"/>
      <c r="K65" s="6" t="s">
        <v>163</v>
      </c>
      <c r="L65" s="6"/>
      <c r="M65" s="6" t="s">
        <v>92</v>
      </c>
    </row>
    <row r="66" spans="1:13" ht="38.25" x14ac:dyDescent="0.25">
      <c r="A66" s="5">
        <v>65</v>
      </c>
      <c r="B66" s="5" t="s">
        <v>265</v>
      </c>
      <c r="C66" s="5" t="s">
        <v>202</v>
      </c>
      <c r="D66" s="6" t="s">
        <v>268</v>
      </c>
      <c r="E66" s="5"/>
      <c r="F66" s="5" t="s">
        <v>57</v>
      </c>
      <c r="G66" s="7" t="s">
        <v>76</v>
      </c>
      <c r="H66" s="7"/>
      <c r="I66" s="5"/>
      <c r="J66" s="5"/>
      <c r="K66" s="6" t="s">
        <v>60</v>
      </c>
      <c r="L66" s="6"/>
      <c r="M66" s="6" t="s">
        <v>61</v>
      </c>
    </row>
    <row r="67" spans="1:13" ht="51" x14ac:dyDescent="0.25">
      <c r="A67" s="5">
        <v>66</v>
      </c>
      <c r="B67" s="5" t="s">
        <v>265</v>
      </c>
      <c r="C67" s="5">
        <v>2012</v>
      </c>
      <c r="D67" s="6" t="s">
        <v>269</v>
      </c>
      <c r="E67" s="5" t="s">
        <v>270</v>
      </c>
      <c r="F67" s="5" t="s">
        <v>57</v>
      </c>
      <c r="G67" s="7" t="s">
        <v>71</v>
      </c>
      <c r="H67" s="7"/>
      <c r="I67" s="5"/>
      <c r="J67" s="5"/>
      <c r="K67" s="6" t="s">
        <v>163</v>
      </c>
      <c r="L67" s="6"/>
      <c r="M67" s="6" t="s">
        <v>92</v>
      </c>
    </row>
    <row r="68" spans="1:13" ht="38.25" x14ac:dyDescent="0.25">
      <c r="A68" s="5">
        <v>67</v>
      </c>
      <c r="B68" s="5" t="s">
        <v>265</v>
      </c>
      <c r="C68" s="5" t="s">
        <v>85</v>
      </c>
      <c r="D68" s="6" t="s">
        <v>271</v>
      </c>
      <c r="E68" s="5" t="s">
        <v>272</v>
      </c>
      <c r="F68" s="5" t="s">
        <v>57</v>
      </c>
      <c r="G68" s="7" t="s">
        <v>58</v>
      </c>
      <c r="H68" s="7"/>
      <c r="I68" s="5" t="s">
        <v>273</v>
      </c>
      <c r="J68" s="5" t="s">
        <v>65</v>
      </c>
      <c r="K68" s="6" t="s">
        <v>66</v>
      </c>
      <c r="L68" s="6"/>
      <c r="M68" s="6" t="s">
        <v>67</v>
      </c>
    </row>
    <row r="69" spans="1:13" ht="38.25" x14ac:dyDescent="0.25">
      <c r="A69" s="5">
        <v>68</v>
      </c>
      <c r="B69" s="5" t="s">
        <v>274</v>
      </c>
      <c r="C69" s="5" t="s">
        <v>96</v>
      </c>
      <c r="D69" s="6" t="s">
        <v>275</v>
      </c>
      <c r="E69" s="5" t="s">
        <v>276</v>
      </c>
      <c r="F69" s="5" t="s">
        <v>57</v>
      </c>
      <c r="G69" s="7" t="s">
        <v>58</v>
      </c>
      <c r="H69" s="7"/>
      <c r="I69" s="5" t="s">
        <v>84</v>
      </c>
      <c r="J69" s="5" t="s">
        <v>65</v>
      </c>
      <c r="K69" s="6" t="s">
        <v>66</v>
      </c>
      <c r="L69" s="6"/>
      <c r="M69" s="6" t="s">
        <v>67</v>
      </c>
    </row>
    <row r="70" spans="1:13" ht="51" x14ac:dyDescent="0.25">
      <c r="A70" s="5">
        <v>69</v>
      </c>
      <c r="B70" s="5" t="s">
        <v>277</v>
      </c>
      <c r="C70" s="5">
        <v>2014</v>
      </c>
      <c r="D70" s="6" t="s">
        <v>278</v>
      </c>
      <c r="E70" s="5" t="s">
        <v>279</v>
      </c>
      <c r="F70" s="5" t="s">
        <v>57</v>
      </c>
      <c r="G70" s="7" t="s">
        <v>71</v>
      </c>
      <c r="H70" s="7"/>
      <c r="I70" s="5"/>
      <c r="J70" s="5"/>
      <c r="K70" s="6" t="s">
        <v>163</v>
      </c>
      <c r="L70" s="6"/>
      <c r="M70" s="6" t="s">
        <v>92</v>
      </c>
    </row>
    <row r="71" spans="1:13" ht="38.25" x14ac:dyDescent="0.25">
      <c r="A71" s="5">
        <v>70</v>
      </c>
      <c r="B71" s="5" t="s">
        <v>277</v>
      </c>
      <c r="C71" s="5" t="s">
        <v>144</v>
      </c>
      <c r="D71" s="6" t="s">
        <v>280</v>
      </c>
      <c r="E71" s="5"/>
      <c r="F71" s="5" t="s">
        <v>57</v>
      </c>
      <c r="G71" s="7" t="s">
        <v>58</v>
      </c>
      <c r="H71" s="7"/>
      <c r="I71" s="5" t="s">
        <v>84</v>
      </c>
      <c r="J71" s="5"/>
      <c r="K71" s="6" t="s">
        <v>60</v>
      </c>
      <c r="L71" s="6"/>
      <c r="M71" s="6" t="s">
        <v>61</v>
      </c>
    </row>
    <row r="72" spans="1:13" ht="38.25" hidden="1" x14ac:dyDescent="0.25">
      <c r="A72" s="5">
        <v>71</v>
      </c>
      <c r="B72" s="5" t="s">
        <v>277</v>
      </c>
      <c r="C72" s="5" t="s">
        <v>186</v>
      </c>
      <c r="D72" s="6" t="s">
        <v>281</v>
      </c>
      <c r="E72" s="5"/>
      <c r="F72" s="5" t="s">
        <v>88</v>
      </c>
      <c r="G72" s="5"/>
      <c r="H72" s="5"/>
      <c r="I72" s="5" t="s">
        <v>282</v>
      </c>
      <c r="J72" s="5"/>
      <c r="K72" s="6" t="s">
        <v>120</v>
      </c>
      <c r="L72" s="6" t="s">
        <v>283</v>
      </c>
      <c r="M72" s="6" t="s">
        <v>61</v>
      </c>
    </row>
    <row r="73" spans="1:13" ht="51" x14ac:dyDescent="0.25">
      <c r="A73" s="5">
        <v>72</v>
      </c>
      <c r="B73" s="5" t="s">
        <v>284</v>
      </c>
      <c r="C73" s="5">
        <v>2014</v>
      </c>
      <c r="D73" s="6" t="s">
        <v>285</v>
      </c>
      <c r="E73" s="5" t="s">
        <v>286</v>
      </c>
      <c r="F73" s="5" t="s">
        <v>57</v>
      </c>
      <c r="G73" s="7" t="s">
        <v>76</v>
      </c>
      <c r="H73" s="7"/>
      <c r="I73" s="5"/>
      <c r="J73" s="5"/>
      <c r="K73" s="6" t="s">
        <v>163</v>
      </c>
      <c r="L73" s="6"/>
      <c r="M73" s="6" t="s">
        <v>92</v>
      </c>
    </row>
    <row r="74" spans="1:13" ht="38.25" x14ac:dyDescent="0.25">
      <c r="A74" s="5">
        <v>73</v>
      </c>
      <c r="B74" s="5" t="s">
        <v>287</v>
      </c>
      <c r="C74" s="5" t="s">
        <v>288</v>
      </c>
      <c r="D74" s="6" t="s">
        <v>289</v>
      </c>
      <c r="E74" s="5" t="s">
        <v>290</v>
      </c>
      <c r="F74" s="5" t="s">
        <v>57</v>
      </c>
      <c r="G74" s="7" t="s">
        <v>71</v>
      </c>
      <c r="H74" s="7"/>
      <c r="I74" s="5" t="s">
        <v>191</v>
      </c>
      <c r="J74" s="5" t="s">
        <v>65</v>
      </c>
      <c r="K74" s="6" t="s">
        <v>66</v>
      </c>
      <c r="L74" s="6"/>
      <c r="M74" s="6" t="s">
        <v>67</v>
      </c>
    </row>
    <row r="75" spans="1:13" ht="38.25" x14ac:dyDescent="0.25">
      <c r="A75" s="5">
        <v>74</v>
      </c>
      <c r="B75" s="5" t="s">
        <v>291</v>
      </c>
      <c r="C75" s="5" t="s">
        <v>81</v>
      </c>
      <c r="D75" s="6" t="s">
        <v>292</v>
      </c>
      <c r="E75" s="5"/>
      <c r="F75" s="5" t="s">
        <v>57</v>
      </c>
      <c r="G75" s="7" t="s">
        <v>76</v>
      </c>
      <c r="H75" s="7"/>
      <c r="I75" s="5"/>
      <c r="J75" s="5"/>
      <c r="K75" s="6" t="s">
        <v>60</v>
      </c>
      <c r="L75" s="6"/>
      <c r="M75" s="6" t="s">
        <v>61</v>
      </c>
    </row>
    <row r="76" spans="1:13" ht="51" x14ac:dyDescent="0.25">
      <c r="A76" s="5">
        <v>75</v>
      </c>
      <c r="B76" s="5" t="s">
        <v>293</v>
      </c>
      <c r="C76" s="5">
        <v>2016</v>
      </c>
      <c r="D76" s="6" t="s">
        <v>294</v>
      </c>
      <c r="E76" s="5" t="s">
        <v>295</v>
      </c>
      <c r="F76" s="5" t="s">
        <v>57</v>
      </c>
      <c r="G76" s="7" t="s">
        <v>76</v>
      </c>
      <c r="H76" s="7"/>
      <c r="I76" s="5"/>
      <c r="J76" s="5"/>
      <c r="K76" s="6" t="s">
        <v>163</v>
      </c>
      <c r="L76" s="6"/>
      <c r="M76" s="6" t="s">
        <v>92</v>
      </c>
    </row>
    <row r="77" spans="1:13" ht="38.25" x14ac:dyDescent="0.25">
      <c r="A77" s="5">
        <v>76</v>
      </c>
      <c r="B77" s="5" t="s">
        <v>296</v>
      </c>
      <c r="C77" s="5" t="s">
        <v>179</v>
      </c>
      <c r="D77" s="6" t="s">
        <v>297</v>
      </c>
      <c r="E77" s="5" t="s">
        <v>298</v>
      </c>
      <c r="F77" s="5" t="s">
        <v>57</v>
      </c>
      <c r="G77" s="7" t="s">
        <v>58</v>
      </c>
      <c r="H77" s="7"/>
      <c r="I77" s="5" t="s">
        <v>299</v>
      </c>
      <c r="J77" s="5"/>
      <c r="K77" s="6" t="s">
        <v>66</v>
      </c>
      <c r="L77" s="6"/>
      <c r="M77" s="6" t="s">
        <v>99</v>
      </c>
    </row>
    <row r="78" spans="1:13" ht="51" x14ac:dyDescent="0.25">
      <c r="A78" s="11">
        <v>77</v>
      </c>
      <c r="B78" s="11" t="s">
        <v>300</v>
      </c>
      <c r="C78" s="11" t="s">
        <v>85</v>
      </c>
      <c r="D78" s="12" t="s">
        <v>301</v>
      </c>
      <c r="E78" s="11"/>
      <c r="F78" s="11" t="s">
        <v>57</v>
      </c>
      <c r="G78" s="13" t="s">
        <v>71</v>
      </c>
      <c r="H78" s="13"/>
      <c r="I78" s="11"/>
      <c r="J78" s="11"/>
      <c r="K78" s="12" t="s">
        <v>302</v>
      </c>
      <c r="L78" s="12"/>
      <c r="M78" s="12" t="s">
        <v>61</v>
      </c>
    </row>
  </sheetData>
  <conditionalFormatting sqref="A2:M78">
    <cfRule type="expression" dxfId="4" priority="2">
      <formula>$F2="IN CORPUS"</formula>
    </cfRule>
  </conditionalFormatting>
  <conditionalFormatting sqref="D2:D78">
    <cfRule type="expression" dxfId="3" priority="6">
      <formula>AND($F2="NOT IN CORPUS",$D2="")</formula>
    </cfRule>
  </conditionalFormatting>
  <conditionalFormatting sqref="G2:G78">
    <cfRule type="expression" dxfId="2" priority="3">
      <formula>$G2="INCLUDE"</formula>
    </cfRule>
    <cfRule type="expression" dxfId="1" priority="4">
      <formula>$G2="EXCLUDE"</formula>
    </cfRule>
    <cfRule type="expression" dxfId="0" priority="5">
      <formula>$G2="MAYBE"</formula>
    </cfRule>
  </conditionalFormatting>
  <dataValidations count="1">
    <dataValidation type="list" allowBlank="1" errorTitle="Not a valid decision" error="Use INCLUDE, EXCLUDE or MAYBE." sqref="G2:G78" xr:uid="{00000000-0002-0000-0100-000000000000}">
      <formula1>"INCLUDE,EXCLUDE,MAYBE"</formula1>
      <formula2>0</formula2>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6"/>
  <sheetViews>
    <sheetView workbookViewId="0"/>
  </sheetViews>
  <sheetFormatPr defaultColWidth="8.7109375" defaultRowHeight="15" x14ac:dyDescent="0.25"/>
  <cols>
    <col min="1" max="1" width="58" customWidth="1"/>
    <col min="2" max="2" width="12" customWidth="1"/>
    <col min="3" max="3" width="70" customWidth="1"/>
  </cols>
  <sheetData>
    <row r="1" spans="1:3" ht="16.5" x14ac:dyDescent="0.25">
      <c r="A1" s="1" t="s">
        <v>303</v>
      </c>
    </row>
    <row r="3" spans="1:3" x14ac:dyDescent="0.25">
      <c r="A3" s="8" t="s">
        <v>304</v>
      </c>
      <c r="B3" s="8">
        <f>COUNTA(Audit!A2:A78)</f>
        <v>77</v>
      </c>
      <c r="C3" s="9" t="s">
        <v>305</v>
      </c>
    </row>
    <row r="4" spans="1:3" x14ac:dyDescent="0.25">
      <c r="A4" s="8" t="s">
        <v>306</v>
      </c>
      <c r="B4" s="8">
        <f>COUNTIF(Audit!F2:F78,"IN CORPUS")</f>
        <v>7</v>
      </c>
      <c r="C4" s="9" t="s">
        <v>307</v>
      </c>
    </row>
    <row r="5" spans="1:3" x14ac:dyDescent="0.25">
      <c r="A5" s="8" t="s">
        <v>308</v>
      </c>
      <c r="B5" s="8">
        <f>COUNTIF(Audit!F2:F78,"NOT IN CORPUS")</f>
        <v>70</v>
      </c>
      <c r="C5" s="9" t="s">
        <v>309</v>
      </c>
    </row>
    <row r="7" spans="1:3" x14ac:dyDescent="0.25">
      <c r="A7" s="8" t="s">
        <v>310</v>
      </c>
      <c r="B7" s="8">
        <f>COUNTIFS(Audit!F2:F78,"NOT IN CORPUS",Audit!D2:D78,"&lt;&gt;")</f>
        <v>70</v>
      </c>
      <c r="C7" s="9" t="s">
        <v>311</v>
      </c>
    </row>
    <row r="8" spans="1:3" x14ac:dyDescent="0.25">
      <c r="A8" s="8" t="s">
        <v>312</v>
      </c>
      <c r="B8" s="8">
        <f>COUNTIFS(Audit!F2:F78,"NOT IN CORPUS",Audit!D2:D78,"")</f>
        <v>0</v>
      </c>
      <c r="C8" s="9" t="s">
        <v>313</v>
      </c>
    </row>
    <row r="9" spans="1:3" x14ac:dyDescent="0.25">
      <c r="A9" s="8" t="s">
        <v>314</v>
      </c>
      <c r="B9" s="8">
        <f>COUNTIF(Audit!J2:J78,"Y")</f>
        <v>15</v>
      </c>
      <c r="C9" s="9" t="s">
        <v>315</v>
      </c>
    </row>
    <row r="10" spans="1:3" x14ac:dyDescent="0.25">
      <c r="A10" s="8" t="s">
        <v>316</v>
      </c>
      <c r="B10" s="8">
        <f>COUNTIFS(Audit!F2:F78,"NOT IN CORPUS",Audit!I2:I78,"&lt;&gt;")</f>
        <v>29</v>
      </c>
      <c r="C10" s="9" t="s">
        <v>317</v>
      </c>
    </row>
    <row r="12" spans="1:3" x14ac:dyDescent="0.25">
      <c r="A12" s="8" t="s">
        <v>318</v>
      </c>
      <c r="B12" s="8">
        <f>COUNTIFS(Audit!F2:F78,"NOT IN CORPUS",Audit!G2:G78,"&lt;&gt;")</f>
        <v>70</v>
      </c>
      <c r="C12" s="9"/>
    </row>
    <row r="13" spans="1:3" x14ac:dyDescent="0.25">
      <c r="A13" s="8" t="s">
        <v>319</v>
      </c>
      <c r="B13" s="8">
        <f>B5-B12</f>
        <v>0</v>
      </c>
      <c r="C13" s="9"/>
    </row>
    <row r="14" spans="1:3" x14ac:dyDescent="0.25">
      <c r="A14" s="10" t="s">
        <v>58</v>
      </c>
      <c r="B14" s="8">
        <f>COUNTIF(Audit!G2:G78,"INCLUDE")</f>
        <v>29</v>
      </c>
      <c r="C14" s="9" t="s">
        <v>320</v>
      </c>
    </row>
    <row r="15" spans="1:3" x14ac:dyDescent="0.25">
      <c r="A15" s="10" t="s">
        <v>71</v>
      </c>
      <c r="B15" s="8">
        <f>COUNTIF(Audit!G2:G78,"MAYBE")</f>
        <v>14</v>
      </c>
      <c r="C15" s="9" t="s">
        <v>321</v>
      </c>
    </row>
    <row r="16" spans="1:3" x14ac:dyDescent="0.25">
      <c r="A16" s="10" t="s">
        <v>76</v>
      </c>
      <c r="B16" s="8">
        <f>COUNTIF(Audit!G2:G78,"EXCLUDE")</f>
        <v>27</v>
      </c>
      <c r="C16" s="9" t="s">
        <v>322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4"/>
  <sheetViews>
    <sheetView tabSelected="1" topLeftCell="A7" workbookViewId="0">
      <selection activeCell="E11" sqref="E11"/>
    </sheetView>
  </sheetViews>
  <sheetFormatPr defaultRowHeight="15" x14ac:dyDescent="0.25"/>
  <cols>
    <col min="1" max="1" width="10" customWidth="1"/>
    <col min="2" max="2" width="52" customWidth="1"/>
    <col min="3" max="3" width="80" style="19" customWidth="1"/>
    <col min="4" max="4" width="14" customWidth="1"/>
    <col min="5" max="5" width="12" customWidth="1"/>
    <col min="6" max="6" width="48" customWidth="1"/>
  </cols>
  <sheetData>
    <row r="1" spans="1:6" ht="24" customHeight="1" x14ac:dyDescent="0.25">
      <c r="A1" s="15" t="s">
        <v>41</v>
      </c>
      <c r="B1" s="15" t="s">
        <v>44</v>
      </c>
      <c r="C1" s="18" t="s">
        <v>323</v>
      </c>
      <c r="D1" s="15" t="s">
        <v>324</v>
      </c>
      <c r="E1" s="15" t="s">
        <v>325</v>
      </c>
      <c r="F1" s="15" t="s">
        <v>48</v>
      </c>
    </row>
    <row r="2" spans="1:6" ht="30" customHeight="1" x14ac:dyDescent="0.25">
      <c r="A2" s="16">
        <v>1</v>
      </c>
      <c r="B2" s="16" t="s">
        <v>56</v>
      </c>
      <c r="C2" s="16" t="s">
        <v>343</v>
      </c>
      <c r="D2" s="16" t="s">
        <v>58</v>
      </c>
      <c r="E2" s="16"/>
      <c r="F2" s="16"/>
    </row>
    <row r="3" spans="1:6" ht="78" customHeight="1" x14ac:dyDescent="0.25">
      <c r="A3" s="16">
        <v>2</v>
      </c>
      <c r="B3" s="16" t="s">
        <v>63</v>
      </c>
      <c r="C3" s="16" t="s">
        <v>326</v>
      </c>
      <c r="D3" s="16" t="s">
        <v>58</v>
      </c>
      <c r="E3" s="16"/>
      <c r="F3" s="16" t="s">
        <v>327</v>
      </c>
    </row>
    <row r="4" spans="1:6" ht="30" customHeight="1" x14ac:dyDescent="0.25">
      <c r="A4" s="16">
        <v>3</v>
      </c>
      <c r="B4" s="16" t="s">
        <v>70</v>
      </c>
      <c r="C4" s="16" t="s">
        <v>344</v>
      </c>
      <c r="D4" s="16" t="s">
        <v>58</v>
      </c>
      <c r="E4" s="16"/>
      <c r="F4" s="16"/>
    </row>
    <row r="5" spans="1:6" ht="30" customHeight="1" x14ac:dyDescent="0.25">
      <c r="A5" s="16">
        <v>4</v>
      </c>
      <c r="B5" s="16" t="s">
        <v>72</v>
      </c>
      <c r="C5" s="17" t="s">
        <v>345</v>
      </c>
      <c r="D5" s="16" t="s">
        <v>58</v>
      </c>
      <c r="E5" s="16"/>
      <c r="F5" s="16"/>
    </row>
    <row r="6" spans="1:6" ht="30" customHeight="1" x14ac:dyDescent="0.25">
      <c r="A6" s="16">
        <v>6</v>
      </c>
      <c r="B6" s="17" t="s">
        <v>79</v>
      </c>
      <c r="C6" s="16" t="s">
        <v>369</v>
      </c>
      <c r="D6" s="16" t="s">
        <v>58</v>
      </c>
      <c r="E6" s="16"/>
      <c r="F6" s="17"/>
    </row>
    <row r="7" spans="1:6" ht="78" customHeight="1" x14ac:dyDescent="0.25">
      <c r="A7" s="16">
        <v>7</v>
      </c>
      <c r="B7" s="16" t="s">
        <v>82</v>
      </c>
      <c r="C7" s="16" t="s">
        <v>328</v>
      </c>
      <c r="D7" s="16" t="s">
        <v>58</v>
      </c>
      <c r="E7" s="16"/>
      <c r="F7" s="16" t="s">
        <v>327</v>
      </c>
    </row>
    <row r="8" spans="1:6" ht="30" customHeight="1" x14ac:dyDescent="0.25">
      <c r="A8" s="16">
        <v>9</v>
      </c>
      <c r="B8" s="16" t="s">
        <v>94</v>
      </c>
      <c r="C8" s="17" t="s">
        <v>346</v>
      </c>
      <c r="D8" s="16" t="s">
        <v>58</v>
      </c>
      <c r="E8" s="16"/>
      <c r="F8" s="16"/>
    </row>
    <row r="9" spans="1:6" ht="30" customHeight="1" x14ac:dyDescent="0.25">
      <c r="A9" s="16">
        <v>10</v>
      </c>
      <c r="B9" s="17" t="s">
        <v>97</v>
      </c>
      <c r="C9" s="17" t="s">
        <v>347</v>
      </c>
      <c r="D9" s="16" t="s">
        <v>58</v>
      </c>
      <c r="E9" s="16"/>
      <c r="F9" s="16"/>
    </row>
    <row r="10" spans="1:6" ht="30" customHeight="1" x14ac:dyDescent="0.25">
      <c r="A10" s="16">
        <v>14</v>
      </c>
      <c r="B10" s="17" t="s">
        <v>115</v>
      </c>
      <c r="C10" s="17" t="s">
        <v>348</v>
      </c>
      <c r="D10" s="16" t="s">
        <v>76</v>
      </c>
      <c r="E10" s="16" t="s">
        <v>371</v>
      </c>
      <c r="F10" s="16"/>
    </row>
    <row r="11" spans="1:6" ht="78" customHeight="1" x14ac:dyDescent="0.25">
      <c r="A11" s="16">
        <v>16</v>
      </c>
      <c r="B11" s="16" t="s">
        <v>123</v>
      </c>
      <c r="C11" s="16" t="s">
        <v>329</v>
      </c>
      <c r="D11" s="16" t="s">
        <v>58</v>
      </c>
      <c r="E11" s="16"/>
      <c r="F11" s="16" t="s">
        <v>327</v>
      </c>
    </row>
    <row r="12" spans="1:6" ht="30" customHeight="1" x14ac:dyDescent="0.25">
      <c r="A12" s="16">
        <v>18</v>
      </c>
      <c r="B12" s="16" t="s">
        <v>130</v>
      </c>
      <c r="C12" s="16" t="s">
        <v>370</v>
      </c>
      <c r="D12" s="16" t="s">
        <v>71</v>
      </c>
      <c r="E12" s="16"/>
      <c r="F12" s="17"/>
    </row>
    <row r="13" spans="1:6" ht="78" customHeight="1" x14ac:dyDescent="0.25">
      <c r="A13" s="16">
        <v>19</v>
      </c>
      <c r="B13" s="16" t="s">
        <v>133</v>
      </c>
      <c r="C13" s="16" t="s">
        <v>330</v>
      </c>
      <c r="D13" s="16" t="s">
        <v>58</v>
      </c>
      <c r="E13" s="16"/>
      <c r="F13" s="16" t="s">
        <v>327</v>
      </c>
    </row>
    <row r="14" spans="1:6" ht="30" customHeight="1" x14ac:dyDescent="0.25">
      <c r="A14" s="16">
        <v>22</v>
      </c>
      <c r="B14" s="17" t="s">
        <v>145</v>
      </c>
      <c r="C14" s="17" t="s">
        <v>349</v>
      </c>
      <c r="D14" s="16" t="s">
        <v>58</v>
      </c>
      <c r="E14" s="16"/>
      <c r="F14" s="16"/>
    </row>
    <row r="15" spans="1:6" ht="30" customHeight="1" x14ac:dyDescent="0.25">
      <c r="A15" s="16">
        <v>23</v>
      </c>
      <c r="B15" s="16" t="s">
        <v>148</v>
      </c>
      <c r="C15" s="17" t="s">
        <v>350</v>
      </c>
      <c r="D15" s="16" t="s">
        <v>58</v>
      </c>
      <c r="E15" s="16"/>
      <c r="F15" s="16"/>
    </row>
    <row r="16" spans="1:6" ht="78" customHeight="1" x14ac:dyDescent="0.25">
      <c r="A16" s="16">
        <v>24</v>
      </c>
      <c r="B16" s="16" t="s">
        <v>150</v>
      </c>
      <c r="C16" s="16" t="s">
        <v>331</v>
      </c>
      <c r="D16" s="16" t="s">
        <v>58</v>
      </c>
      <c r="E16" s="16"/>
      <c r="F16" s="16" t="s">
        <v>327</v>
      </c>
    </row>
    <row r="17" spans="1:6" ht="78" customHeight="1" x14ac:dyDescent="0.25">
      <c r="A17" s="16">
        <v>25</v>
      </c>
      <c r="B17" s="16" t="s">
        <v>152</v>
      </c>
      <c r="C17" s="16" t="s">
        <v>332</v>
      </c>
      <c r="D17" s="16" t="s">
        <v>58</v>
      </c>
      <c r="E17" s="16"/>
      <c r="F17" s="16" t="s">
        <v>327</v>
      </c>
    </row>
    <row r="18" spans="1:6" ht="30" customHeight="1" x14ac:dyDescent="0.25">
      <c r="A18" s="16">
        <v>26</v>
      </c>
      <c r="B18" s="17" t="s">
        <v>154</v>
      </c>
      <c r="C18" s="17" t="s">
        <v>351</v>
      </c>
      <c r="D18" s="16" t="s">
        <v>58</v>
      </c>
      <c r="E18" s="16"/>
      <c r="F18" s="16"/>
    </row>
    <row r="19" spans="1:6" ht="30" customHeight="1" x14ac:dyDescent="0.25">
      <c r="A19" s="16">
        <v>30</v>
      </c>
      <c r="B19" s="16" t="s">
        <v>168</v>
      </c>
      <c r="C19" s="17" t="s">
        <v>352</v>
      </c>
      <c r="D19" s="16" t="s">
        <v>58</v>
      </c>
      <c r="E19" s="16"/>
      <c r="F19" s="16"/>
    </row>
    <row r="20" spans="1:6" ht="30" customHeight="1" x14ac:dyDescent="0.25">
      <c r="A20" s="16">
        <v>31</v>
      </c>
      <c r="B20" s="16" t="s">
        <v>170</v>
      </c>
      <c r="C20" s="17" t="s">
        <v>353</v>
      </c>
      <c r="D20" s="16" t="s">
        <v>76</v>
      </c>
      <c r="E20" s="16" t="s">
        <v>371</v>
      </c>
      <c r="F20" s="16"/>
    </row>
    <row r="21" spans="1:6" ht="30" customHeight="1" x14ac:dyDescent="0.25">
      <c r="A21" s="16">
        <v>35</v>
      </c>
      <c r="B21" s="17" t="s">
        <v>182</v>
      </c>
      <c r="C21" s="17" t="s">
        <v>354</v>
      </c>
      <c r="D21" s="16" t="s">
        <v>76</v>
      </c>
      <c r="E21" s="16" t="s">
        <v>371</v>
      </c>
      <c r="F21" s="16"/>
    </row>
    <row r="22" spans="1:6" ht="78" customHeight="1" x14ac:dyDescent="0.25">
      <c r="A22" s="16">
        <v>37</v>
      </c>
      <c r="B22" s="16" t="s">
        <v>187</v>
      </c>
      <c r="C22" s="16" t="s">
        <v>333</v>
      </c>
      <c r="D22" s="16" t="s">
        <v>58</v>
      </c>
      <c r="E22" s="16"/>
      <c r="F22" s="16" t="s">
        <v>334</v>
      </c>
    </row>
    <row r="23" spans="1:6" ht="78" customHeight="1" x14ac:dyDescent="0.25">
      <c r="A23" s="16">
        <v>39</v>
      </c>
      <c r="B23" s="16" t="s">
        <v>194</v>
      </c>
      <c r="C23" s="16" t="s">
        <v>335</v>
      </c>
      <c r="D23" s="16" t="s">
        <v>58</v>
      </c>
      <c r="E23" s="16"/>
      <c r="F23" s="16" t="s">
        <v>327</v>
      </c>
    </row>
    <row r="24" spans="1:6" ht="78" customHeight="1" x14ac:dyDescent="0.25">
      <c r="A24" s="16">
        <v>40</v>
      </c>
      <c r="B24" s="16" t="s">
        <v>196</v>
      </c>
      <c r="C24" s="16" t="s">
        <v>336</v>
      </c>
      <c r="D24" s="16" t="s">
        <v>58</v>
      </c>
      <c r="E24" s="16"/>
      <c r="F24" s="16" t="s">
        <v>327</v>
      </c>
    </row>
    <row r="25" spans="1:6" ht="30" customHeight="1" x14ac:dyDescent="0.25">
      <c r="A25" s="16">
        <v>41</v>
      </c>
      <c r="B25" s="17" t="s">
        <v>199</v>
      </c>
      <c r="C25" s="17" t="s">
        <v>355</v>
      </c>
      <c r="D25" s="16" t="s">
        <v>58</v>
      </c>
      <c r="E25" s="16"/>
      <c r="F25" s="16"/>
    </row>
    <row r="26" spans="1:6" ht="30" customHeight="1" x14ac:dyDescent="0.25">
      <c r="A26" s="16">
        <v>43</v>
      </c>
      <c r="B26" s="16" t="s">
        <v>205</v>
      </c>
      <c r="C26" s="17" t="s">
        <v>356</v>
      </c>
      <c r="D26" s="16" t="s">
        <v>58</v>
      </c>
      <c r="E26" s="16"/>
      <c r="F26" s="16"/>
    </row>
    <row r="27" spans="1:6" ht="78" customHeight="1" x14ac:dyDescent="0.25">
      <c r="A27" s="16">
        <v>45</v>
      </c>
      <c r="B27" s="16" t="s">
        <v>211</v>
      </c>
      <c r="C27" s="16" t="s">
        <v>337</v>
      </c>
      <c r="D27" s="16" t="s">
        <v>58</v>
      </c>
      <c r="E27" s="16"/>
      <c r="F27" s="16" t="s">
        <v>327</v>
      </c>
    </row>
    <row r="28" spans="1:6" ht="30" customHeight="1" x14ac:dyDescent="0.25">
      <c r="A28" s="16">
        <v>46</v>
      </c>
      <c r="B28" s="17" t="s">
        <v>214</v>
      </c>
      <c r="C28" s="17" t="s">
        <v>357</v>
      </c>
      <c r="D28" s="16" t="s">
        <v>58</v>
      </c>
      <c r="E28" s="16"/>
      <c r="F28" s="16"/>
    </row>
    <row r="29" spans="1:6" ht="30" customHeight="1" x14ac:dyDescent="0.25">
      <c r="A29" s="16">
        <v>49</v>
      </c>
      <c r="B29" s="17" t="s">
        <v>222</v>
      </c>
      <c r="C29" s="17" t="s">
        <v>358</v>
      </c>
      <c r="D29" s="16" t="s">
        <v>58</v>
      </c>
      <c r="E29" s="16"/>
      <c r="F29" s="16"/>
    </row>
    <row r="30" spans="1:6" ht="30" customHeight="1" x14ac:dyDescent="0.25">
      <c r="A30" s="16">
        <v>50</v>
      </c>
      <c r="B30" s="16" t="s">
        <v>224</v>
      </c>
      <c r="C30" s="17" t="s">
        <v>359</v>
      </c>
      <c r="D30" s="16" t="s">
        <v>58</v>
      </c>
      <c r="E30" s="16"/>
      <c r="F30" s="16"/>
    </row>
    <row r="31" spans="1:6" ht="78" customHeight="1" x14ac:dyDescent="0.25">
      <c r="A31" s="16">
        <v>51</v>
      </c>
      <c r="B31" s="16" t="s">
        <v>227</v>
      </c>
      <c r="C31" s="16" t="s">
        <v>338</v>
      </c>
      <c r="D31" s="16" t="s">
        <v>58</v>
      </c>
      <c r="E31" s="16"/>
      <c r="F31" s="16" t="s">
        <v>327</v>
      </c>
    </row>
    <row r="32" spans="1:6" ht="78" customHeight="1" x14ac:dyDescent="0.25">
      <c r="A32" s="16">
        <v>52</v>
      </c>
      <c r="B32" s="16" t="s">
        <v>229</v>
      </c>
      <c r="C32" s="16" t="s">
        <v>339</v>
      </c>
      <c r="D32" s="16" t="s">
        <v>58</v>
      </c>
      <c r="E32" s="16"/>
      <c r="F32" s="16" t="s">
        <v>327</v>
      </c>
    </row>
    <row r="33" spans="1:6" ht="30" customHeight="1" x14ac:dyDescent="0.25">
      <c r="A33" s="16">
        <v>54</v>
      </c>
      <c r="B33" s="17" t="s">
        <v>235</v>
      </c>
      <c r="C33" s="17" t="s">
        <v>360</v>
      </c>
      <c r="D33" s="16" t="s">
        <v>58</v>
      </c>
      <c r="E33" s="16"/>
      <c r="F33" s="16"/>
    </row>
    <row r="34" spans="1:6" ht="30" customHeight="1" x14ac:dyDescent="0.25">
      <c r="A34" s="16">
        <v>56</v>
      </c>
      <c r="B34" s="16" t="s">
        <v>240</v>
      </c>
      <c r="C34" s="17" t="s">
        <v>361</v>
      </c>
      <c r="D34" s="16" t="s">
        <v>58</v>
      </c>
      <c r="E34" s="16"/>
      <c r="F34" s="16"/>
    </row>
    <row r="35" spans="1:6" ht="30" customHeight="1" x14ac:dyDescent="0.25">
      <c r="A35" s="16">
        <v>61</v>
      </c>
      <c r="B35" s="16" t="s">
        <v>258</v>
      </c>
      <c r="C35" s="17" t="s">
        <v>362</v>
      </c>
      <c r="D35" s="16" t="s">
        <v>58</v>
      </c>
      <c r="E35" s="16"/>
      <c r="F35" s="16"/>
    </row>
    <row r="36" spans="1:6" ht="30" customHeight="1" x14ac:dyDescent="0.25">
      <c r="A36" s="16">
        <v>64</v>
      </c>
      <c r="B36" s="16" t="s">
        <v>266</v>
      </c>
      <c r="C36" s="17" t="s">
        <v>363</v>
      </c>
      <c r="D36" s="16" t="s">
        <v>76</v>
      </c>
      <c r="E36" s="16" t="s">
        <v>371</v>
      </c>
      <c r="F36" s="16"/>
    </row>
    <row r="37" spans="1:6" ht="30" customHeight="1" x14ac:dyDescent="0.25">
      <c r="A37" s="16">
        <v>66</v>
      </c>
      <c r="B37" s="16" t="s">
        <v>269</v>
      </c>
      <c r="C37" s="17" t="s">
        <v>364</v>
      </c>
      <c r="D37" s="16" t="s">
        <v>76</v>
      </c>
      <c r="E37" s="16" t="s">
        <v>371</v>
      </c>
      <c r="F37" s="16"/>
    </row>
    <row r="38" spans="1:6" ht="78" customHeight="1" x14ac:dyDescent="0.25">
      <c r="A38" s="16">
        <v>67</v>
      </c>
      <c r="B38" s="16" t="s">
        <v>271</v>
      </c>
      <c r="C38" s="16" t="s">
        <v>340</v>
      </c>
      <c r="D38" s="16" t="s">
        <v>58</v>
      </c>
      <c r="E38" s="16"/>
      <c r="F38" s="16" t="s">
        <v>327</v>
      </c>
    </row>
    <row r="39" spans="1:6" ht="78" customHeight="1" x14ac:dyDescent="0.25">
      <c r="A39" s="16">
        <v>68</v>
      </c>
      <c r="B39" s="16" t="s">
        <v>275</v>
      </c>
      <c r="C39" s="16" t="s">
        <v>341</v>
      </c>
      <c r="D39" s="16" t="s">
        <v>58</v>
      </c>
      <c r="E39" s="16"/>
      <c r="F39" s="16" t="s">
        <v>327</v>
      </c>
    </row>
    <row r="40" spans="1:6" ht="30" customHeight="1" x14ac:dyDescent="0.25">
      <c r="A40" s="16">
        <v>69</v>
      </c>
      <c r="B40" s="17" t="s">
        <v>278</v>
      </c>
      <c r="C40" s="17" t="s">
        <v>365</v>
      </c>
      <c r="D40" s="16" t="s">
        <v>58</v>
      </c>
      <c r="E40" s="16"/>
      <c r="F40" s="16"/>
    </row>
    <row r="41" spans="1:6" ht="30" customHeight="1" x14ac:dyDescent="0.25">
      <c r="A41" s="16">
        <v>70</v>
      </c>
      <c r="B41" s="16" t="s">
        <v>280</v>
      </c>
      <c r="C41" s="17" t="s">
        <v>366</v>
      </c>
      <c r="D41" s="16" t="s">
        <v>58</v>
      </c>
      <c r="E41" s="16"/>
      <c r="F41" s="16"/>
    </row>
    <row r="42" spans="1:6" ht="78" customHeight="1" x14ac:dyDescent="0.25">
      <c r="A42" s="16">
        <v>73</v>
      </c>
      <c r="B42" s="16" t="s">
        <v>289</v>
      </c>
      <c r="C42" s="16" t="s">
        <v>342</v>
      </c>
      <c r="D42" s="16" t="s">
        <v>58</v>
      </c>
      <c r="E42" s="16"/>
      <c r="F42" s="16" t="s">
        <v>327</v>
      </c>
    </row>
    <row r="43" spans="1:6" ht="30" customHeight="1" x14ac:dyDescent="0.25">
      <c r="A43" s="16">
        <v>76</v>
      </c>
      <c r="B43" s="17" t="s">
        <v>297</v>
      </c>
      <c r="C43" s="17" t="s">
        <v>367</v>
      </c>
      <c r="D43" s="16" t="s">
        <v>58</v>
      </c>
      <c r="E43" s="16"/>
      <c r="F43" s="16"/>
    </row>
    <row r="44" spans="1:6" ht="30" customHeight="1" x14ac:dyDescent="0.25">
      <c r="A44" s="16">
        <v>77</v>
      </c>
      <c r="B44" s="16" t="s">
        <v>301</v>
      </c>
      <c r="C44" s="17" t="s">
        <v>368</v>
      </c>
      <c r="D44" s="16" t="s">
        <v>58</v>
      </c>
      <c r="E44" s="16"/>
      <c r="F44" s="16"/>
    </row>
  </sheetData>
  <dataValidations count="2">
    <dataValidation type="list" sqref="D2:D44" xr:uid="{00000000-0002-0000-0300-000000000000}">
      <formula1>"INCLUDE,EXCLUDE,MAYBE"</formula1>
    </dataValidation>
    <dataValidation type="list" sqref="E2:E44" xr:uid="{00000000-0002-0000-0300-000001000000}">
      <formula1>"E1,E2,E3,E4,E5,E6,E7,E8"</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Method</vt:lpstr>
      <vt:lpstr>Audit</vt:lpstr>
      <vt:lpstr>Summary</vt:lpstr>
      <vt:lpstr>Abstract screen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Arnaud Dorasamy</cp:lastModifiedBy>
  <dcterms:modified xsi:type="dcterms:W3CDTF">2026-10-04T05:40:29Z</dcterms:modified>
</cp:coreProperties>
</file>