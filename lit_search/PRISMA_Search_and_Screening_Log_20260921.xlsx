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490" documentId="11_3E5E7B02602925AA4F769FB8C4CB00C9B05F48DA" xr6:coauthVersionLast="47" xr6:coauthVersionMax="47" xr10:uidLastSave="{40C0E448-2915-42C9-AD41-23CE96E26B62}"/>
  <bookViews>
    <workbookView xWindow="-120" yWindow="-120" windowWidth="29040" windowHeight="15720" activeTab="6" xr2:uid="{00000000-000D-0000-FFFF-FFFF00000000}"/>
  </bookViews>
  <sheets>
    <sheet name="Search Log" sheetId="1" r:id="rId1"/>
    <sheet name="Screening Log" sheetId="2" r:id="rId2"/>
    <sheet name="Stage 2 Abstract Screening" sheetId="3" r:id="rId3"/>
    <sheet name="PRISMA Summary" sheetId="4" r:id="rId4"/>
    <sheet name="Codes" sheetId="5" r:id="rId5"/>
    <sheet name="FT rulings" sheetId="6" r:id="rId6"/>
    <sheet name="FT sessio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7" l="1"/>
  <c r="C7" i="7"/>
  <c r="B7" i="7"/>
  <c r="D6" i="7"/>
  <c r="C6" i="7"/>
  <c r="B6" i="7"/>
  <c r="D5" i="7"/>
  <c r="C5" i="7"/>
  <c r="B5" i="7"/>
  <c r="D12" i="7"/>
  <c r="C12" i="7"/>
  <c r="B12" i="7"/>
  <c r="C8" i="7" l="1"/>
  <c r="C10" i="7" s="1"/>
  <c r="D8" i="7"/>
  <c r="D10" i="7" s="1"/>
  <c r="E7" i="7"/>
  <c r="B8" i="7"/>
  <c r="E6" i="7"/>
  <c r="E5" i="7"/>
  <c r="D9" i="7" l="1"/>
  <c r="D13" i="7" s="1"/>
  <c r="E8" i="7"/>
  <c r="E10" i="7" s="1"/>
  <c r="C9" i="7"/>
  <c r="C13" i="7" s="1"/>
  <c r="B9" i="7"/>
  <c r="B10" i="7"/>
  <c r="E9" i="7" l="1"/>
  <c r="B13" i="7"/>
  <c r="E13" i="7" s="1"/>
</calcChain>
</file>

<file path=xl/sharedStrings.xml><?xml version="1.0" encoding="utf-8"?>
<sst xmlns="http://schemas.openxmlformats.org/spreadsheetml/2006/main" count="14119" uniqueCount="7077">
  <si>
    <t>Search-phase evidence (verbatim strings for every variant, known-item tests, year histograms, 20–21 Sep 2026) is held in PRISMA_search_evidence_log.xlsx.</t>
  </si>
  <si>
    <t>Strand</t>
  </si>
  <si>
    <t>Database</t>
  </si>
  <si>
    <t>Date</t>
  </si>
  <si>
    <t>Exact string</t>
  </si>
  <si>
    <t>Filters</t>
  </si>
  <si>
    <t>Hits</t>
  </si>
  <si>
    <t>Status</t>
  </si>
  <si>
    <t>Known-item result</t>
  </si>
  <si>
    <t>Export file</t>
  </si>
  <si>
    <t>Notes</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</si>
  <si>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</si>
  <si>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</si>
  <si>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</si>
  <si>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</si>
  <si>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</si>
  <si>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</si>
  <si>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</si>
  <si>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</si>
  <si>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</si>
  <si>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</si>
  <si>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</si>
  <si>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</si>
  <si>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</si>
  <si>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</si>
  <si>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</si>
  <si>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</si>
  <si>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</si>
  <si>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</si>
  <si>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</si>
  <si>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</si>
  <si>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</si>
  <si>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</si>
  <si>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scopus_strandBii_20260921.ris</t>
  </si>
  <si>
    <t>Superseded audit-trail search. Precision was too low to screen. Re-run required in Phase 3. Do not use this set for screening. Correction, 4 October 2026: 2,120 is the Scopus database hit count; 2,131 is the Zotero import count. Both figures are retained with their respective labels.</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</si>
  <si>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</si>
  <si>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</si>
  <si>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</si>
  <si>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</si>
  <si>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</si>
  <si>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</si>
  <si>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</si>
  <si>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</si>
  <si>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</si>
  <si>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</si>
  <si>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</si>
  <si>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</si>
  <si>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</si>
  <si>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</si>
  <si>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All</t>
  </si>
  <si>
    <t>Eligibility criterion E8</t>
  </si>
  <si>
    <t>AMENDED</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</si>
  <si>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</si>
  <si>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</si>
  <si>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</si>
  <si>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</si>
  <si>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</si>
  <si>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</si>
  <si>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</si>
  <si>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Forward citation searching – González et al. (2017)</t>
  </si>
  <si>
    <t>NOT RUN</t>
  </si>
  <si>
    <t>Decision 4 Oct 2026: forward citation searching from González et al. (2017) was not run. Backward searching cannot identify work published after the review, so literature from 2017 onwards was identified through the ACM Digital Library search only.</t>
  </si>
  <si>
    <t>ACL Anthology hand-search</t>
  </si>
  <si>
    <t>Decision 4 Oct 2026: ACL Anthology hand-search was not run. It was planned as a fallback if Scopus failed to index relevant ACL venues. Scopus passed all four Strand B-i known-item tests, including the four ACL-venue known items, so the fallback condition was not triggered.</t>
  </si>
  <si>
    <t>Other sources</t>
  </si>
  <si>
    <t>Supervisor recommendation – Lee et al. (2026)</t>
  </si>
  <si>
    <t>Decision 4 Oct 2026: Lee et al. (2026), preprint, included as one record identified through supervisor recommendation.</t>
  </si>
  <si>
    <t>References carried over from 41029 proposal</t>
  </si>
  <si>
    <t>to be counted at drafting</t>
  </si>
  <si>
    <t>Methods, model and tool references</t>
  </si>
  <si>
    <t>To be counted at drafting. Correction, 4 October 2026: methods, model and tool references enter through the PRISMA other-sources arm, not the database funnel, per governing document FB2 and §13.4.</t>
  </si>
  <si>
    <t>IEEE Xplore – correction</t>
  </si>
  <si>
    <t>CORRECTION</t>
  </si>
  <si>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</si>
  <si>
    <t>Calibration-triggered 118-record catch-all check</t>
  </si>
  <si>
    <t>Offered and not run, 4 October 2026. The optional check concerned 118 Stage 2 EXCLUDE records carrying the generic note "abstract does not establish all required elements". No batch re-screen of those 118 records was conducted.</t>
  </si>
  <si>
    <t>Audit</t>
  </si>
  <si>
    <t>Repository commit</t>
  </si>
  <si>
    <t>Commit fe69005: Literature search: citation arm, E8 addendum and log corrections.</t>
  </si>
  <si>
    <t>Full text</t>
  </si>
  <si>
    <t>Full-text Screening Log – correction of code key and layout</t>
  </si>
  <si>
    <t>Correction, 5 October 2026: the exclusion-code key in the Full-text Screening Log was aligned with manifest §2.3 and moved to the Codes tab. E1 was restored. E3 covers poster and abstract-only items; E8 covers whole proceedings volumes, front matter and tables of contents. E6 is defined for the full-text stage as full text unavailable. The decision and exclusion-code dropdowns and the colour rules, previously one column to the left, were moved to the Decision and Exclusion code columns. Seven columns were added to the right of Source (Version assessed, Date assessed, Sub-reason, Evidence, Tag 1, Tag 2, Tag 3), with the tabs Codes, FT rulings and FT sessions. No decision is affected: no full-text decision had been recorded.</t>
  </si>
  <si>
    <t>Full-text workflow decisions (manifest 11.13)</t>
  </si>
  <si>
    <t>ADOPTED</t>
  </si>
  <si>
    <t>Decision 5 Oct 2026: workflow decisions D1–D10 and rulings R1–R12 adopted as recommended and recorded in full_text_screening_instructions_v1.0_20261005.md. Rulings are listed in the FT rulings tab. Full-text screening starts after the commit that records this.</t>
  </si>
  <si>
    <t>Full-Text Screening &amp; Extraction Log</t>
  </si>
  <si>
    <t>One row per record reaching full text. Exclusion codes are required at full text only. Preprints remain eligible where they ground methodology; publication status is recorded, not used as an automatic filter.</t>
  </si>
  <si>
    <t>ID</t>
  </si>
  <si>
    <t>Authors</t>
  </si>
  <si>
    <t>Year</t>
  </si>
  <si>
    <t>Title</t>
  </si>
  <si>
    <t>Publication status</t>
  </si>
  <si>
    <t>Stage</t>
  </si>
  <si>
    <t>Decision</t>
  </si>
  <si>
    <t>Exclusion code</t>
  </si>
  <si>
    <t>Method</t>
  </si>
  <si>
    <t>Sample/Data</t>
  </si>
  <si>
    <t>Key Finding</t>
  </si>
  <si>
    <t>Relation to gap</t>
  </si>
  <si>
    <t>Source</t>
  </si>
  <si>
    <t>Version assessed</t>
  </si>
  <si>
    <t>Date assessed</t>
  </si>
  <si>
    <t>Sub-reason</t>
  </si>
  <si>
    <t>Evidence</t>
  </si>
  <si>
    <t>Tag 1</t>
  </si>
  <si>
    <t>Tag 2</t>
  </si>
  <si>
    <t>Tag 3</t>
  </si>
  <si>
    <t>S2-0207</t>
  </si>
  <si>
    <t>Meyer-Waarden, L.; Cloarec, J.</t>
  </si>
  <si>
    <t>“Baby, you can drive my car”: Psychological antecedents that drive consumers’ adoption of AI-powered autonomous vehicles</t>
  </si>
  <si>
    <t>Journal article</t>
  </si>
  <si>
    <t>FT</t>
  </si>
  <si>
    <t>S2-0070</t>
  </si>
  <si>
    <t>X. Luo; F. Ding; R. Chen; R. Panda; J. Loo; S. Zhang</t>
  </si>
  <si>
    <t>“What's Happening”- A Human-centered Multimodal Interpreter Explaining the Actions of Autonomous Vehicles</t>
  </si>
  <si>
    <t>Conference paper</t>
  </si>
  <si>
    <t>S2-0362</t>
  </si>
  <si>
    <t>Sharma, Vivek; Shokri, Mohammad Mahdi; Levitan, Sarah Ita; Filatova, Elena; Jain, Shweta</t>
  </si>
  <si>
    <t>Analysis of Propaganda in Tweets From Politically Biased Sources</t>
  </si>
  <si>
    <t>Preprint (arXiv)</t>
  </si>
  <si>
    <t>S2-0276</t>
  </si>
  <si>
    <t>Wakam Younang, V.C.; Yang, J.; Jacuinde, L.G.; Sen, A.</t>
  </si>
  <si>
    <t>A Comparative Analysis of User’s Concerns and Government Policies on Autonomous Vehicles</t>
  </si>
  <si>
    <t>S2-0129</t>
  </si>
  <si>
    <t>Swain, R.; Truelove, V.; Rakotonirainy, A.; Kaye, S.-A.</t>
  </si>
  <si>
    <t>A comparison of the views of experts and the public on automated vehicles technologies and societal implications</t>
  </si>
  <si>
    <t>S2-0027</t>
  </si>
  <si>
    <t>A. Bhardwaj; Y. Kumar; N. Hasteer</t>
  </si>
  <si>
    <t>A Hybrid Model to Investigate Perception Towards Adoption of Autonomous Vehicles in India</t>
  </si>
  <si>
    <t>S2-0198</t>
  </si>
  <si>
    <t>King, W.; Halawi, L.</t>
  </si>
  <si>
    <t>A Quantitative Analysis of Autonomous Vehicle Cybersecurity as a Component of Trust</t>
  </si>
  <si>
    <t>S2-0146</t>
  </si>
  <si>
    <t>Derakhshan, S.; Nosrat Nezami, F.; Wächter, M.A.; Stephan, A.; Pipa, G.; König, P.</t>
  </si>
  <si>
    <t>A Situated Inspection of Autonomous Vehicle Acceptance–A Population Study in Virtual Reality</t>
  </si>
  <si>
    <t>S2-0166</t>
  </si>
  <si>
    <t>Liao, Y.; Guo, H.; Liu, X.</t>
  </si>
  <si>
    <t>A Study of Young People’s Intention to Use Shared Autonomous Vehicles: A Quantitative Analysis Model Based on the Extended TPB-TAM</t>
  </si>
  <si>
    <t>S2-0039</t>
  </si>
  <si>
    <t>S. Fu; H. Zhou; Y. Li; W. Wang</t>
  </si>
  <si>
    <t>A study on cyclists’ risk-taking behavior intention on shared roads with autonomous vehicles</t>
  </si>
  <si>
    <t>S2-0245</t>
  </si>
  <si>
    <t>Uysal, S.; Sandıkkaya, M.T.</t>
  </si>
  <si>
    <t>A survey on obstacles to the widespread use of connected and automated vehicles</t>
  </si>
  <si>
    <t>S2-0098</t>
  </si>
  <si>
    <t>Acharya, S.; Mekker, M.</t>
  </si>
  <si>
    <t>Acceptance and demand of autonomous vehicles for long-distance recreational travel: An investigation based on a survey of visitors to US national parks</t>
  </si>
  <si>
    <t>S2-0210</t>
  </si>
  <si>
    <t>Usami, D.S.; Capkin, S.O.K.; Shevchenko, A.; Fondzenyuy, S.K.</t>
  </si>
  <si>
    <t>Acceptance of Automated Vehicles: Case Study of Drive2theFuture Project</t>
  </si>
  <si>
    <t>S2-0134</t>
  </si>
  <si>
    <t>Himmetoglu, S.; Zengin, E.N.; Özkök, O.; Kara, B.S.</t>
  </si>
  <si>
    <t>Acceptance of Autonomous Vehicles in Turkey</t>
  </si>
  <si>
    <t>S2-0139</t>
  </si>
  <si>
    <t>Jiang, Z.; Zheng, M.; Mondschein, A.</t>
  </si>
  <si>
    <t>Acceptance of driverless shuttles in pilot and non-pilot cities</t>
  </si>
  <si>
    <t>S2-0147</t>
  </si>
  <si>
    <t>Man, S.S.; Ding, M.; Li, X.; Chan, A.H.S.; Zhang, T.</t>
  </si>
  <si>
    <t>Acceptance of Highly Automated Vehicles: The Role of Facilitating Condition, Technology Anxiety, Social Influence and Trust</t>
  </si>
  <si>
    <t>S2-0121</t>
  </si>
  <si>
    <t>Papagni, G.; Zafari, S.; Schrammel, J.; Tscheligi, M.</t>
  </si>
  <si>
    <t>Acceptance of Automated Vehicles in Logistics and Beyond: A Survey-Based Investigation</t>
  </si>
  <si>
    <t>S2-0155</t>
  </si>
  <si>
    <t>Seuwou, P.; Banissi, E.; Ubakanma, G.; Sharif, M.S.; Healey, A.</t>
  </si>
  <si>
    <t>Actor-network theory as a framework to analyse technology acceptance model’s external variables: The case of autonomous vehicles</t>
  </si>
  <si>
    <t>S2-0100</t>
  </si>
  <si>
    <t>Horowitz, M.C.; Kahn, L.; Macdonald, J.; Schneider, J.</t>
  </si>
  <si>
    <t>Adopting AI: how familiarity breeds both trust and contempt</t>
  </si>
  <si>
    <t>S2-0290</t>
  </si>
  <si>
    <t>Dagliyan, G.; Granados, N.F.; Russell, C.A.</t>
  </si>
  <si>
    <t>Adopting AI-Enabled Technology: Taking the Bad with the Good</t>
  </si>
  <si>
    <t>S2-0204</t>
  </si>
  <si>
    <t>Wang, F.; Wang, S.; Wei, J.; Fang, F.; Ma, N.</t>
  </si>
  <si>
    <t>Adoption of coping behaviours: public response to data security risks of intelligent connected vehicles in China</t>
  </si>
  <si>
    <t>S2-0086</t>
  </si>
  <si>
    <t>Weiss, E.; Fisher Thiel, M.; Sultana, N.; Hannan, C.; Seacrist, T.</t>
  </si>
  <si>
    <t>Advanced driver assistance systems for teen drivers: Teen and parent impressions, perceived need, and intervention preferences</t>
  </si>
  <si>
    <t>S2-0287</t>
  </si>
  <si>
    <t>Hafiz, D.; Hou, Q.; Zohdy, I.</t>
  </si>
  <si>
    <t>Advancing Sustainable Urban Mobility: Public Acceptance and Perceived Risks of Autonomous Vehicle Deployment in Dubai</t>
  </si>
  <si>
    <t>S2-0151</t>
  </si>
  <si>
    <t>Ehsani, J.P.; Michael, J.P.; Igusa, T.; Mueller, J.; Chang, C.-H.; Yenokyan, G.</t>
  </si>
  <si>
    <t>Advancing Transportation Equity and Safety Through Autonomous Vehicles</t>
  </si>
  <si>
    <t>S2-0284</t>
  </si>
  <si>
    <t>Jacob, A.; Ahrens, A.; Zascerinska, J.; Benavente-Peces, C.</t>
  </si>
  <si>
    <t>AHP-based evaluation of the acceptance of autonomous driving</t>
  </si>
  <si>
    <t>S2-0237</t>
  </si>
  <si>
    <t>Ni, W.; Cheng, K.; Wang, F.; Fang, F.</t>
  </si>
  <si>
    <t>An empirical study of data security risks in China's intelligent connected vehicles: Public information processing and behavioral intentions</t>
  </si>
  <si>
    <t>S2-0215</t>
  </si>
  <si>
    <t>Aldakkhelallah, A.A.A.; Todorovic, M.; Simic, M.</t>
  </si>
  <si>
    <t>An Investigation in Autonomous Vehicles Acceptance</t>
  </si>
  <si>
    <t>S2-0167</t>
  </si>
  <si>
    <t>Abbasi, M.; Mamdoohi, A.R.; Ciari, F.; Sierpiński, G.</t>
  </si>
  <si>
    <t>An investigation of perceived risk dimensions in acceptability of shared autonomous vehicles, a mediation-moderation analysis</t>
  </si>
  <si>
    <t>S2-0059</t>
  </si>
  <si>
    <t>A. U. Rehman; A. Ghaffarianhoseini; N. Naismith; J. Tookey; A. Ghaffarianhoseini; S. Urréhman</t>
  </si>
  <si>
    <t>Ascertaining Factors Affecting Autonomous Driving in New Zealand - A Framework for HMI Design</t>
  </si>
  <si>
    <t>S2-0135</t>
  </si>
  <si>
    <t>Chen, Y.; Khalid Khan, S.; Shiwakoti, N.; Stasinopoulos, P.; Aghabayk, K.</t>
  </si>
  <si>
    <t>Analysis of Australian public acceptance of fully automated vehicles by extending technology acceptance model</t>
  </si>
  <si>
    <t>S2-0244</t>
  </si>
  <si>
    <t>Ahmed, S.S.; Pantangi, S.S.; Eker, U.; Fountas, G.; Still, S.E.; Anastasopoulos, P.C.</t>
  </si>
  <si>
    <t>Analysis of safety benefits and security concerns from the use of autonomous vehicles: A grouped random parameters bivariate probit approach with heterogeneity in means</t>
  </si>
  <si>
    <t>S2-0236</t>
  </si>
  <si>
    <t>Wang, N.; Tang, H.; Wang, Y.-J.; Huang, G.Q.</t>
  </si>
  <si>
    <t>Antecedents in rural residents' acceptance of autonomous vehicles</t>
  </si>
  <si>
    <t>S2-0246</t>
  </si>
  <si>
    <t>Poveda‐reyes, S.; Malviya, A.K.; García‐jiménez, E.; Molero, G.D.; Leva, M.C.; Santarremigia, F.E.</t>
  </si>
  <si>
    <t>Application of mathematical and computational methods to identify women’s priorities in transport</t>
  </si>
  <si>
    <t>S2-0248</t>
  </si>
  <si>
    <t>Wintersberger, S.; Azmat, M.; Kummer, S.</t>
  </si>
  <si>
    <t>Are We Ready to Ride Autonomous Vehicles? A Pilot Study on Austrian Consumers’ Perspective</t>
  </si>
  <si>
    <t>S2-0002</t>
  </si>
  <si>
    <t>A. Alahmadi; S. Elhag; M. Meccawy</t>
  </si>
  <si>
    <t>Assessing Public Acceptance of Autonomous Vehicles in Saudi Arabia</t>
  </si>
  <si>
    <t>S2-0119</t>
  </si>
  <si>
    <t>Hansen, A.; Kiely, K.; Attuquayefio, T.; Hosking, D.; Regan, M.; Eramudugolla, R.; Ross, L.A.; Anstey, K.J.</t>
  </si>
  <si>
    <t>Assessment of the application of technology acceptance measures to older drivers’ acceptance of advanced driver-assistance systems</t>
  </si>
  <si>
    <t>S2-0144</t>
  </si>
  <si>
    <t>Bruno, G.; Marson, A.; Nenna, F.; Diaz-Piedra, C.; Spoto, A.</t>
  </si>
  <si>
    <t>Attitudes Toward the Use of Conditional Automated Vehicles in the Technology Acceptance Model Framework: Evidence from an Italian Sample</t>
  </si>
  <si>
    <t>S2-0301</t>
  </si>
  <si>
    <t>Cheng, S.; Dong, H.; Yue, Y.; Tan, H.</t>
  </si>
  <si>
    <t>Automated Driving: Acceptance and Chances for Young People</t>
  </si>
  <si>
    <t>S2-0122</t>
  </si>
  <si>
    <t>Schmargendorf, M.; Schuller, H.-M.; Böhm, P.; Isemann, D.; Wolff, C.</t>
  </si>
  <si>
    <t>Autonomous Driving and the Elderly: Perceived Risks and Benefits</t>
  </si>
  <si>
    <t>S2-0016</t>
  </si>
  <si>
    <t>I. Zajc; R. Sernec; G. Lenart; A. Pucihar</t>
  </si>
  <si>
    <t>Autonomous mobility and user perception: A Case of City as a Lab in Slovenia</t>
  </si>
  <si>
    <t>S2-0038</t>
  </si>
  <si>
    <t>M. Ahmed; R. Iqbal; S. Amin; O. Alhabshneh; A. Garba</t>
  </si>
  <si>
    <t>Autonomous Vehicle and its Adoption: Challenges, Opportunities, and Future Implications</t>
  </si>
  <si>
    <t>S2-0132</t>
  </si>
  <si>
    <t>Autonomous Vehicle Cybersecurity: A Pre-test</t>
  </si>
  <si>
    <t>S2-0019</t>
  </si>
  <si>
    <t>T. Myklebust; T. Stålhane; G. D. Jenssen</t>
  </si>
  <si>
    <t>Autonomous Vehicles - Trust, Safety and Security Cases: The Complete Picture</t>
  </si>
  <si>
    <t>S2-0168</t>
  </si>
  <si>
    <t>Nikitas, A.; Vitel, A.-E.; Cotet, C.</t>
  </si>
  <si>
    <t>Autonomous vehicles and employment: An urban futures revolution or catastrophe?</t>
  </si>
  <si>
    <t>S2-0165</t>
  </si>
  <si>
    <t>Bęczkowska, S.; Czerepicki, A.; Grabarek, I.; Kozłowski, M.; Zysk, Z.</t>
  </si>
  <si>
    <t>Autonomous Vehicles as Viewed by Future Users in Poland</t>
  </si>
  <si>
    <t>S2-0281</t>
  </si>
  <si>
    <t>Hussain, Q.; Alhajyaseen, W.K.M.; Adnan, M.; Almallah, M.; Almukdad, A.; Alqaradawi, M.</t>
  </si>
  <si>
    <t>Autonomous vehicles between anticipation and apprehension: Investigations through safety and security perceptions</t>
  </si>
  <si>
    <t>S2-0089</t>
  </si>
  <si>
    <t>Clayton, W.; Paddeu, D.; Parkhurst, G.; Parkin, J.</t>
  </si>
  <si>
    <t>Autonomous vehicles: who will use them, and will they share?</t>
  </si>
  <si>
    <t>S2-0190</t>
  </si>
  <si>
    <t>Fu, J.; Kim, K.-J.</t>
  </si>
  <si>
    <t>Balancing Privacy and Acceptance: The Role of Anthropomorphism and Information Sensitivity in Autonomous Taxis</t>
  </si>
  <si>
    <t>S2-0189</t>
  </si>
  <si>
    <t>Schuß, M.; Röhr, T.; Riener, A.</t>
  </si>
  <si>
    <t>'Baymax' or 'RoboCop'? Exploring Different Feminine Avatar Personalities for Shared Automated Vehicles</t>
  </si>
  <si>
    <t>S2-0209</t>
  </si>
  <si>
    <t>Barber, F.; Furnell, S.</t>
  </si>
  <si>
    <t>Benchmarking Consumer Data and Privacy Knowledge in Connected and Autonomous Vehicles</t>
  </si>
  <si>
    <t>S2-0054</t>
  </si>
  <si>
    <t>M. Picone; F. Viti; A. Cartenì</t>
  </si>
  <si>
    <t>Bridging Innovation and Inclusivity: User Perceptions of Autonomous Shuttles in Luxembourg</t>
  </si>
  <si>
    <t>S2-0174</t>
  </si>
  <si>
    <t>Renner, M.; Münzenberger, N.; Von Hammerstein, J.; Lins, S.; Sunyaev, A.</t>
  </si>
  <si>
    <t>Challenges of vehicle-to-everything communication. interviews among industry experts</t>
  </si>
  <si>
    <t>S2-0106</t>
  </si>
  <si>
    <t>Prasetio, E.A.; Novizayanti, D.; Putri, A.N.A.</t>
  </si>
  <si>
    <t>Cluster analysis of potential autonomous vehicle (AV) adopters in Indonesia's new capital</t>
  </si>
  <si>
    <t>S2-0242</t>
  </si>
  <si>
    <t>Li, W.; Li, T.; Meng, Y.; Xu, X.; Ma, Z.</t>
  </si>
  <si>
    <t>College Students’ Cognition and Attitude Towards Connected and Autonomous Vehicles in China: an Exploratory Study</t>
  </si>
  <si>
    <t>S2-0186</t>
  </si>
  <si>
    <t>Kaszas, D.; Roberts, A.C.</t>
  </si>
  <si>
    <t>Comfort with varying levels of human supervision in self-driving cars: Determining factors in Europe</t>
  </si>
  <si>
    <t>S2-0149</t>
  </si>
  <si>
    <t>Peng, C.; Carlowitz, S.; Madigan, R.; Marberger, C.; Lee, J.D.; Krems, J.; Beggiato, M.; Romano, R.; Wei, C.; Wooldridge, E.; Happee, R.; Hagenzieker, M.; Merat, N.</t>
  </si>
  <si>
    <t>Conceptualising user comfort in automated driving: Findings from an expert group workshop</t>
  </si>
  <si>
    <t>S2-0111</t>
  </si>
  <si>
    <t>Brell, T.; Biermann, H.; Philipsen, R.; Ziefle, M.</t>
  </si>
  <si>
    <t>Conditional privacy: Users' perception of data privacy in autonomous driving</t>
  </si>
  <si>
    <t>S2-0170</t>
  </si>
  <si>
    <t>Rykova, E.; Stieben, C.; Dostovalova, O.; Wieker, H.</t>
  </si>
  <si>
    <t>Connected Driving in German-Speaking Social Media</t>
  </si>
  <si>
    <t>S2-0251</t>
  </si>
  <si>
    <t>Xiao, H.; Deng, Y.; Wen, H.; Yi, X.</t>
  </si>
  <si>
    <t>Consumer Perception and Industrial Barriers in the ADAS Market</t>
  </si>
  <si>
    <t>S2-0032</t>
  </si>
  <si>
    <t>S. S. Man; W. Xiong; F. Chang; A. H. S. Chan</t>
  </si>
  <si>
    <t>Critical Factors Influencing Acceptance of Automated Vehicles by Hong Kong Drivers</t>
  </si>
  <si>
    <t>S2-0158</t>
  </si>
  <si>
    <t>Owens, J.M.; Antin, J.F.; Doerzaph, Z.; Willis, S.</t>
  </si>
  <si>
    <t>Cross-generational acceptance of and interest in advanced vehicle technologies: A nationwide survey</t>
  </si>
  <si>
    <t>S2-0293</t>
  </si>
  <si>
    <t>Liao, F.</t>
  </si>
  <si>
    <t>Detecting Public Perceptions of Apollo Go on Chinese Social Media Based on Topic Modeling and Sentiment analysis</t>
  </si>
  <si>
    <t>S2-0183</t>
  </si>
  <si>
    <t>Tang, T.; Wang, X.; Wu, J.; Yuan, M.; Guo, Y.; Xu, X.</t>
  </si>
  <si>
    <t>Determinants and the Moderating Effects of Individual Characteristics on Autonomous Vehicle Adoption in China</t>
  </si>
  <si>
    <t>S2-0254</t>
  </si>
  <si>
    <t>Song, R.; Potoglou, D.; Fayyaz, N.; Ashraf, M.; Stawarz, K.; Theodorakopoulos, G.; Edwards, T.; Thomas, E.; Cherdantseva, Y.</t>
  </si>
  <si>
    <t>Digital roads and data ethics: Exploring the road users’ perspective</t>
  </si>
  <si>
    <t>S2-0199</t>
  </si>
  <si>
    <t>Meidute‐kavaliauskiene, I.; Yıldız, B.; Çiğdem, Ş.; Činčikaitė, R.</t>
  </si>
  <si>
    <t>Do people prefer cars that people don’t drive? A survey study on autonomous vehicles</t>
  </si>
  <si>
    <t>S2-0177</t>
  </si>
  <si>
    <t>Datta, S.; Sankeerthana, G.; Kadali, B.R.</t>
  </si>
  <si>
    <t>Do two-wheeler riders propel towards autonomous driving? A path-based probabilistic study in Indian context</t>
  </si>
  <si>
    <t>S2-0231</t>
  </si>
  <si>
    <t>Schmidt, T.; Philipsen, R.; Ziefle, M.</t>
  </si>
  <si>
    <t>Dos and don’ts of datasharing in V2X-Technology: User diverse perspectives in different traffic scenarios</t>
  </si>
  <si>
    <t>S2-0240</t>
  </si>
  <si>
    <t>Zhou, X.; Li, S.; Ma, L.; Zhang, W.</t>
  </si>
  <si>
    <t>Driver's attitudes and preferences toward connected vehicle information system</t>
  </si>
  <si>
    <t>S2-0220</t>
  </si>
  <si>
    <t>Khan, S.K.; Shiwakoti, N.; Stasinopoulos, P.; Warren, M.</t>
  </si>
  <si>
    <t>Driving a safer future: Exploring cross-country perspectives in automated vehicle adoption by considering cyber risks, liability, and data concerns</t>
  </si>
  <si>
    <t>S2-0017</t>
  </si>
  <si>
    <t>C. Mutzenich; F. McVey; C. Martin; C. Harding</t>
  </si>
  <si>
    <t>Driving the Future: Addressing Generational Trust and Ownership Barriers in the Adoption of Connected and Autonomous Vehicles</t>
  </si>
  <si>
    <t>S2-0188</t>
  </si>
  <si>
    <t>Anastasopoulou, K.; Williams, E.; Whitnall, C.; Tryfonas, T.; Oswald, E.; Morgan, P.; Voinescu, A.; Piechocki, R.; Tassi, A.</t>
  </si>
  <si>
    <t>Effects of privacy risk perception and cultural bias on intention of connected autonomous vehicle use</t>
  </si>
  <si>
    <t>S2-0109</t>
  </si>
  <si>
    <t>Colley, M.; Speidel, O.; Strohbeck, J.; Rixen, J.O.; Belz, J.H.; Rukzio, E.</t>
  </si>
  <si>
    <t>Effects of Uncertain Trajectory Prediction Visualization in Highly Automated Vehicles on Trust, Situation Awareness, and Cognitive Load</t>
  </si>
  <si>
    <t>S2-0126</t>
  </si>
  <si>
    <t>Ho, J.S.; Tan, B.C.; Lau, T.C.; Khan, N.; Pang, S.M.</t>
  </si>
  <si>
    <t>Elderly Acceptance of Autonomous Vehicles in Malaysia: An Extended Technology Acceptance Model with Multidimensional Trust and Perceived Risk</t>
  </si>
  <si>
    <t>S2-0103</t>
  </si>
  <si>
    <t>Evaluating Consumer Understanding and Awareness of Connected and Autonomous Vehicle Data Privacy</t>
  </si>
  <si>
    <t>S2-0205</t>
  </si>
  <si>
    <t>Rezaei, A.; Caulfield, B.</t>
  </si>
  <si>
    <t>Examining public acceptance of autonomous mobility</t>
  </si>
  <si>
    <t>S2-0212</t>
  </si>
  <si>
    <t>Kinra, A.; Beheshti-Kashi, S.; Buch, R.; Nielsen, T.A.S.; Pereira, F.</t>
  </si>
  <si>
    <t>Examining the potential of textual big data analytics for public policy decision-making: A case study with driverless cars in Denmark</t>
  </si>
  <si>
    <t>S2-0047</t>
  </si>
  <si>
    <t>L. Tang; M. Bashir</t>
  </si>
  <si>
    <t>Examining Trust’s Influence on Autonomous Vehicle Perceptions</t>
  </si>
  <si>
    <t>S2-0133</t>
  </si>
  <si>
    <t>Khalid Khan, S.; Shiwakoti, N.; Stasinopoulos, P.; Chen, Y.; Warren, M.</t>
  </si>
  <si>
    <t>Exploratory factor analysis for cybersecurity regulation and consumer data in autonomous vehicle acceptance: Insights from four OECD countries</t>
  </si>
  <si>
    <t>S2-0116</t>
  </si>
  <si>
    <t>Ekman, F.; Johansson, M.; Bligård, L.-O.; Karlsson, M.; Strömberg, H.</t>
  </si>
  <si>
    <t>Exploring automated vehicle driving styles as a source of trust information</t>
  </si>
  <si>
    <t>S2-0117</t>
  </si>
  <si>
    <t>Liu, N.; Nikitas, A.; Parkinson, S.</t>
  </si>
  <si>
    <t>Exploring expert perceptions about the cyber security and privacy of Connected and Autonomous Vehicles: A thematic analysis approach</t>
  </si>
  <si>
    <t>S2-0193</t>
  </si>
  <si>
    <t>Zheng, L.; Guo, Y.; Zou, Y.</t>
  </si>
  <si>
    <t>Exploring Factors Affecting People’s Acceptance of Connected Vehicle Technology in China</t>
  </si>
  <si>
    <t>S2-0083</t>
  </si>
  <si>
    <t>S. Balali; J. Parham-Mocello; B. Steel; M. D. Jones; W. Billah</t>
  </si>
  <si>
    <t>Exploring Graduate Student Views on Robotics Policy Relevant Information</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</si>
  <si>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</si>
  <si>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</si>
  <si>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</si>
  <si>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S2-0229</t>
  </si>
  <si>
    <t>Kreps, S.; George, J.; Lushenko, P.; Rao, A.</t>
  </si>
  <si>
    <t>Exploring the artificial intelligence “Trust paradox”: Evidence from a survey experiment in the United States</t>
  </si>
  <si>
    <t>S2-0206</t>
  </si>
  <si>
    <t>Chen, Y.; Shiwakoti, N.; Stasinopoulos, P.; Khan, S.K.; Aghabayk, K.</t>
  </si>
  <si>
    <t>Exploring the association between socio-demographic factors and public acceptance towards fully automated vehicles: Insights from a survey in Australia</t>
  </si>
  <si>
    <t>S2-0128</t>
  </si>
  <si>
    <t>Cheng, Y.-H.; Fu, C.; Huang, C.-C.; Lai, Y.-C.</t>
  </si>
  <si>
    <t>Exploring the impact of the pandemic on the autonomous bus connecting service preferences with latent segmentation approach</t>
  </si>
  <si>
    <t>S2-0171</t>
  </si>
  <si>
    <t>Lee, J.D.; Kolodge, K.</t>
  </si>
  <si>
    <t>Exploring Trust in Self-Driving Vehicles Through Text Analysis</t>
  </si>
  <si>
    <t>S2-0044</t>
  </si>
  <si>
    <t>Y. Ma; S. Li; S. Qin; Y. Qi</t>
  </si>
  <si>
    <t>Factors Affecting Trust in the Autonomous Vehicle: A Survey of Primary School Students and Parent Perceptions</t>
  </si>
  <si>
    <t>S2-0262</t>
  </si>
  <si>
    <t>Iranmanesh, M.; Ghobakhloo, M.; Foroughi, B.; Nilashi, M.; Yadegaridehkordi, E.</t>
  </si>
  <si>
    <t>Factors influencing attitude and intention to use autonomous vehicles in Vietnam: findings from PLS-SEM and ANFIS</t>
  </si>
  <si>
    <t>S2-0241</t>
  </si>
  <si>
    <t>Koppel, S.; Logan, D.B.; Zou, X.; Kaviani, F.; McDonald, H.; Hair Jr, J.F.; St. Louis, R.M.; Molnar, L.J.; Charlton, J.L.</t>
  </si>
  <si>
    <t>Factors influencing behavioral intentions to use conditionally automated vehicles</t>
  </si>
  <si>
    <t>S2-0263</t>
  </si>
  <si>
    <t>Liu, M.; Wu, J.; Zhu, C.; Hu, K.</t>
  </si>
  <si>
    <t>Factors Influencing the Acceptance of Robo-Taxi Services in China: An Extended Technology Acceptance Model Analysis</t>
  </si>
  <si>
    <t>S2-0130</t>
  </si>
  <si>
    <t>Brill, S.; Kumar Debnath, A.; Payre, W.; Horan, B.; Birrell, S.</t>
  </si>
  <si>
    <t>Factors influencing the perception of safety for pedestrians and cyclists through interactions with automated vehicles in shared spaces</t>
  </si>
  <si>
    <t>S2-0115</t>
  </si>
  <si>
    <t>Arpaci, I.; Al-Sharafi, M.A.; Mahmoud, M.A.</t>
  </si>
  <si>
    <t>Factors predicting green behavior and environmental sustainability in autonomous vehicles: A deep learning-based ANN and PLS-SEM approach</t>
  </si>
  <si>
    <t>S2-0278</t>
  </si>
  <si>
    <t>Dichabeng, P.; Merat, N.; Markkula, G.</t>
  </si>
  <si>
    <t>Factors that influence the acceptance of future shared automated vehicles – A focus group study with United Kingdom drivers</t>
  </si>
  <si>
    <t>S2-0141</t>
  </si>
  <si>
    <t>Wu, L.; Mvondo, G.F.N.</t>
  </si>
  <si>
    <t>From sci-fi to reality: exploring user satisfaction and loyalty toward autonomous vehicle services through an extended expectation-confirmation model</t>
  </si>
  <si>
    <t>S2-0225</t>
  </si>
  <si>
    <t>From V2X to control2trust why trust and control are major attributes in vehicle2X technologies</t>
  </si>
  <si>
    <t>S2-0172</t>
  </si>
  <si>
    <t>Wexler, N.; Fan, Y.</t>
  </si>
  <si>
    <t>Gauging Public Attitudes and Preferences Toward a Hypothetical Future Public Shared Automated Vehicle System: Examining the Roles of Gender, Race, Income, and Health</t>
  </si>
  <si>
    <t>S2-0105</t>
  </si>
  <si>
    <t>Viktor, P.; Kiss, G.</t>
  </si>
  <si>
    <t>Generational Differences Among Users of Self-Driving Vehicles</t>
  </si>
  <si>
    <t>S2-0228</t>
  </si>
  <si>
    <t>Zámečník, P.; Havlíčková, D.; Gregorovič, A.; Děcký, P.; Klečková, S.</t>
  </si>
  <si>
    <t>How people speak about autonomous cars – an analysis of internet discussions in Czech Republic</t>
  </si>
  <si>
    <t>S2-0150</t>
  </si>
  <si>
    <t>Rahman, M.M.; Deb, S.; Strawderman, L.; Burch, R.; Smith, B.</t>
  </si>
  <si>
    <t>How the older population perceives self-driving vehicles</t>
  </si>
  <si>
    <t>S2-0257</t>
  </si>
  <si>
    <t>Pattinson, J.-A.; Holter, C.T.; Grieman, K.; Salvini, P.; Kunze, L.; Jirotka, M.</t>
  </si>
  <si>
    <t>I can do anything with my AV data (but I won't do that): Public attitudes towards data recorders in self-driving cars</t>
  </si>
  <si>
    <t>S2-0012</t>
  </si>
  <si>
    <t>J. S. Brar; B. Caulfield</t>
  </si>
  <si>
    <t>Impact of autonomous vehicles on pedestrians' safety</t>
  </si>
  <si>
    <t>S2-0108</t>
  </si>
  <si>
    <t>Feng, Z.; Gao, Y.; Zhu, D.; Chan, H.-Y.; Zhao, M.; Xue, R.</t>
  </si>
  <si>
    <t>Impact of risk perception and trust in autonomous vehicles on pedestrian crossing decision: Navigating the social-technological intersection with the ICLV model</t>
  </si>
  <si>
    <t>S2-0161</t>
  </si>
  <si>
    <t>Miskolczi, M.; Kökény, L.; Ásványi, K.; Jászberényi, M.; Gyulavári, T.; Syahrivar, J.</t>
  </si>
  <si>
    <t>IMPACTS AND POTENTIAL OF AUTONOMOUS VEHICLES IN TOURISM</t>
  </si>
  <si>
    <t>S2-0196</t>
  </si>
  <si>
    <t>Importance of the reputation of data manager in the acceptance of connected vehicles</t>
  </si>
  <si>
    <t>S2-0282</t>
  </si>
  <si>
    <t>Rodwell, D.; Ho, B.; Pascale, M.T.; Elrose, F.; Neary, A.; Lewis, I.</t>
  </si>
  <si>
    <t>In their own words: A qualitative study of users’ acceptance of connected vehicle technology after nine months of experience with the technology</t>
  </si>
  <si>
    <t>S2-0280</t>
  </si>
  <si>
    <t>Sangrar, R.; Murphy, D.J.; Porter, M.M.</t>
  </si>
  <si>
    <t>Inclusive autonomous shuttles as public transportation options for older people: A qualitative study of user and service provider perspectives</t>
  </si>
  <si>
    <t>S2-0110</t>
  </si>
  <si>
    <t>Liang, Y.; Tang, J.; Wu, Z.; Jia, M.</t>
  </si>
  <si>
    <t>Influence of Psychological and Socioeconomic Factors on Purchase Likelihood for Autonomous Vehicles: A Hybrid Choice Modeling Approach</t>
  </si>
  <si>
    <t>S2-0065</t>
  </si>
  <si>
    <t>S. Bai; D. D. Legge; A. Young; S. Bao; F. Zhou</t>
  </si>
  <si>
    <t>Investigating External Interaction Modality and Design Between Automated Vehicles and Pedestrians at Crossings</t>
  </si>
  <si>
    <t>S2-0271</t>
  </si>
  <si>
    <t>Pervez, A.; Marazi, N.F.; Majumdar, B.B.; Ruizhi, M.; Lee, J.; Sahu, P.K.</t>
  </si>
  <si>
    <t>Investigating Indian Commuters’ Perceived Crime Risk on Autonomous Public Buses and Ride-Pooling Services</t>
  </si>
  <si>
    <t>S2-0043</t>
  </si>
  <si>
    <t>J. C. Sekhar; J. Ramu; V. K. Pratap</t>
  </si>
  <si>
    <t>Investigating the Efficacy of In-Process Feedback in Improving Human-Machine Interaction in Autonomous Vehicles</t>
  </si>
  <si>
    <t>S2-0224</t>
  </si>
  <si>
    <t>Burgese, L.; Cha, K.J.</t>
  </si>
  <si>
    <t>Investigating trust leap with AI: a consumer’s behavioural model on autonomous vehicle acceptance</t>
  </si>
  <si>
    <t>S2-0247</t>
  </si>
  <si>
    <t>Ghaith, A.; Ma, H.; Ding, X.-H.</t>
  </si>
  <si>
    <t>Investigating user acceptance of fully autonomous vehicles in MENA region</t>
  </si>
  <si>
    <t>S2-0266</t>
  </si>
  <si>
    <t>Cai, Y.; Wang, H.; Ong, G.P.; Meng, Q.; Lee, D.-H.</t>
  </si>
  <si>
    <t>Investigating user perception on autonomous vehicle (AV) based mobility-on-demand (MOD) services in Singapore using the logit kernel approach</t>
  </si>
  <si>
    <t>S2-0097</t>
  </si>
  <si>
    <t>Niavis, S.; Gavanas, N.; Anastasiadou, K.; Arvanitidis, P.</t>
  </si>
  <si>
    <t>Investigating Users’ Acceptance of Autonomous Buses by Examining Their Willingness to Use and Willingness to Pay: The Case of the City of Trikala, Greece</t>
  </si>
  <si>
    <t>S2-0120</t>
  </si>
  <si>
    <t>Vrščaj, D.; Nyholm, S.; Verbong, G.P.J.</t>
  </si>
  <si>
    <t>Is tomorrow’s car appealing today? Ethical issues and user attitudes beyond automation</t>
  </si>
  <si>
    <t>S2-0067</t>
  </si>
  <si>
    <t>Y. Strigina; O. Singler-Hack; R. M. Kramm; J. Ehlers; F. Schrödel</t>
  </si>
  <si>
    <t>Keep Your Distance: A Cognitive Approach to Mobile Robot-Cyclist Interaction</t>
  </si>
  <si>
    <t>S2-0202</t>
  </si>
  <si>
    <t>Debbaghi, F.-Z.; Rombaut, E.; Vanhaverbeke, L.</t>
  </si>
  <si>
    <t>Lessons learned from shared automated vehicles pilots in Europe: An evaluation of safety, traffic, and user acceptance</t>
  </si>
  <si>
    <t>S2-0235</t>
  </si>
  <si>
    <t>Schub, M.; Wintersberger, P.; Riener, A.</t>
  </si>
  <si>
    <t>Let's Share a Ride into the Future A Qalitative Study Comparing Hypothetical Implementation Scenarios of Automated Vehicles</t>
  </si>
  <si>
    <t>S2-0187</t>
  </si>
  <si>
    <t>Measuring data sharing intention and its association with the acceptance of connected vehicles</t>
  </si>
  <si>
    <t>S2-0080</t>
  </si>
  <si>
    <t>P. Clement; H. Danzinger; O. Veledar; C. Könczöl; G. Macher; A. Eichberger</t>
  </si>
  <si>
    <t>Measuring trust in automated driving using a multi-level approach to human factors</t>
  </si>
  <si>
    <t>S2-0008</t>
  </si>
  <si>
    <t>R. Du; H. Du; J. Wu</t>
  </si>
  <si>
    <t>Media and Trust Influence Consumers' Acceptance of Self-driving Cars</t>
  </si>
  <si>
    <t>S2-0214</t>
  </si>
  <si>
    <t>Lee, J.; Baig, F.; Li, X.</t>
  </si>
  <si>
    <t>Media Influence, Trust, and the Public Adoption of Automated Vehicles</t>
  </si>
  <si>
    <t>S2-0185</t>
  </si>
  <si>
    <t>Soe, R.-M.; Müür, J.</t>
  </si>
  <si>
    <t>Mobility acceptance factors of an automated shuttle bus last-mile service</t>
  </si>
  <si>
    <t>S2-0274</t>
  </si>
  <si>
    <t>Gurumurthy, K.M.; Kockelman, K.M.</t>
  </si>
  <si>
    <t>Modeling Americans’ autonomous vehicle preferences: A focus on dynamic ride-sharing, privacy &amp; long-distance mode choices</t>
  </si>
  <si>
    <t>S2-0021</t>
  </si>
  <si>
    <t>S. Majumdar; A. Awasthi; S. E. Kirkley</t>
  </si>
  <si>
    <t>Navigating the Future: Predictive Modeling of Safety Perceptions and Adoption Readiness of Autonomous Vehicles for Public Safety Enhancement</t>
  </si>
  <si>
    <t>S2-0264</t>
  </si>
  <si>
    <t>Lokshina, I.; Kniezova, J.; Lanting, C.</t>
  </si>
  <si>
    <t>On Building Users' Initial Trust in Autonomous Vehicles</t>
  </si>
  <si>
    <t>S2-0118</t>
  </si>
  <si>
    <t>Rahim, A.N.; Fonzone, A.; Fountas, G.; Downey, L.</t>
  </si>
  <si>
    <t>On the Attitudes Toward Automation in Determining the Intention to Use Automated Buses in Scotland</t>
  </si>
  <si>
    <t>S2-0099</t>
  </si>
  <si>
    <t>Walter, J.; Abendroth, B.</t>
  </si>
  <si>
    <t>On the role of informational privacy in connected vehicles: A privacy-aware acceptance modelling approach for connected vehicular services</t>
  </si>
  <si>
    <t>S2-0296</t>
  </si>
  <si>
    <t>Salonen, A.O.</t>
  </si>
  <si>
    <t>Passenger's subjective traffic safety, in-vehicle security and emergency management in the driverless shuttle bus in Finland</t>
  </si>
  <si>
    <t>S2-0292</t>
  </si>
  <si>
    <t>Olaru, D.; Greaves, S.; Leighton, C.; Smith, B.; Arnold, T.</t>
  </si>
  <si>
    <t>Peer-to-Peer (P2P) carsharing and driverless vehicles: Attitudes and values of vehicle owners</t>
  </si>
  <si>
    <t>S2-0270</t>
  </si>
  <si>
    <t>Woldeamanuel, M.; Nguyen, D.</t>
  </si>
  <si>
    <t>Perceived benefits and concerns of autonomous vehicles: An exploratory study of millennials’ sentiments of an emerging market</t>
  </si>
  <si>
    <t>S2-0094</t>
  </si>
  <si>
    <t>Lee, J.; Mao, R.; Pervez, A.</t>
  </si>
  <si>
    <t>Perceived risk of crime on driverless public bus and ride-pooling services in China</t>
  </si>
  <si>
    <t>S2-0015</t>
  </si>
  <si>
    <t>A. Mushtaq; S. Riaz; H. Mohd; A. Saleh</t>
  </si>
  <si>
    <t>Perception and technology adoption trends for autonomous vehicles: Educational case study</t>
  </si>
  <si>
    <t>S2-0181</t>
  </si>
  <si>
    <t>Thomas, E.; McCrudden, C.; Wharton, Z.; Behera, A.</t>
  </si>
  <si>
    <t>Perception of autonomous vehicles by the modern society: A survey</t>
  </si>
  <si>
    <t>S2-0176</t>
  </si>
  <si>
    <t>Pervez, A.; Lee, J.J.; Mao, R.; Chang, F.</t>
  </si>
  <si>
    <t>Perception toward autonomous ride-pooling services and public buses in Pakistan: perspectives in crime and victimization</t>
  </si>
  <si>
    <t>S2-0092</t>
  </si>
  <si>
    <t>Abudayyeh, D.; Almomani, M.; Almomani, O.; Alsoud, H.; Alsalman, F.</t>
  </si>
  <si>
    <t>Perceptions of Autonomous Vehicles: A Case Study of Jordan</t>
  </si>
  <si>
    <t>S2-0107</t>
  </si>
  <si>
    <t>Rahman, M.T.; Dey, K.; Ashraf, M.T.</t>
  </si>
  <si>
    <t>Perceptions of vulnerable roadway users on autonomous vehicle regulations</t>
  </si>
  <si>
    <t>S2-0035</t>
  </si>
  <si>
    <t>N. Vikas Babu; M. Damle</t>
  </si>
  <si>
    <t>Performance evaluation of Autonomous and Connected Electric Vehicles (ACEVs) towards buying intention in India: Forward trend in energy efficiency</t>
  </si>
  <si>
    <t>S2-0255</t>
  </si>
  <si>
    <t>Martínez-Buelvas, L.; Rakotonirainy, A.; Grant-Smith, D.; Oviedo-Trespalacios, O.</t>
  </si>
  <si>
    <t>Policy considerations for the safe and equitable integration of Connected and Automated Vehicles</t>
  </si>
  <si>
    <t>S2-0088</t>
  </si>
  <si>
    <t>Chen, S.-Y.; Kuo, H.-Y.; Lee, C.</t>
  </si>
  <si>
    <t>Preparing society for automated vehicles: Perceptions of the importance and urgency of emerging issues of governance, regulations, and wider impacts</t>
  </si>
  <si>
    <t>S2-0093</t>
  </si>
  <si>
    <t>Lee, D.; Nguyen Long, L.A.</t>
  </si>
  <si>
    <t>Privacy challenges of automated vehicles: Merging contextual integrity and responsible innovation frameworks</t>
  </si>
  <si>
    <t>S2-0020</t>
  </si>
  <si>
    <t>N. Z. AlRais; S. M. AlHajeri; H. Almansoori; A. AlAwadhi; A. Panthakkan; S. A. Amin</t>
  </si>
  <si>
    <t>Privacy on Autopilot: Exploring User Attitudes Toward Data Use in Autonomous Vehicles</t>
  </si>
  <si>
    <t>S2-0123</t>
  </si>
  <si>
    <t>Brell, T.; Philipsen, R.; Ziefle, M.</t>
  </si>
  <si>
    <t>Privacy Pirates - The Key Role of User Diversity in V2X-Technology</t>
  </si>
  <si>
    <t>S2-0288</t>
  </si>
  <si>
    <t>Kurse, T.K.; Gebresenbet, G.; Daba, G.F.</t>
  </si>
  <si>
    <t>Prospects for Implementation of Autonomous Vehicles and Associated Infrastructure in Developing Countries</t>
  </si>
  <si>
    <t>S2-0157</t>
  </si>
  <si>
    <t>Public acceptance of connected vehicles: An extension of the technology acceptance model</t>
  </si>
  <si>
    <t>S2-0297</t>
  </si>
  <si>
    <t>Smyth, J.; Chen, H.; Donzella, V.; Woodman, R.</t>
  </si>
  <si>
    <t>Public acceptance of driver state monitoring for automated vehicles: Applying the UTAUT framework</t>
  </si>
  <si>
    <t>S2-0125</t>
  </si>
  <si>
    <t>Roche-Cerasi, I.</t>
  </si>
  <si>
    <t>Public acceptance of driverless shuttles in Norway</t>
  </si>
  <si>
    <t>S2-0030</t>
  </si>
  <si>
    <t>K. Hamarsheh</t>
  </si>
  <si>
    <t>Public Acceptance to utilize Autonomous Vehicles AV’s in the United Arab Emirates, An Empirical Study</t>
  </si>
  <si>
    <t>S2-0048</t>
  </si>
  <si>
    <t>E. Portouli; G. Karaseitanidis; P. Lytrivis; A. Amditis; O. Raptis; C. Karaberi</t>
  </si>
  <si>
    <t>Public attitudes towards autonomous mini buses operating in real conditions in a Hellenic city</t>
  </si>
  <si>
    <t>S2-0233</t>
  </si>
  <si>
    <t>Kyriakidis, M.; Happee, R.; De Winter, J.C.F.</t>
  </si>
  <si>
    <t>Public opinion on automated driving: Results of an international questionnaire among 5000 respondents</t>
  </si>
  <si>
    <t>S2-0001</t>
  </si>
  <si>
    <t>A. Matin; H. Dia</t>
  </si>
  <si>
    <t>Public Perception of Connected and Automated Vehicles: Benefits, Concerns, and Barriers from an Australian Perspective</t>
  </si>
  <si>
    <t>S2-0191</t>
  </si>
  <si>
    <t>Dogan, E.; Barbier, C.; Peyrard, E.</t>
  </si>
  <si>
    <t>Public perception of ethical issues concerning automated mobility: A focus group study among three road user categories</t>
  </si>
  <si>
    <t>S2-0175</t>
  </si>
  <si>
    <t>Aldakkhelallah, A.; Alamri, A.S.; Georgiou, S.; Simic, M.</t>
  </si>
  <si>
    <t>Public Perception of the Introduction of Autonomous Vehicles</t>
  </si>
  <si>
    <t>S2-0006</t>
  </si>
  <si>
    <t>T. Schmidt; R. Philipsen; P. Themann; M. Ziefle</t>
  </si>
  <si>
    <t>Public perception of V2X-technology - evaluation of general advantages, disadvantages and reasons for data sharing with connected vehicles</t>
  </si>
  <si>
    <t>S2-0009</t>
  </si>
  <si>
    <t>N. Sohaee</t>
  </si>
  <si>
    <t>Public Perception Toward Tesla Fatal Accidents: Neural Network Approach</t>
  </si>
  <si>
    <t>S2-0164</t>
  </si>
  <si>
    <t>Piao, J.; McDonald, M.; Hounsell, N.; Graindorge, M.; Graindorge, T.; Malhene, N.</t>
  </si>
  <si>
    <t>Public Views towards Implementation of Automated Vehicles in Urban Areas</t>
  </si>
  <si>
    <t>S2-0272</t>
  </si>
  <si>
    <t>Sharma, I.; Mishra, S.</t>
  </si>
  <si>
    <t>Quantifying the consumer's dependence on different information sources on acceptance of autonomous vehicles</t>
  </si>
  <si>
    <t>S2-0007</t>
  </si>
  <si>
    <t>N. B. Al Barghuthi; H. Said</t>
  </si>
  <si>
    <t>Readiness, Safety, and Privacy on Adopting Autonomous Vehicle Technology: UAE Case Study</t>
  </si>
  <si>
    <t>S2-0201</t>
  </si>
  <si>
    <t>Li, S.; Zhang, Y.; Blythe, P.; Edwards, S.; Ji, Y.</t>
  </si>
  <si>
    <t>Remote driving as the Failsafe: Qualitative investigation of Users’ perceptions and requirements towards the 5G-enabled Level 4 automated vehicles</t>
  </si>
  <si>
    <t>S2-0221</t>
  </si>
  <si>
    <t>Nordhoff, S.</t>
  </si>
  <si>
    <t>Resistance towards autonomous vehicles (AVs)</t>
  </si>
  <si>
    <t>S2-0223</t>
  </si>
  <si>
    <t>Dolins, S.; Karlsson, M.; Smith, G.; Strömberg, H.</t>
  </si>
  <si>
    <t>Riding with strangers: profiling potential users and refusers of shared autonomous vehicles in Swedish cities</t>
  </si>
  <si>
    <t>S2-0217</t>
  </si>
  <si>
    <t>Chikaraishi, M.; Khan, D.; Yasuda, B.; Fujiwara, A.</t>
  </si>
  <si>
    <t>Risk perception and social acceptability of autonomous vehicles: A case study in Hiroshima, Japan</t>
  </si>
  <si>
    <t>S2-0162</t>
  </si>
  <si>
    <t>Khan, D.; Fujiwara, A.; Shiftan, Y.; Chikaraishi, M.; Tenenboim, E.; Nguyen, T.A.H.</t>
  </si>
  <si>
    <t>Risk Perceptions and Public Acceptance of Autonomous Vehicles: A Comparative Study in Japan and Israel</t>
  </si>
  <si>
    <t>S2-0197</t>
  </si>
  <si>
    <t>Ross, G.M.</t>
  </si>
  <si>
    <t>Say goodbye to your car: Prevention focus motivates a shift from car to fare-free autonomous public transport</t>
  </si>
  <si>
    <t>S2-0268</t>
  </si>
  <si>
    <t>Bloom, C.; Tan, J.; Ramjohn, J.; Bauer, L.</t>
  </si>
  <si>
    <t>Self-driving cars and data collection: Privacy perceptions of networked autonomous vehicles</t>
  </si>
  <si>
    <t>S2-0295</t>
  </si>
  <si>
    <t>Zmud, J.; Sener, I.N.; Wagner, J.</t>
  </si>
  <si>
    <t>Self-driving vehicles: Determinants of adoption and conditions of usage</t>
  </si>
  <si>
    <t>S2-0033</t>
  </si>
  <si>
    <t>M. Khoyudia; L. Iskandar; M. Mariani</t>
  </si>
  <si>
    <t>Self-Driving Vehicles: Exploring Preferred Adoption Scenarios - A Preliminary Study</t>
  </si>
  <si>
    <t>S2-0179</t>
  </si>
  <si>
    <t>Share to protect: Quantitative study on privacy issues in V2X-technology</t>
  </si>
  <si>
    <t>S2-0140</t>
  </si>
  <si>
    <t>Biermann, H.; Philipsen, R.; Brell, T.; Ziefle, M.</t>
  </si>
  <si>
    <t>Shut Up and Drive? User Requirements for Communication Services in Autonomous Driving</t>
  </si>
  <si>
    <t>S2-0302</t>
  </si>
  <si>
    <t>Aasvik, O.; Ulleberg, P.; Hagenzieker, M.</t>
  </si>
  <si>
    <t>Simplifying acceptance: A general acceptance factor predicting intentions to use shared autonomous vehicles</t>
  </si>
  <si>
    <t>S2-0036</t>
  </si>
  <si>
    <t>M. S. Seet; A. Dragomir; I. Mathialagan; L. Y. Ann; Z. b. Zaid; S. L. Ramapatna; N. V. Thakor; A. Bezerianos</t>
  </si>
  <si>
    <t>Subtype Divergences of Trust in Autonomous Vehicles: Towards Optimisation of Driver–Vehicle Trust Management</t>
  </si>
  <si>
    <t>S2-0253</t>
  </si>
  <si>
    <t>Suspicious minds?–users’ perceptions of autonomous and connected driving</t>
  </si>
  <si>
    <t>S2-0218</t>
  </si>
  <si>
    <t>Mircică, N.</t>
  </si>
  <si>
    <t>The design, implementation, and operation of self-driving cars: Ethical, security, safety, and privacy issues</t>
  </si>
  <si>
    <t>S2-0252</t>
  </si>
  <si>
    <t>López-Lambas, M.E.; Alonso, A.</t>
  </si>
  <si>
    <t>The driverless bus: An analysis of public perceptions and acceptability</t>
  </si>
  <si>
    <t>S2-0211</t>
  </si>
  <si>
    <t>Liang, Y.; Qian, L.; Lu, Y.; Bektaş, T.</t>
  </si>
  <si>
    <t>The effects of risk preferences on consumers’ reference-dependent choices for autonomous vehicles</t>
  </si>
  <si>
    <t>S2-0256</t>
  </si>
  <si>
    <t>Xie, H.; David, A.; Mamun, M.R.A.; Prybutok, V.R.; Sidorova, A.</t>
  </si>
  <si>
    <t>The formation of initial trust by potential passengers of self-driving taxis</t>
  </si>
  <si>
    <t>S2-0260</t>
  </si>
  <si>
    <t>Luca, O.; Andrei, L.</t>
  </si>
  <si>
    <t>THE IMPACT OF AUTONOMOUS VEHICLES ON THE CITY STRUCTURE: A CASE STUDY IN ROMANIAN UNIVERSITIES</t>
  </si>
  <si>
    <t>S2-0066</t>
  </si>
  <si>
    <t>A. Kovačević; E. Demić</t>
  </si>
  <si>
    <t>The Impact of Gender, Seniority, Knowledge, and Interest on Attitudes to Artificial Intelligence</t>
  </si>
  <si>
    <t>S2-0137</t>
  </si>
  <si>
    <t>Zhang, J.; Ma, Y.; Xing, G.; Zhang, Z.; Kang, K.; Gao, L.</t>
  </si>
  <si>
    <t>The Impact of Human-Machine Interaction Transparency on Driver Trust in Autonomous Driving</t>
  </si>
  <si>
    <t>S2-0163</t>
  </si>
  <si>
    <t>Khan, S.K.; Shiwakoti, N.; Stasinopoulos, P.; Chen, Y.; Warren, M.</t>
  </si>
  <si>
    <t>The impact of perceived cyber-risks on automated vehicle acceptance: Insights from a survey of participants from the United States, the United Kingdom, New Zealand, and Australia</t>
  </si>
  <si>
    <t>S2-0112</t>
  </si>
  <si>
    <t>Hamadneh, J.; Hamdan, N.</t>
  </si>
  <si>
    <t>The Impact of Travel Behavior Factors on the Acceptance of Carsharing and Autonomous Vehicles: A Machine Learning Analysis</t>
  </si>
  <si>
    <t>S2-0143</t>
  </si>
  <si>
    <t>Awad, E.; Dsouza, S.; Kim, R.; Schulz, J.; Henrich, J.; Shariff, A.; Bonnefon, J.-F.; Rahwan, I.</t>
  </si>
  <si>
    <t>The Moral Machine experiment</t>
  </si>
  <si>
    <t>S2-0145</t>
  </si>
  <si>
    <t>Yang, Y.; Song, Z.</t>
  </si>
  <si>
    <t>The public perception and adaptability of laws and regulations of autonomous driving vehicles</t>
  </si>
  <si>
    <t>S2-0087</t>
  </si>
  <si>
    <t>Kyriakidis, M.; Sodnik, J.; Stojmenova, K.; Elvarsson, A.B.; Pronello, C.; Thomopoulos, N.</t>
  </si>
  <si>
    <t>The role of human operators in safety perception of av deployment—insights from a large european survey</t>
  </si>
  <si>
    <t>S2-0154</t>
  </si>
  <si>
    <t>THE ROLE OF TECHNOLOGY READINESS IN THE CONSUMERS’ ACCEPTANCE OF AUTONOMOUS DELIVERY SERVICE</t>
  </si>
  <si>
    <t>S2-0298</t>
  </si>
  <si>
    <t>Zhang, T.; Tao, D.; Qu, X.; Zhang, X.; Lin, R.; Zhang, W.</t>
  </si>
  <si>
    <t>The roles of initial trust and perceived risk in public's acceptance of automated vehicles</t>
  </si>
  <si>
    <t>S2-0169</t>
  </si>
  <si>
    <t>Shatnawi, I.; Gonzalez, J.N.; Masoud, N.</t>
  </si>
  <si>
    <t>Toward AV-CAV deployment in the Kingdom of Saudi Arabia: A readiness assessment based on expert feedback</t>
  </si>
  <si>
    <t>S2-0300</t>
  </si>
  <si>
    <t>Zmud, J.P.; Sener, I.N.</t>
  </si>
  <si>
    <t>Towards an Understanding of the Travel Behavior Impact of Autonomous Vehicles</t>
  </si>
  <si>
    <t>S2-0267</t>
  </si>
  <si>
    <t>Mathis, L.-A.; Widlroither, H.; Traub, N.</t>
  </si>
  <si>
    <t>Towards Future Interior Concepts: User Perception and Requirements for the Use Case Working in the Autonomous Car</t>
  </si>
  <si>
    <t>S2-0194</t>
  </si>
  <si>
    <t>Stålhane, T.; Myklebust, T.</t>
  </si>
  <si>
    <t>Trust and acceptance of self-driving buses</t>
  </si>
  <si>
    <t>S2-0203</t>
  </si>
  <si>
    <t>Waung, M.; McAuslan, P.; Lakshmanan, S.</t>
  </si>
  <si>
    <t>Trust and intention to use autonomous vehicles: Manufacturer focus and passenger control</t>
  </si>
  <si>
    <t>S2-0178</t>
  </si>
  <si>
    <t>Kenesei, Z.; Ásványi, K.; Kökény, L.; Jászberényi, M.; Miskolczi, M.; Gyulavári, T.; Syahrivar, J.</t>
  </si>
  <si>
    <t>Trust and perceived risk: How different manifestations affect the adoption of autonomous vehicles</t>
  </si>
  <si>
    <t>S2-0079</t>
  </si>
  <si>
    <t>Q. Sun; S. Hou; J. Yao; P. Cheng</t>
  </si>
  <si>
    <t>Trust-oriented HMI Design for Conditional Autonomous Driving Takeover Systems</t>
  </si>
  <si>
    <t>S2-0159</t>
  </si>
  <si>
    <t>Tham, Y.J.; Hashimoto, T.; Karasawa, K.</t>
  </si>
  <si>
    <t>Underlying dimensions of benefit and risk perception and their effects on people’s acceptance of conditionally/fully automated vehicles</t>
  </si>
  <si>
    <t>S2-0136</t>
  </si>
  <si>
    <t>Zekun, C.; Aiping, X.</t>
  </si>
  <si>
    <t>Understand Users' Privacy Perception and Decision of V2X Communication in Connected Autonomous Vehicles</t>
  </si>
  <si>
    <t>S2-0062</t>
  </si>
  <si>
    <t>A. Adikari; D. Alahakoon</t>
  </si>
  <si>
    <t>Understanding Citizens’ Emotional Pulse in a Smart City Using Artificial Intelligence</t>
  </si>
  <si>
    <t>S2-0102</t>
  </si>
  <si>
    <t>Zhou, W.; Espahbod, S.; Shi, V.; Nketiah, E.</t>
  </si>
  <si>
    <t>Understanding Consumers’ Adoption Behavior of Driverless Delivery Vehicles: Insights from the Combined Use of NCA and PLS-SEM</t>
  </si>
  <si>
    <t>S2-0148</t>
  </si>
  <si>
    <t>Soltani, A.; Ananda, D.; Rith, M.</t>
  </si>
  <si>
    <t>University students’ perspectives on autonomous vehicle adoption: Adelaide case study</t>
  </si>
  <si>
    <t>S2-0213</t>
  </si>
  <si>
    <t>Demir, C.; Meschtscherjakov, A.; Gärtner, M.</t>
  </si>
  <si>
    <t>Unlocking Trust and Acceptance in Tomorrow’s Ride: How In-Vehicle Intelligent Agents Redefine SAE Level 5 Autonomy</t>
  </si>
  <si>
    <t>S2-0250</t>
  </si>
  <si>
    <t>Vasudavan, H.; Shanmugam, K.; Ahmada, H.A.</t>
  </si>
  <si>
    <t>User perceptions in adopting cloud computing in autonomous vehicle</t>
  </si>
  <si>
    <t>S2-0273</t>
  </si>
  <si>
    <t>Hussein, S.; Nasiruddeen Muhammad, N.M.; Eman Abu Shabab, E.; Saad Amin, S.; Hussain Al-Ahmad, H.; Mukhtar, H.; Mohammad Rababa, M.; Burkhard Schafer, B.</t>
  </si>
  <si>
    <t>Users' Perception of Data Privacy in Self-Driving Vehicles in Dubai</t>
  </si>
  <si>
    <t>S2-0277</t>
  </si>
  <si>
    <t>Koul, S.; Eydgahi, A.</t>
  </si>
  <si>
    <t>Utilizing technology acceptance model (Tam) for driverless car technology adoption</t>
  </si>
  <si>
    <t>S2-0243</t>
  </si>
  <si>
    <t>Maksimenko, V.; Li, X.; Kim, E.-J.; Bansal, P.</t>
  </si>
  <si>
    <t>Video-Based experiments better unveil societal biases towards ethical decisions of autonomous vehicles</t>
  </si>
  <si>
    <t>S2-0050</t>
  </si>
  <si>
    <t>J. Chen; Q. Zhang</t>
  </si>
  <si>
    <t>Voice Design and Trust in Automated Vehicles: Findings and a Research Agenda</t>
  </si>
  <si>
    <t>S2-0127</t>
  </si>
  <si>
    <t>Jászberényi, M.; Miskolczi, M.; Munkácsy, A.; Földes, D.</t>
  </si>
  <si>
    <t>What drives tourists to adopt self-driving cars?</t>
  </si>
  <si>
    <t>S2-0216</t>
  </si>
  <si>
    <t>Wang, F.; Wang, S.; Fang, F.; Cheng, K.</t>
  </si>
  <si>
    <t>Who should be responsible? Responsibility attribution and public response to data security risks in China's intelligent connected vehicles</t>
  </si>
  <si>
    <t>S2-0138</t>
  </si>
  <si>
    <t>Zhou, Y.; Guo, H.; Tang, L.; Deng, Y.; Shi, H.</t>
  </si>
  <si>
    <t>Willingness to utilize autonomous vehicles following accidents: A fresh perspective from mixed-methods research</t>
  </si>
  <si>
    <t>S2-0294</t>
  </si>
  <si>
    <t>Schuß, M.; Manger, C.; Löcken, A.; Riener, A.</t>
  </si>
  <si>
    <t>You'll Never Ride Alone: Insights into Women's Security Needs in Shared Automated Vehicles</t>
  </si>
  <si>
    <t>S2-0713</t>
  </si>
  <si>
    <t>Liu, Q.; Wu, J.; Deng, R.</t>
  </si>
  <si>
    <t>A Generative AI Framework for Privacy-Aware Audience Perception Analysis: Leveraging Large Language Models for Comment Understanding and Content Profiling</t>
  </si>
  <si>
    <t>S2-0392</t>
  </si>
  <si>
    <t>Philipo, Adamu Gaston; Sarwatt, Doreen Sebastian; Ding, Jianguo; Daneshmand, Mahmoud; Ning, Huansheng</t>
  </si>
  <si>
    <t>Assessing Text Classification Methods for Cyberbullying Detection on Social Media Platforms</t>
  </si>
  <si>
    <t>S2-1052</t>
  </si>
  <si>
    <t>Gaim, F.; Song, H.; Lee, H.; Ko, C.; Hwang, E.J.; Park, J.C.</t>
  </si>
  <si>
    <t>A Multi-Task Benchmark for Abusive Language Detection in Low-Resource Settings</t>
  </si>
  <si>
    <t>S2-0305</t>
  </si>
  <si>
    <t>Zafeiropoulos, Michail; Antonakaki, Despoina; Ioannidis, Sotiris</t>
  </si>
  <si>
    <t>A Social Media Analysis of Discourse on the Israel--Palestine Conflict on Telegram</t>
  </si>
  <si>
    <t>S2-0688</t>
  </si>
  <si>
    <t>Sherif, A.; Hussein, R.; Sabty, C.</t>
  </si>
  <si>
    <t>Adapting GPT for Egyptian Arabic-English Code-Switched Sentiment Analysis Through Prompting, Retrieval, and Sentiment-Guided Fine-Tuning</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</si>
  <si>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</si>
  <si>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</si>
  <si>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</si>
  <si>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S2-1085</t>
  </si>
  <si>
    <t>Diamantini, C.; Mircoli, A.; Potena, D.; Vagnoni, S.</t>
  </si>
  <si>
    <t>An Experimental Comparison of Large Language Models for Emotion Recognition in Italian Tweets</t>
  </si>
  <si>
    <t>S2-0682</t>
  </si>
  <si>
    <t>Limseesawan, K.; Netisopakul, P.; Chotipant, S.; Voravuthikunchai, W.; Sirivorachodphokin, T.</t>
  </si>
  <si>
    <t>Application of Large Language Models for Aspect-Based Sentiment Analysis on Social Media Data: A Case Study of the Thai Telecommunications Industry</t>
  </si>
  <si>
    <t>S2-0396</t>
  </si>
  <si>
    <t>Qian, Shenbin; Orăsan, Constantin; Kanojia, Diptesh; Carmo, Félix do</t>
  </si>
  <si>
    <t>Are Large Language Models State-of-the-art Quality Estimators for Machine Translation of User-generated Content?</t>
  </si>
  <si>
    <t>S2-0421</t>
  </si>
  <si>
    <t>Singh, Smriti; Caragea, Cornelia; Li, Junyi Jessy</t>
  </si>
  <si>
    <t>Language Models (Mostly) Do Not Consider Emotion Triggers When Predicting Emotion</t>
  </si>
  <si>
    <t>S2-0402</t>
  </si>
  <si>
    <t>Plisiecki, Hubert; Koc, Piotr; Flakus, Maria; Pokropek, Artur</t>
  </si>
  <si>
    <t>Predicting Emotion Intensity in Polish Political Texts: Comparing Supervised Models and Large Language Models in a Resource-Poor Language</t>
  </si>
  <si>
    <t>S2-0003</t>
  </si>
  <si>
    <t>O. Alharasees; H. A. Al Hasanat; D. Alothman</t>
  </si>
  <si>
    <t>Public Perception of Autonomous and Shared Autonomous Vehicles: Case Study of Amman</t>
  </si>
  <si>
    <t>S2-0377</t>
  </si>
  <si>
    <t>Gole, Montgomery; Miranskyy, Andriy</t>
  </si>
  <si>
    <t>Assessing how hyperparameters impact Large Language Models' sarcasm detection performance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</si>
  <si>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</si>
  <si>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</si>
  <si>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</si>
  <si>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S2-0822</t>
  </si>
  <si>
    <t>Hannani, M.; Soudi, A.; Van Laerhoven, K.</t>
  </si>
  <si>
    <t>Assessing the Performance of ChatGPT-4, Fine-tuned BERT and Traditional ML Models on Moroccan Arabic Sentiment Analysis</t>
  </si>
  <si>
    <t>S2-1094</t>
  </si>
  <si>
    <t>Heinrich, P.; Blombach, A.; Dang, B.M.D.; Zilio, L.; Havenstein, L.; Dykes, N.; Evert, S.; Schäfer, F.</t>
  </si>
  <si>
    <t>Automatic Identification of COVID-19-related Narratives in German Telegram Channels and Chats</t>
  </si>
  <si>
    <t>S2-0394</t>
  </si>
  <si>
    <t>Antypas, Dimosthenis; Sen, Indira; Perez-Almendros, Carla; Camacho-Collados, Jose; Barbieri, Francesco</t>
  </si>
  <si>
    <t>Sensitive Content Classification in Social Media: A Holistic Resource and Evaluation</t>
  </si>
  <si>
    <t>S2-0803</t>
  </si>
  <si>
    <t>Vanetik, N.; Litvak, M.; Liebeskind, C.</t>
  </si>
  <si>
    <t>Benchmarking Arabic Emotion Detection: Transformers Evaluation using a Unified Dataset</t>
  </si>
  <si>
    <t>S2-0397</t>
  </si>
  <si>
    <t>Hengle, Amey; Kulkarni, Atharva; Patankar, Shantanu; Chandrasekaran, Madhumitha; D'Silva, Sneha; Jacob, Jemima; Gupta, Rashmi</t>
  </si>
  <si>
    <t>Still Not Quite There! Evaluating Large Language Models for Comorbid Mental Health Diagnosis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</si>
  <si>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</si>
  <si>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</si>
  <si>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</si>
  <si>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S2-0963</t>
  </si>
  <si>
    <t>Rachman, B.</t>
  </si>
  <si>
    <t>Benchmarking Lightweight Transformers and Small Language Models for Climate Change Sentiment Analysis</t>
  </si>
  <si>
    <t>S2-1031</t>
  </si>
  <si>
    <t>De Langhe, L.; Maladry, A.; Vanroy, B.; De Bruyne, L.; Singh, P.; Lefever, E.; De Clercq, O.</t>
  </si>
  <si>
    <t>Benchmarking Zero-Shot Text Classification for Dutch</t>
  </si>
  <si>
    <t>S2-0539</t>
  </si>
  <si>
    <t>Ghosh, S.; Singh, G.V.; Pathak, K.; Ekbal, A.</t>
  </si>
  <si>
    <t>Blunt Giants, Sharp Specialists: Decoding Stress and Triggers Beyond General-Purpose LLMs</t>
  </si>
  <si>
    <t>S2-0846</t>
  </si>
  <si>
    <t>Morbidoni, C.; Sarra, A.</t>
  </si>
  <si>
    <t>Can LLMs assist humans in assessing online misogyny? Experiments with GPT-3.5</t>
  </si>
  <si>
    <t>S2-0510</t>
  </si>
  <si>
    <t>Qi, Lei; Khaleel, Mohammed; Tavanapong, Wallapak; Sukul, Adisak; Peterson, David</t>
  </si>
  <si>
    <t>A Framework for Deep Quantification Learning</t>
  </si>
  <si>
    <t>S2-0498</t>
  </si>
  <si>
    <t>Xu, Jian; Huang, Shao-Lun</t>
  </si>
  <si>
    <t>A Joint Training-Calibration Framework for Test-Time Personalization with Label Shift in Federated Learning</t>
  </si>
  <si>
    <t>S2-0516</t>
  </si>
  <si>
    <t>González, Pablo; Castaño, Alberto; Chawla, Nitesh V.; Coz, Juan José Del</t>
  </si>
  <si>
    <t>A Review on Quantification Learning</t>
  </si>
  <si>
    <t>S2-0446</t>
  </si>
  <si>
    <t>Volpi, Lorenzo; Moreo, Alejandro; Sebastiani, Fabrizio</t>
  </si>
  <si>
    <t>A Simple Method for&amp;nbsp;Classifier Accuracy Prediction Under Prior Probability Shift</t>
  </si>
  <si>
    <t>S2-0483</t>
  </si>
  <si>
    <t>Garg, Saurabh; Wu, Yifan; Balakrishnan, Sivaraman; Lipton, Zachary C.</t>
  </si>
  <si>
    <t>A unified view of label shift estimation</t>
  </si>
  <si>
    <t>S2-0461</t>
  </si>
  <si>
    <t>Mielniczuk, Jan; Wawrzeńczyk, Adam</t>
  </si>
  <si>
    <t>Accounting for Label Shift of Positive Unlabeled Data under Selection Bias</t>
  </si>
  <si>
    <t>S2-0466</t>
  </si>
  <si>
    <t>Qian, Yu-Yang; Wang, Yi-Han; Zhang, Zhen-Yu; Jiang, Yuan; Zhou, Zhi-Hua</t>
  </si>
  <si>
    <t>Adapting to Generalized Online Label Shift by Invariant Representation Learning</t>
  </si>
  <si>
    <t>S2-0481</t>
  </si>
  <si>
    <t>Bai, Yong; Zhang, Yu-Jie; Zhao, Peng; Sugiyama, Masashi; Zhou, Zhi-Hua</t>
  </si>
  <si>
    <t>Adapting to online label shift with provable guarantees</t>
  </si>
  <si>
    <t>S2-0529</t>
  </si>
  <si>
    <t>Latinne, Patrice; Saerens, Marco; Decaestecker, Christine</t>
  </si>
  <si>
    <t>Adjusting the Outputs of a Classifier to New a Priori Probabilities May Significantly Improve Classification Accuracy: Evidence from a multi-class problem in remote sensing</t>
  </si>
  <si>
    <t>S2-0526</t>
  </si>
  <si>
    <t>Saerens, Marco; Latinne, Patrice; Decaestecker, Christine</t>
  </si>
  <si>
    <t>Adjusting the outputs of a classifier to new a priori probabilities: a simple procedure</t>
  </si>
  <si>
    <t>S2-0517</t>
  </si>
  <si>
    <t>Sun, Qingyao; Murphy, Kevin; Ebrahimi, Sayna; D'Amour, Alexander</t>
  </si>
  <si>
    <t>Beyond invariance: test-time label-shift adaptation for addressing "spurious" correlations</t>
  </si>
  <si>
    <t>S2-0447</t>
  </si>
  <si>
    <t>Jeong, Jiun; An, Byeongwoo; Kim, Gi-Soo; Shin, Kyubo</t>
  </si>
  <si>
    <t>Calibration-aware online adaptation under label shift</t>
  </si>
  <si>
    <t>S2-0528</t>
  </si>
  <si>
    <t>Hong, Yu; Li, Zhixu; Qu, Jianfeng; Liang, Jiaqing; Luo, Yi; Zhang, Miyu; Xiao, Yanghua; Wang, Wei</t>
  </si>
  <si>
    <t>Can We Have Both Fish and Bear's Paw? Improving Performance, Reliability, and both of them for Relation Extraction under Label Shift</t>
  </si>
  <si>
    <t>S2-0513</t>
  </si>
  <si>
    <t>GonzáLez-Castro, VíCtor; Alaiz-RodríGuez, RocíO; Alegre, Enrique</t>
  </si>
  <si>
    <t>Class distribution estimation based on the Hellinger distance</t>
  </si>
  <si>
    <t>S2-0507</t>
  </si>
  <si>
    <t>Perini, Lorenzo; Vercruyssen, Vincent; Davis, Jesse</t>
  </si>
  <si>
    <t>Class prior estimation in active positive and unlabeled learning</t>
  </si>
  <si>
    <t>S2-0477</t>
  </si>
  <si>
    <t>Yoshida, Takeshi; Shin’ya, Eitaro; Washio, Takashi</t>
  </si>
  <si>
    <t>Class-prior probability estimation using density ratio between unlabeled instances and positively labeled noisy instances</t>
  </si>
  <si>
    <t>S2-0456</t>
  </si>
  <si>
    <t>Kloos, Kevin; Karch, Julian D.; Meertens, Quinten A.; Scholtus, Sander; de Rooij, Mark</t>
  </si>
  <si>
    <t>Continuous Sweep for Binary Quantification Learning</t>
  </si>
  <si>
    <t>S2-0472</t>
  </si>
  <si>
    <t>Sun, Xiaona; Wu, Zhenyu; Zhan, Zhiqiang; Ji, Yang</t>
  </si>
  <si>
    <t>Contrastive Conditional Alignment Based on Label Shift Calibration for Imbalanced Domain Adaptation</t>
  </si>
  <si>
    <t>S2-0464</t>
  </si>
  <si>
    <t>Garg, Saurabh; Balakrishnan, Sivaraman; Lipton, Zachary C.</t>
  </si>
  <si>
    <t>Domain adaptation under open set label shift</t>
  </si>
  <si>
    <t>S2-0505</t>
  </si>
  <si>
    <t>Combes, Remi Tachet des; Zhao, Han; Wang, Yu-Xiang; Gordon, Geoff</t>
  </si>
  <si>
    <t>Domain adaptation with conditional distribution matching and generalized label shift</t>
  </si>
  <si>
    <t>S2-0508</t>
  </si>
  <si>
    <t>Li, Juren; Yang, Yang; Chen, Youmin; Zhang, Jianfeng; Lai, Zeyu; Pan, Lujia</t>
  </si>
  <si>
    <t>DWLR: domain adaptation under label shift for wearable sensor</t>
  </si>
  <si>
    <t>S2-0463</t>
  </si>
  <si>
    <t>Ouyang, Yanlong; Mizutani, Shin; Kishino, Yasue</t>
  </si>
  <si>
    <t>Efficient Video Object Classification Using Class Prior Adaptation Under Continuous Class-Balance Changes</t>
  </si>
  <si>
    <t>S2-0515</t>
  </si>
  <si>
    <t>Tian, Qinglong; Zhang, Xin; Zhao, Jiwei</t>
  </si>
  <si>
    <t>ELSA: efficient label shift adaptation through the lens of semiparametric models</t>
  </si>
  <si>
    <t>S2-0495</t>
  </si>
  <si>
    <t>Levin, Roy; Roitman, Haggai</t>
  </si>
  <si>
    <t>Enhanced Probabilistic Classify and Count Methods for Multi-Label Text Quantification</t>
  </si>
  <si>
    <t>S2-0489</t>
  </si>
  <si>
    <t>Serapião, Adriane B. S.; Donyavi, Zahra; Batista, Gustavo</t>
  </si>
  <si>
    <t>Ensembles of&amp;nbsp;Classifiers and&amp;nbsp;Quantifiers with&amp;nbsp;Data Fusion for&amp;nbsp;Quantification Learning</t>
  </si>
  <si>
    <t>S2-0530</t>
  </si>
  <si>
    <t>Chan, Yee Seng; Ng, Hwee Tou</t>
  </si>
  <si>
    <t>Estimating class priors in domain adaptation for word sense disambiguation</t>
  </si>
  <si>
    <t>S2-0518</t>
  </si>
  <si>
    <t>Jain, Shantanu; White, Martha; Radivojac, Predrag</t>
  </si>
  <si>
    <t>Estimating the class prior and posterior from noisy positives and unlabeled data</t>
  </si>
  <si>
    <t>S2-0499</t>
  </si>
  <si>
    <t>Łazęcka, Małgorzata; Mielniczuk, Jan; Teisseyre, Paweł</t>
  </si>
  <si>
    <t>Estimating the class prior for positive and unlabelled data via logistic regression</t>
  </si>
  <si>
    <t>S2-0514</t>
  </si>
  <si>
    <t>Bekker, Jessa; Davis, Jesse</t>
  </si>
  <si>
    <t>Estimating the class prior in positive and unlabeled data through decision tree induction</t>
  </si>
  <si>
    <t>S2-0484</t>
  </si>
  <si>
    <t>Tasche, Dirk</t>
  </si>
  <si>
    <t>Fisher consistency for prior probability shift</t>
  </si>
  <si>
    <t>S2-0521</t>
  </si>
  <si>
    <t>Limsetto, Nachai; Waiyamai, Kitsana</t>
  </si>
  <si>
    <t>Handling concept drift via ensemble and class distribution estimation technique</t>
  </si>
  <si>
    <t>S2-0450</t>
  </si>
  <si>
    <t>Xu, Chao; Tang, Xijia; Hou, Chenping</t>
  </si>
  <si>
    <t>Heterogeneous label shift: theory and algorithm</t>
  </si>
  <si>
    <t>S2-0494</t>
  </si>
  <si>
    <t>Azizzadenesheli, Kamyar</t>
  </si>
  <si>
    <t>Importance Weight Estimation and Generalization in Domain Adaptation Under Label Shift</t>
  </si>
  <si>
    <t>S2-0485</t>
  </si>
  <si>
    <t>Fan, Ruidong; Ouyang, Xiao; Luo, Tingjin; Hu, Dewen; Hou, Chenping</t>
  </si>
  <si>
    <t>Incomplete Multi-View Learning Under Label Shift</t>
  </si>
  <si>
    <t>S2-0486</t>
  </si>
  <si>
    <t>Li, Jiaqi; Kong, Haojia; Xu, Gezheng; Shui, Changjian; Pu, Ruizhi; Kang, Zhao; Ling, Charles X.; Wang, Boyu</t>
  </si>
  <si>
    <t>Label shift conditioned hybrid querying for deep active learning</t>
  </si>
  <si>
    <t>S2-0473</t>
  </si>
  <si>
    <t>Fan, Ruidong; Ouyang, Xiao; Tao, Hong; Hou, Chenping</t>
  </si>
  <si>
    <t>Label Shift Correction via Bidirectional Marginal Distribution Matching</t>
  </si>
  <si>
    <t>S2-0487</t>
  </si>
  <si>
    <t>Dussap, Bastien; Blanchard, Gilles; Chérief-Abdellatif, Badr-Eddine</t>
  </si>
  <si>
    <t>Label Shift Quantification with&amp;nbsp;Robustness Guarantees via&amp;nbsp;Distribution Feature Matching</t>
  </si>
  <si>
    <t>S2-0445</t>
  </si>
  <si>
    <t>LEAP: Linear equations for classifier accuracy prediction under prior probability shift</t>
  </si>
  <si>
    <t>S2-0469</t>
  </si>
  <si>
    <t>Wei, Tong; Mao, Zhen; Zhou, Zi-Hao; Wan, Yuanyu; Zhang, Min-Ling</t>
  </si>
  <si>
    <t>Learning label shift correction for test-agnostic long-tailed recognition</t>
  </si>
  <si>
    <t>S2-0449</t>
  </si>
  <si>
    <t>Moreo, Alejandro; Sebastiani, Fabrizio</t>
  </si>
  <si>
    <t>Learning to Quantify: Estimating Class Prevalence via Supervised Learning</t>
  </si>
  <si>
    <t>S2-0475</t>
  </si>
  <si>
    <t>Esuli, Andrea; Moreo, Alejandro; Sebastiani, Fabrizio</t>
  </si>
  <si>
    <t>LeQua@CLEF2022: Learning to Quantify</t>
  </si>
  <si>
    <t>S2-0470</t>
  </si>
  <si>
    <t>Zhao, Maozhe; Shen, Rui; Gong, Bo; Xu, Zhihao; Zheng, Zhenzhe; Liu, Shengzhong; Wu, Fan; Chen, Guihai</t>
  </si>
  <si>
    <t>MACRA: Efficient Knowledge Sharing among Personalized Models against Label Shift in Mobile AI Applications</t>
  </si>
  <si>
    <t>S2-0451</t>
  </si>
  <si>
    <t>Donyavi, Zahra; Li, Feiyu; Zhang, Yunrui; Silva, Diego F.; Batista, Gustavo E.</t>
  </si>
  <si>
    <t>Match: A Maximum-Likelihood Approach for Classification under Label Shift</t>
  </si>
  <si>
    <t>S2-0511</t>
  </si>
  <si>
    <t>Alexandari, Amr M.; Kundaje, Anshul; Shrikumar, Avanti</t>
  </si>
  <si>
    <t>Maximum likelihood with bias-corrected calibration is hard-to-beat at label shift adaptation</t>
  </si>
  <si>
    <t>S2-0497</t>
  </si>
  <si>
    <t>Maity, Subha; Sun, Yuekai; Banerjee, Moulinath</t>
  </si>
  <si>
    <t>Minimax optimal approaches to the label shift problem in non-parametric settings</t>
  </si>
  <si>
    <t>S2-0500</t>
  </si>
  <si>
    <t>Wu, Xiaowen; Fan, Ruidong; Luo, Tingjin; Hou, Chenping</t>
  </si>
  <si>
    <t>NLSC: A noise-robust label shift correction framework via three-head training and class-adaptive cleaning</t>
  </si>
  <si>
    <t>S2-0523</t>
  </si>
  <si>
    <t>Yang, Chunyu; Zhou, Jie</t>
  </si>
  <si>
    <t>Non-stationary data sequence classification using online class priors estimation</t>
  </si>
  <si>
    <t>S2-0467</t>
  </si>
  <si>
    <t>Kruse, Johannes; Lindskow, Kasper; Andersen, Michael Riis; Shimizu, Ryotaro; McAuley, Julian; Mattei, Pierre-Alexandre; Frellsen, Jes</t>
  </si>
  <si>
    <t>Normative Alignment of Recommender Systems via Internal Label Shift</t>
  </si>
  <si>
    <t>S2-0527</t>
  </si>
  <si>
    <t>Barranquero, Jose; González, Pablo; Díez, Jorge; del Coz, Juan José</t>
  </si>
  <si>
    <t>On the study of nearest neighbor algorithms for prevalence estimation in binary problems</t>
  </si>
  <si>
    <t>S2-0457</t>
  </si>
  <si>
    <t>Tomaszewska, Paulina; Lampert, Christoph H.</t>
  </si>
  <si>
    <t>On the&amp;nbsp;Implementation of&amp;nbsp;Baselines and&amp;nbsp;Lightweight Conditional Model Extrapolation (LIMES) Under Class-Prior Shift</t>
  </si>
  <si>
    <t>S2-0458</t>
  </si>
  <si>
    <t>Fan, Ruidong; Ouyang, Xiao; Luo, Tingjin; Zhang, Lijun; Hou, Chenping</t>
  </si>
  <si>
    <t>One-step label shift adaptation via robust weight estimation</t>
  </si>
  <si>
    <t>S2-0462</t>
  </si>
  <si>
    <t>Wu, Ruihan; Datta, Siddhartha; Su, Yi; Baby, Dheeraj; Wang, Yu-Xiang; Weinberger, Kilian Q.</t>
  </si>
  <si>
    <t>Online feature updates improve online (generalized) label shift adaptation</t>
  </si>
  <si>
    <t>S2-0471</t>
  </si>
  <si>
    <t>Baby, Dheeraj; Garg, Saurabh; Yen, Tzu-Ching; Balakrishnan, Sivaraman; Lipton, Zachary C.; Wang, Yu-Xiang</t>
  </si>
  <si>
    <t>Online label shift: optimal dynamic regret meets practical algorithms</t>
  </si>
  <si>
    <t>S2-0492</t>
  </si>
  <si>
    <t>Rakotomamonjy, A.; Flamary, R.; Gasso, G.; Alaya, M. El; Berar, M.; Courty, N.</t>
  </si>
  <si>
    <t>Optimal transport for conditional domain matching and label shift</t>
  </si>
  <si>
    <t>S2-0524</t>
  </si>
  <si>
    <t>KüChenhoff, Helmut; Augustin, Thomas; Kunz, Anne</t>
  </si>
  <si>
    <t>Partially identified prevalence estimation under misclassification using the kappa coefficient</t>
  </si>
  <si>
    <t>S2-0501</t>
  </si>
  <si>
    <t>Chang, Shizhen; Du, Bo; Zhang, Liangpei</t>
  </si>
  <si>
    <t>Positive unlabeled learning with class-prior approximation</t>
  </si>
  <si>
    <t>S2-0459</t>
  </si>
  <si>
    <t>Nakajima, Shota; Sugiyama, Masashi</t>
  </si>
  <si>
    <t>Positive-unlabeled classification under class-prior shift: a prior-invariant approach based on density ratio estimation</t>
  </si>
  <si>
    <t>S2-0474</t>
  </si>
  <si>
    <t>Vaz, Afonso Fernandes; Izbicki, Rafael; Stern, Rafael Bassi</t>
  </si>
  <si>
    <t>Quantification under prior probability shift: the ratio estimator and its extensions</t>
  </si>
  <si>
    <t>S2-0448</t>
  </si>
  <si>
    <t>Re-assessing the “Classify and Count” Quantification Method</t>
  </si>
  <si>
    <t>S2-0506</t>
  </si>
  <si>
    <t>Garg, Saurabh; Erickson, Nick; Sharpnack, James; Smola, Alex J.; Balakrishnan, Sivaraman; Lipton, Zachary C.</t>
  </si>
  <si>
    <t>RLSbench: domain adaptation under relaxed label shift</t>
  </si>
  <si>
    <t>S2-0452</t>
  </si>
  <si>
    <t>Wu, Xiaowen; Fan, Ruidong; Hou, Chenping</t>
  </si>
  <si>
    <t>Robust Label Shift Correction via&amp;nbsp;Denoising Expectation-Maximization</t>
  </si>
  <si>
    <t>S2-0509</t>
  </si>
  <si>
    <t>Du Plessis, Marthinus Christoffel; Sugiyama, Masashi</t>
  </si>
  <si>
    <t>Semi-supervised learning of class balance under class-prior change by distribution matching</t>
  </si>
  <si>
    <t>S2-0512</t>
  </si>
  <si>
    <t>S2-0453</t>
  </si>
  <si>
    <t>Azizi, Shayan; Calderan, Felipe Vaiano; Okui, Norihiro; Nakahara, Masataka; Kubota, Ayumu; Quiles, Marcos Gonçalves; Batista, Gustavo Enrique; Gharakheili, Hassan Habibi</t>
  </si>
  <si>
    <t>Towards Label Shift Adaptation for Robust IoT Device Identification</t>
  </si>
  <si>
    <t>S2-0520</t>
  </si>
  <si>
    <t>Zhang, Zhihao; Zhou, Jie</t>
  </si>
  <si>
    <t>Transfer estimation of evolving class priors in data stream classification</t>
  </si>
  <si>
    <t>S2-0460</t>
  </si>
  <si>
    <t>Tutorial: Supervised Learning for Prevalence Estimation</t>
  </si>
  <si>
    <t>S2-0502</t>
  </si>
  <si>
    <t>Tan, Andong; Hanselmann, Niklas; Ding, Shuxiao; Tombari, Federico; Cordts, Marius</t>
  </si>
  <si>
    <t>Unsupervised Domain Adaptive Object Detection with&amp;nbsp;Class Label Shift Weighted Local Features</t>
  </si>
  <si>
    <t>S2-0479</t>
  </si>
  <si>
    <t>Roberts, Manley; Mani, Pranav; Garg, Saurabh; Lipton, Zachary C.</t>
  </si>
  <si>
    <t>Unsupervised learning under latent label shift</t>
  </si>
  <si>
    <t>S2-0476</t>
  </si>
  <si>
    <t>Luo, You-Wei; Ren, Chuan-Xian</t>
  </si>
  <si>
    <t>When Invariant Representation Learning Meets Label Shift: Insufficiency and Theoretical Insights</t>
  </si>
  <si>
    <t>S2-0327</t>
  </si>
  <si>
    <t>Zheng, Jingyi; Hu, Tianyi; Liu, Yule; Sun, Zhen; Zhang, Zongmin; Peng, Zifan; Dong, Wenhan; He, Xinlei</t>
  </si>
  <si>
    <t>CHASM: Unveiling Covert Advertisements on Chinese Social Media</t>
  </si>
  <si>
    <t>S2-0428</t>
  </si>
  <si>
    <t>Ghanadian, Hamideh; Nejadgholi, Isar; Osman, Hussein Al</t>
  </si>
  <si>
    <t>ChatGPT for Suicide Risk Assessment on Social Media: Quantitative Evaluation of Model Performance, Potentials and Limitations</t>
  </si>
  <si>
    <t>S2-0576</t>
  </si>
  <si>
    <t>Giannilias, T.; Papadakis, A.; Nikolaou, N.; Zahariadis, T.</t>
  </si>
  <si>
    <t>Classification of Hacker’s Posts Based on Zero-Shot, Few-Shot, and Fine-Tuned LLMs in Environments with Constrained Resources</t>
  </si>
  <si>
    <t>S2-0380</t>
  </si>
  <si>
    <t>Patil, Avinash; Gedhu, Amardeep Kour</t>
  </si>
  <si>
    <t>Cognitive-Mental-LLM: Evaluating Reasoning in Large Language Models for Mental Health Prediction via Online Text</t>
  </si>
  <si>
    <t>S2-0604</t>
  </si>
  <si>
    <t>Hasnan, A.W.; Chaya, B.; Gunawan, A.A.S.; Tedjasulaksana, J.J.</t>
  </si>
  <si>
    <t>Comparative Study of Machine Learning, Transformer, and Generative Models for Sentiment Analysis</t>
  </si>
  <si>
    <t>S2-0820</t>
  </si>
  <si>
    <t>Jain, R.; Kesavan, M.; Jayaraman, V.K.</t>
  </si>
  <si>
    <t>Comparative Study of Zero-Shot and Supervised Learning for Tamil Tweet Sentiment Analysis</t>
  </si>
  <si>
    <t>S2-1028</t>
  </si>
  <si>
    <t>Botunac, I.; Brkić Bakarić, M.; Matetić, M.</t>
  </si>
  <si>
    <t>Comparing Fine-Tuning and Prompt Engineering for Multi-Class Classification in Hospitality Review Analysis</t>
  </si>
  <si>
    <t>S2-0799</t>
  </si>
  <si>
    <t>Kallstenius, T.; Capusan, A.J.; Andersson, G.; Williamson, A.</t>
  </si>
  <si>
    <t>Comparing traditional natural language processing and large language models for mental health status classification: a multi-model evaluation</t>
  </si>
  <si>
    <t>S2-0709</t>
  </si>
  <si>
    <t>Yesmaya, V.; Budiharto, W.; Anggreainy, M.S.; Isa, S.M.; Kartowisastro, I.H.</t>
  </si>
  <si>
    <t>Comparison of Traditional Machine Learning Models and Large Language Models for Multi-Label Text Classification on X (Twitter)</t>
  </si>
  <si>
    <t>S2-0440</t>
  </si>
  <si>
    <t>Olah, Justin; Baruah, Sabyasachee; Bose, Digbalay; Narayanan, Shrikanth</t>
  </si>
  <si>
    <t>Cross Domain Emotion Recognition using Few Shot Knowledge Transfer</t>
  </si>
  <si>
    <t>S2-0920</t>
  </si>
  <si>
    <t>Taghian Dinani, S.; Caragea, D.; Gyawali, N.</t>
  </si>
  <si>
    <t>Disaster Tweet Classification Using Fine-Tuned Deep Learning Models Versus Zero and Few-Shot Large Language Models</t>
  </si>
  <si>
    <t>S2-1056</t>
  </si>
  <si>
    <t>Inoshita, K.</t>
  </si>
  <si>
    <t>Enhancing Sentiment Analysis Accuracy and Evaluating Task Affinity Using Large Language Models</t>
  </si>
  <si>
    <t>S2-0546</t>
  </si>
  <si>
    <t>Mohammed, A.; Kora, R.</t>
  </si>
  <si>
    <t>Enhancing Text-Based Deepfake Detection: A Comprehensive Evaluation of LoRA Fine-Tuned Large Language Models</t>
  </si>
  <si>
    <t>S2-0893</t>
  </si>
  <si>
    <t>Raza, M.M.; Abudalfa, S.I.</t>
  </si>
  <si>
    <t>Entity Sentiment Classification using Arabic Lightweight LLMs</t>
  </si>
  <si>
    <t>S2-0670</t>
  </si>
  <si>
    <t>Wali, A.; Alahmadi, A.; Aljohani, A.; Alharbi, A.</t>
  </si>
  <si>
    <t>Evaluating Arabic Sentiment Analysis With GPT-4o: A Comparative Study of Raw and Preprocessed Text</t>
  </si>
  <si>
    <t>S2-0956</t>
  </si>
  <si>
    <t>Al-Thubaity, A.; Alkhereyf, S.; Murayshid, H.; Alshalawi, N.; Omirah, M.B.; Alateeq, R.; Almutairi, R.; Alsuwailem, R.; Alhassoun, M.; Alkhanen, I.</t>
  </si>
  <si>
    <t>Evaluating ChatGPT and Bard AI on Arabic Sentiment Analysis</t>
  </si>
  <si>
    <t>S2-1006</t>
  </si>
  <si>
    <t>Guo, Y.; Ovadje, A.; Al-Garadi, M.A.; Sarker, A.</t>
  </si>
  <si>
    <t>Evaluating large language models for health-related text classification tasks with public social media data</t>
  </si>
  <si>
    <t>S2-0599</t>
  </si>
  <si>
    <t>D’Amico, S.; Maurino, A.; Osborne, F.; Sperlì, G.</t>
  </si>
  <si>
    <t>Evaluating the effectiveness of fine-tuning in financial NLP: The case of Social Trading Action Detection</t>
  </si>
  <si>
    <t>S2-1072</t>
  </si>
  <si>
    <t>Wu, S.-H.; Hsun, T.T.</t>
  </si>
  <si>
    <t>Fine-Tuned Models for Hate Speech Detection: Assessing Generalization on Social Media</t>
  </si>
  <si>
    <t>S2-0401</t>
  </si>
  <si>
    <t>Filip, Tomáš; Pavlíček, Martin; Sosík, Petr</t>
  </si>
  <si>
    <t>Fine-tuning multilingual language models in Twitter/X sentiment analysis: a study on Eastern-European V4 languages</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</si>
  <si>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</si>
  <si>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</si>
  <si>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</si>
  <si>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S2-0983</t>
  </si>
  <si>
    <t>De Santis, E.; Martino, A.; Ronci, F.; Rizzi, A.</t>
  </si>
  <si>
    <t>From Bag-of-Words to Transformers: A Comparative Study for Text Classification in Healthcare Discussions in Social Media</t>
  </si>
  <si>
    <t>S2-0881</t>
  </si>
  <si>
    <t>Liyanage, C.R.; Gokani, R.; Mago, V.</t>
  </si>
  <si>
    <t>GPT-4 as an X data annotator: Unraveling its performance on a stance classification task</t>
  </si>
  <si>
    <t>S2-0965</t>
  </si>
  <si>
    <t>Upadhyaya, A.; Nejdl, W.; Fisichella, M.</t>
  </si>
  <si>
    <t>Harnessing Empathy and Ethics for Relevance Detection and Information Categorization in Climate and COVID-19 Tweets</t>
  </si>
  <si>
    <t>S2-0932</t>
  </si>
  <si>
    <t>Luca, M.; Lopez, G.; Longa, A.; Kaul, J.</t>
  </si>
  <si>
    <t>How are You Really Doing? Dig into the Wheel of Emotions with Large Language Models</t>
  </si>
  <si>
    <t>S2-0403</t>
  </si>
  <si>
    <t>Fernandez, Juan Jose Iguaran; Perez, Juan Manuel; Rosati, German</t>
  </si>
  <si>
    <t>Identification of emotions on Twitter during the 2022 electoral process in Colombia</t>
  </si>
  <si>
    <t>S2-1156</t>
  </si>
  <si>
    <t>Li, H.; Caragea, D.; Mhatre, A.; Ge, J.; Liu, M.</t>
  </si>
  <si>
    <t>Identifying COVID-19 Tweets Relevant to Low-Income Households Using Semi-supervised BERT and Zero-shot ChatGPT Models</t>
  </si>
  <si>
    <t>S2-0885</t>
  </si>
  <si>
    <t>Suhartono, D.; Wongso, W.; Tri Handoyo, A.</t>
  </si>
  <si>
    <t>IdSarcasm: Benchmarking and Evaluating Language Models for Indonesian Sarcasm Detection</t>
  </si>
  <si>
    <t>S2-0353</t>
  </si>
  <si>
    <t>Dey, Sumon Kanti; Powell, Jeanne M.; Ismail, Azra; Perrone, Jeanmarie; Sarker, Abeed</t>
  </si>
  <si>
    <t>Inference Gap in Domain Expertise and Machine Intelligence in Named Entity Recognition: Creation of and Insights from a Substance Use-related Dataset</t>
  </si>
  <si>
    <t>S2-0866</t>
  </si>
  <si>
    <t>Nielsen, J.; Chen, X.; Davis, L.; Waterman, A.; Gentili, M.</t>
  </si>
  <si>
    <t>Investigating the Classification of Living Kidney Donation Experiences on Reddit and Understanding the Sensitivity of ChatGPT to Prompt Engineering: Content Analysis</t>
  </si>
  <si>
    <t>S2-1035</t>
  </si>
  <si>
    <t>Ghosh, S.; Singh, G.V.; Choudhury, S.; Ekbal, A.</t>
  </si>
  <si>
    <t>Just a Scratch: Enhancing LLM Capabilities for Self-harm Detection through Intent Differentiation and Emoji Interpretation</t>
  </si>
  <si>
    <t>S2-0400</t>
  </si>
  <si>
    <t>Pangakis, Nicholas; Wolken, Samuel</t>
  </si>
  <si>
    <t>Keeping Humans in the Loop: Human-Centered Automated Annotation with Generative AI</t>
  </si>
  <si>
    <t>S2-1032</t>
  </si>
  <si>
    <t>Tian, L.; Huang, N.; Zhang, X.</t>
  </si>
  <si>
    <t>Large Language Model Cascades and Persona-Based In-Context Learning for Multilingual Sexism Detection</t>
  </si>
  <si>
    <t>S2-0712</t>
  </si>
  <si>
    <t>Törnberg, P.</t>
  </si>
  <si>
    <t>Large Language Models Outperform Expert Coders and Supervised Classifiers at Annotating Political Social Media Messages</t>
  </si>
  <si>
    <t>S2-0991</t>
  </si>
  <si>
    <t>Nguyen, V.; Pham, C.</t>
  </si>
  <si>
    <t>Leveraging Large Language Models for Suicide Detection on Social Media with Limited Labels</t>
  </si>
  <si>
    <t>S2-0898</t>
  </si>
  <si>
    <t>Roumeliotis, K.I.; Tselikas, N.D.; Nasiopoulos, D.K.</t>
  </si>
  <si>
    <t>Leveraging Large Language Models in Tourism: A Comparative Study of the Latest GPT Omni Models and BERT NLP for Customer Review Classification and Sentiment Analysis</t>
  </si>
  <si>
    <t>S2-0818</t>
  </si>
  <si>
    <t>Poddar, S.; Deepansh, A.; Poornalatha, G.</t>
  </si>
  <si>
    <t>Leveraging Sentiment Analysis of Consumer Feedback for Data-Driven CRM in Digital Game Ecosystems</t>
  </si>
  <si>
    <t>S2-0754</t>
  </si>
  <si>
    <t>Nagpal, S.; Sabharwal, S.</t>
  </si>
  <si>
    <t>Mental Health Disorder Prediction with PEFT-Enhanced Large Language Model</t>
  </si>
  <si>
    <t>S2-1090</t>
  </si>
  <si>
    <t>Manias, G.; Mavrogiorgou, A.; Kiourtis, A.; Symvoulidis, C.; Kyriazis, D.</t>
  </si>
  <si>
    <t>Multilingual text categorization and sentiment analysis: a comparative analysis of the utilization of multilingual approaches for classifying twitter data</t>
  </si>
  <si>
    <t>S2-0798</t>
  </si>
  <si>
    <t>Masson, M.; Agerri, R.; Sallaberry, C.; Bessagnet, M.-N.; Le Parc Lacayrelle, A.; Roose, P.</t>
  </si>
  <si>
    <t>Optimal strategies to perform multilingual analysis of social content for a novel dataset in the tourism domain</t>
  </si>
  <si>
    <t>S2-1134</t>
  </si>
  <si>
    <t>Optimizing Airline Review Sentiment Analysis: A Comparative Analysis of LLaMA and BERT Models through Fine-Tuning and Few-Shot Learning</t>
  </si>
  <si>
    <t>S2-0919</t>
  </si>
  <si>
    <t>Tori, F.; Tori, S.; Keseru, I.; Ginis, V.</t>
  </si>
  <si>
    <t>Performing Sentiment Analysis Using Natural Language Models for Urban Policymaking: An analysis of Twitter Data in Brussels</t>
  </si>
  <si>
    <t>S2-0939</t>
  </si>
  <si>
    <t>Giannaris, P.S.; Doukas, N.; Borges, J.</t>
  </si>
  <si>
    <t>Pilot Testing Transformers-based Models for Multi-class Classification of Greek Text</t>
  </si>
  <si>
    <t>S2-0733</t>
  </si>
  <si>
    <t>Ling, J.; Gan, K.H.</t>
  </si>
  <si>
    <t>Retrieval-augmented few-shot large language models (LLMs) for financial sentiment classification on social media</t>
  </si>
  <si>
    <t>S2-0424</t>
  </si>
  <si>
    <t>Zhang, Ting; Irsan, Ivana Clairine; Thung, Ferdian; Lo, David</t>
  </si>
  <si>
    <t>Revisiting Sentiment Analysis for Software Engineering in the Era of Large Language Models</t>
  </si>
  <si>
    <t>S2-0365</t>
  </si>
  <si>
    <t>Li, Yue; Vasilakes, Jake; Zhao, Zhixue; Scarton, Carolina</t>
  </si>
  <si>
    <t>SCRum-9: Multilingual Stance Classification over Rumours on Social Media</t>
  </si>
  <si>
    <t>S2-1103</t>
  </si>
  <si>
    <t>Sherif, A.; Sabty, C.</t>
  </si>
  <si>
    <t>Sentiment Analysis for Egyptian Arabic-English Code-Switched Data Using Traditional Neural Models and Advanced Language Models</t>
  </si>
  <si>
    <t>S2-0645</t>
  </si>
  <si>
    <t>Bernal-Beltrán, T.; Paredes-Valverde, M.A.; Salas-Zárate, M.D.P.; García-Díaz, J.A.; Valencia-García, R.</t>
  </si>
  <si>
    <t>Sentiment Analysis in Mexican Spanish: A Comparison Between Fine-Tuning and In-Context Learning with Large Language Models</t>
  </si>
  <si>
    <t>S2-0915</t>
  </si>
  <si>
    <t>Mardiah, Z.; Wicaksono, H.R.; Hadiprakoso, R.B.</t>
  </si>
  <si>
    <t>Sentiment Analysis Through Prompt Engineering with GPT-4 on the SmSA IndoNLU Dataset</t>
  </si>
  <si>
    <t>S2-1074</t>
  </si>
  <si>
    <t>Griswold, M.; Robbins, M.W.; Pollard, M.S.</t>
  </si>
  <si>
    <t>Stay Tuned: Improving Sentiment Analysis and Stance Detection Using Large Language Models</t>
  </si>
  <si>
    <t>S2-0959</t>
  </si>
  <si>
    <t>Pasch, S.; Cutura, J.</t>
  </si>
  <si>
    <t>Text Classification with Limited Training Data: Suicide Risk Detection on Social Media</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</si>
  <si>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</si>
  <si>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</si>
  <si>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</si>
  <si>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S2-1135</t>
  </si>
  <si>
    <t>Medina-Alias, P.; Şimşek, Ö.</t>
  </si>
  <si>
    <t>The Temporal Persistence of Generative Language Models in Sentiment Analysis</t>
  </si>
  <si>
    <t>S2-1148</t>
  </si>
  <si>
    <t>You, Y.; Jiang, Z.; Zhang, K.; Jiang, J.; Wang, X.; Zhang, Z.; Wang, S.; Feng, H.</t>
  </si>
  <si>
    <t>TI-Prompt: Towards a Prompt Tuning Method for Few-shot Threat Intelligence Twitter Classification</t>
  </si>
  <si>
    <t>S2-0729</t>
  </si>
  <si>
    <t>Chen, T.; Su, L.Y.-F.; Ng, Y.M.M.; Stasiewicz, M.J.; Wang, Y.-C.</t>
  </si>
  <si>
    <t>Transforming social media sentiment analysis with generative large language models: A case study from the cultured meat debate</t>
  </si>
  <si>
    <t>S2-0992</t>
  </si>
  <si>
    <t>He, L.; Omranian, S.; McRoy, S.; Zheng, K.</t>
  </si>
  <si>
    <t>Using Large Language Models for sentiment analysis of health-related social media data: empirical evaluation and practical tips</t>
  </si>
  <si>
    <t>S2-0659</t>
  </si>
  <si>
    <t>Ding, W.; Bhuiyan, H.</t>
  </si>
  <si>
    <t>WeiboDRP: Sentiment Analysis on Chinese Social Media with Multi-Level Comment Structures</t>
  </si>
  <si>
    <t>S2-1109</t>
  </si>
  <si>
    <t>Münker, S.; Kugler, K.; Rettinger, A.</t>
  </si>
  <si>
    <t>Zero-shot prompt-based classification: topic labeling in times of foundation models in German Tweets</t>
  </si>
  <si>
    <t>GZ-1</t>
  </si>
  <si>
    <t>Rocío Alaiz-Rodríguez; Enrique Alegre-Gutiérrez; Víctor González-Castro; Lidia Sánchez</t>
  </si>
  <si>
    <t>Quantifying the proportion of damaged sperm cells based on image analysis and neural networks</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</si>
  <si>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</si>
  <si>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</si>
  <si>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</si>
  <si>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</si>
  <si>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</si>
  <si>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</si>
  <si>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</si>
  <si>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</si>
  <si>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</si>
  <si>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</si>
  <si>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</si>
  <si>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</si>
  <si>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</si>
  <si>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</si>
  <si>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</si>
  <si>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</si>
  <si>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</si>
  <si>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</si>
  <si>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</si>
  <si>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</si>
  <si>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</si>
  <si>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</si>
  <si>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</si>
  <si>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</si>
  <si>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</si>
  <si>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</si>
  <si>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</si>
  <si>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</si>
  <si>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</si>
  <si>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</si>
  <si>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</si>
  <si>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</si>
  <si>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</si>
  <si>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</si>
  <si>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</si>
  <si>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</si>
  <si>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</si>
  <si>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</si>
  <si>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</si>
  <si>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</si>
  <si>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</si>
  <si>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</si>
  <si>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</si>
  <si>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</si>
  <si>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</si>
  <si>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</si>
  <si>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</si>
  <si>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</si>
  <si>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</si>
  <si>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</si>
  <si>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</si>
  <si>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</si>
  <si>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</si>
  <si>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</si>
  <si>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</si>
  <si>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</si>
  <si>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</si>
  <si>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</si>
  <si>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</si>
  <si>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</si>
  <si>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</si>
  <si>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</si>
  <si>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</si>
  <si>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</si>
  <si>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</si>
  <si>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</si>
  <si>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</si>
  <si>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</si>
  <si>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</si>
  <si>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</si>
  <si>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</si>
  <si>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</si>
  <si>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</si>
  <si>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</si>
  <si>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</si>
  <si>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</si>
  <si>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</si>
  <si>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</si>
  <si>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</si>
  <si>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</si>
  <si>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</si>
  <si>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</si>
  <si>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</si>
  <si>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</si>
  <si>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</si>
  <si>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</si>
  <si>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</si>
  <si>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</si>
  <si>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</si>
  <si>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</si>
  <si>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</si>
  <si>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</si>
  <si>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</si>
  <si>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</si>
  <si>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</si>
  <si>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</si>
  <si>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</si>
  <si>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</si>
  <si>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</si>
  <si>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</si>
  <si>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</si>
  <si>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</si>
  <si>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</si>
  <si>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</si>
  <si>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</si>
  <si>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</si>
  <si>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</si>
  <si>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S2-1182</t>
  </si>
  <si>
    <t>Chow, Brandon Tse Wei</t>
  </si>
  <si>
    <t>A Semiparametric Efficient Approach to Label Shift Estimation and Quantification</t>
  </si>
  <si>
    <t>Thesis</t>
  </si>
  <si>
    <t>S2-1183</t>
  </si>
  <si>
    <t>Fiksel, Jacob B.</t>
  </si>
  <si>
    <t>Quantification Learning with Applications to Mortality Surveillance</t>
  </si>
  <si>
    <t>S2-1184</t>
  </si>
  <si>
    <t>Qi, Lei</t>
  </si>
  <si>
    <t>Quantification Learning with Deep Neural Networks</t>
  </si>
  <si>
    <t>S2-0307</t>
  </si>
  <si>
    <t>Zubair, Toneema; Asif, Muhammad Junaid; Kamiran, Faisal; Saeed, Hafiz Hassan; Ahmad, Rana Fayyaz</t>
  </si>
  <si>
    <t>Efficient Adaptation of LLMs for Hate Speech Detection in Low-Resource Languages: A Comparative Study on Roman Urdu</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</si>
  <si>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</si>
  <si>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</si>
  <si>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</si>
  <si>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</si>
  <si>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</si>
  <si>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</si>
  <si>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</si>
  <si>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DOI</t>
  </si>
  <si>
    <t>Stage 2 decision</t>
  </si>
  <si>
    <t>Screening note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</si>
  <si>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</si>
  <si>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10.26599/jicv.2023.9210028</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</si>
  <si>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</si>
  <si>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10.1109/aiccsa66935.2025.11315380</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</si>
  <si>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</si>
  <si>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</si>
  <si>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</si>
  <si>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</si>
  <si>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</si>
  <si>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</si>
  <si>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</si>
  <si>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</si>
  <si>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</si>
  <si>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</si>
  <si>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</si>
  <si>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</si>
  <si>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</si>
  <si>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</si>
  <si>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</si>
  <si>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</si>
  <si>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</si>
  <si>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</si>
  <si>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</si>
  <si>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</si>
  <si>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</si>
  <si>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</si>
  <si>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</si>
  <si>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</si>
  <si>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</si>
  <si>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</si>
  <si>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</si>
  <si>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</si>
  <si>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</si>
  <si>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</si>
  <si>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</si>
  <si>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</si>
  <si>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</si>
  <si>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</si>
  <si>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</si>
  <si>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</si>
  <si>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</si>
  <si>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</si>
  <si>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</si>
  <si>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</si>
  <si>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</si>
  <si>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</si>
  <si>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</si>
  <si>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</si>
  <si>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</si>
  <si>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</si>
  <si>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</si>
  <si>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</si>
  <si>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</si>
  <si>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</si>
  <si>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</si>
  <si>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</si>
  <si>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</si>
  <si>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</si>
  <si>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</si>
  <si>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</si>
  <si>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</si>
  <si>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</si>
  <si>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</si>
  <si>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</si>
  <si>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</si>
  <si>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</si>
  <si>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</si>
  <si>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</si>
  <si>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</si>
  <si>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</si>
  <si>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</si>
  <si>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</si>
  <si>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</si>
  <si>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</si>
  <si>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</si>
  <si>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</si>
  <si>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</si>
  <si>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</si>
  <si>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</si>
  <si>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</si>
  <si>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</si>
  <si>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</si>
  <si>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</si>
  <si>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</si>
  <si>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</si>
  <si>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</si>
  <si>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</si>
  <si>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</si>
  <si>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</si>
  <si>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</si>
  <si>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</si>
  <si>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</si>
  <si>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</si>
  <si>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</si>
  <si>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</si>
  <si>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</si>
  <si>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</si>
  <si>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</si>
  <si>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</si>
  <si>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</si>
  <si>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</si>
  <si>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</si>
  <si>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</si>
  <si>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</si>
  <si>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</si>
  <si>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</si>
  <si>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</si>
  <si>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</si>
  <si>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</si>
  <si>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</si>
  <si>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</si>
  <si>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</si>
  <si>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</si>
  <si>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</si>
  <si>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</si>
  <si>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</si>
  <si>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</si>
  <si>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</si>
  <si>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</si>
  <si>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</si>
  <si>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</si>
  <si>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</si>
  <si>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</si>
  <si>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</si>
  <si>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</si>
  <si>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</si>
  <si>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</si>
  <si>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</si>
  <si>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</si>
  <si>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</si>
  <si>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</si>
  <si>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</si>
  <si>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</si>
  <si>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</si>
  <si>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</si>
  <si>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</si>
  <si>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</si>
  <si>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</si>
  <si>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</si>
  <si>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</si>
  <si>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</si>
  <si>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</si>
  <si>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</si>
  <si>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</si>
  <si>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</si>
  <si>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</si>
  <si>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</si>
  <si>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</si>
  <si>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</si>
  <si>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</si>
  <si>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</si>
  <si>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</si>
  <si>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</si>
  <si>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</si>
  <si>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</si>
  <si>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</si>
  <si>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</si>
  <si>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</si>
  <si>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</si>
  <si>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</si>
  <si>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</si>
  <si>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</si>
  <si>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</si>
  <si>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</si>
  <si>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</si>
  <si>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</si>
  <si>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</si>
  <si>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</si>
  <si>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</si>
  <si>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</si>
  <si>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</si>
  <si>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</si>
  <si>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</si>
  <si>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</si>
  <si>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</si>
  <si>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</si>
  <si>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</si>
  <si>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</si>
  <si>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</si>
  <si>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</si>
  <si>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</si>
  <si>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</si>
  <si>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</si>
  <si>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</si>
  <si>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</si>
  <si>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</si>
  <si>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</si>
  <si>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</si>
  <si>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</si>
  <si>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</si>
  <si>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</si>
  <si>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</si>
  <si>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</si>
  <si>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</si>
  <si>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</si>
  <si>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</si>
  <si>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</si>
  <si>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</si>
  <si>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</si>
  <si>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</si>
  <si>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</si>
  <si>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</si>
  <si>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</si>
  <si>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</si>
  <si>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</si>
  <si>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</si>
  <si>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</si>
  <si>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</si>
  <si>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</si>
  <si>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</si>
  <si>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</si>
  <si>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</si>
  <si>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</si>
  <si>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</si>
  <si>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</si>
  <si>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</si>
  <si>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</si>
  <si>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</si>
  <si>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</si>
  <si>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</si>
  <si>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</si>
  <si>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</si>
  <si>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</si>
  <si>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</si>
  <si>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</si>
  <si>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</si>
  <si>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</si>
  <si>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</si>
  <si>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</si>
  <si>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</si>
  <si>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</si>
  <si>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</si>
  <si>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</si>
  <si>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</si>
  <si>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</si>
  <si>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</si>
  <si>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</si>
  <si>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</si>
  <si>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</si>
  <si>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</si>
  <si>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</si>
  <si>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</si>
  <si>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</si>
  <si>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</si>
  <si>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</si>
  <si>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</si>
  <si>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</si>
  <si>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</si>
  <si>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</si>
  <si>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</si>
  <si>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</si>
  <si>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</si>
  <si>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</si>
  <si>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</si>
  <si>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</si>
  <si>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</si>
  <si>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</si>
  <si>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</si>
  <si>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</si>
  <si>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</si>
  <si>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</si>
  <si>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</si>
  <si>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</si>
  <si>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</si>
  <si>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</si>
  <si>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</si>
  <si>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</si>
  <si>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</si>
  <si>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</si>
  <si>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</si>
  <si>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</si>
  <si>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</si>
  <si>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</si>
  <si>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</si>
  <si>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</si>
  <si>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</si>
  <si>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</si>
  <si>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</si>
  <si>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</si>
  <si>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</si>
  <si>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</si>
  <si>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</si>
  <si>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</si>
  <si>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</si>
  <si>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</si>
  <si>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</si>
  <si>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</si>
  <si>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</si>
  <si>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</si>
  <si>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</si>
  <si>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</si>
  <si>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</si>
  <si>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</si>
  <si>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</si>
  <si>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</si>
  <si>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</si>
  <si>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</si>
  <si>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</si>
  <si>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</si>
  <si>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</si>
  <si>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</si>
  <si>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</si>
  <si>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</si>
  <si>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</si>
  <si>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</si>
  <si>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</si>
  <si>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</si>
  <si>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</si>
  <si>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</si>
  <si>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</si>
  <si>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</si>
  <si>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</si>
  <si>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</si>
  <si>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</si>
  <si>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10.1080/15389588.2017.1401220</t>
  </si>
  <si>
    <t>10.3390/su12219166</t>
  </si>
  <si>
    <t>10.3390/su12197844</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</si>
  <si>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</si>
  <si>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</si>
  <si>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</si>
  <si>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</si>
  <si>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</si>
  <si>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</si>
  <si>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</si>
  <si>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</si>
  <si>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</si>
  <si>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10.3390/wevj14050133</t>
  </si>
  <si>
    <t>10.1016/j.trip.2025.101536</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</si>
  <si>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</si>
  <si>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</si>
  <si>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</si>
  <si>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</si>
  <si>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</si>
  <si>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</si>
  <si>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</si>
  <si>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</si>
  <si>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10.3390/urbansci9080298</t>
  </si>
  <si>
    <t>10.1016/j.tra.2024.104157</t>
  </si>
  <si>
    <t>10.1016/j.tele.2020.101361</t>
  </si>
  <si>
    <t>10.1007/s00146-023-01666-5</t>
  </si>
  <si>
    <t>S2-0101</t>
  </si>
  <si>
    <t>Singh, A.; Pachamuthu, R.; Pawar, D.S.</t>
  </si>
  <si>
    <t>GOVERNING AUTONOMOUS VEHICLES INCLUSION IN INDIA: DEVELOPING REGULATORY FRAMEWORK, NECESSARY INFRASTRUCTURE, AND TEST SCENARIOS</t>
  </si>
  <si>
    <t>10.3390/su17135730</t>
  </si>
  <si>
    <t>10.1007/978-3-031-37807-2_3</t>
  </si>
  <si>
    <t>S2-0104</t>
  </si>
  <si>
    <t>Banner, O.; Adelman, D.</t>
  </si>
  <si>
    <t>Sidewalks are for people? Futuristic fantasies, disabled lives, and crip sitveillance</t>
  </si>
  <si>
    <t>10.5210/fm.v28i1.12929</t>
  </si>
  <si>
    <t>10.3390/wevj16120645</t>
  </si>
  <si>
    <t>10.1016/j.trip.2024.101318</t>
  </si>
  <si>
    <t>10.1016/j.jsr.2024.02.005</t>
  </si>
  <si>
    <t>10.1016/j.tranpol.2024.05.001</t>
  </si>
  <si>
    <t>10.1145/3631408</t>
  </si>
  <si>
    <t>10.3390/su152115452</t>
  </si>
  <si>
    <t>10.5220/0007693803520359</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</si>
  <si>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</si>
  <si>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</si>
  <si>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</si>
  <si>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</si>
  <si>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</si>
  <si>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</si>
  <si>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</si>
  <si>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</si>
  <si>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</si>
  <si>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10.1016/j.rtbm.2024.101228</t>
  </si>
  <si>
    <t>10.1016/j.trf.2019.07.026</t>
  </si>
  <si>
    <t>10.1016/j.trf.2020.09.019</t>
  </si>
  <si>
    <t>10.1177/03611981231159116</t>
  </si>
  <si>
    <t>10.1016/j.apergo.2025.104474</t>
  </si>
  <si>
    <t>10.1007/s00146-020-00941-z</t>
  </si>
  <si>
    <t>10.1007/978-3-031-84148-4_2</t>
  </si>
  <si>
    <t>10.18420/muc2018-ws11-0524</t>
  </si>
  <si>
    <t>10.1007/978-3-319-91397-1_22</t>
  </si>
  <si>
    <t>S2-0124</t>
  </si>
  <si>
    <t>Krontiris, I.; Grammenou, K.; Terzidou, K.; Zacharopoulou, M.; Tsikintikou, M.; Baladima, F.; Sakellari, C.; Kaouras, K.</t>
  </si>
  <si>
    <t>Autonomous Vehicles: Data Protection and Ethical Considerations</t>
  </si>
  <si>
    <t>10.1145/3385958.3430481</t>
  </si>
  <si>
    <t>10.1016/j.trf.2019.09.002</t>
  </si>
  <si>
    <t>10.62527/joiv.9.2.3363</t>
  </si>
  <si>
    <t>10.1016/j.trf.2022.07.013</t>
  </si>
  <si>
    <t>10.1016/j.cstp.2025.101638</t>
  </si>
  <si>
    <t>10.1016/j.techsoc.2023.102288</t>
  </si>
  <si>
    <t>10.1016/j.trf.2024.08.032</t>
  </si>
  <si>
    <t>S2-0131</t>
  </si>
  <si>
    <t>Walker, W.E.; Marchau, V.A.W.J.</t>
  </si>
  <si>
    <t>Dynamic adaptive policymaking for the sustainable city: The case of automated taxis</t>
  </si>
  <si>
    <t>10.1016/j.ijtst.2017.03.004</t>
  </si>
  <si>
    <t>10.1007/978-3-031-47448-4_34</t>
  </si>
  <si>
    <t>10.1016/j.trip.2024.101084</t>
  </si>
  <si>
    <t>10.1016/j.cstp.2023.101072</t>
  </si>
  <si>
    <t>10.1109/itsc60802.2025.11423100</t>
  </si>
  <si>
    <t>10.1016/j.trf.2024.09.022</t>
  </si>
  <si>
    <t>10.1016/j.jpubtr.2022.100018</t>
  </si>
  <si>
    <t>10.1007/978-3-030-50523-3_1</t>
  </si>
  <si>
    <t>10.1016/j.trf.2025.05.003</t>
  </si>
  <si>
    <t>10.1016/j.trf.2022.06.013</t>
  </si>
  <si>
    <t>10.1038/s41586-018-0637-6</t>
  </si>
  <si>
    <t>10.1089/cyber.2024.0517</t>
  </si>
  <si>
    <t>10.1057/s41599-025-05600-6</t>
  </si>
  <si>
    <t>10.1080/10447318.2024.2358577</t>
  </si>
  <si>
    <t>10.1080/10447318.2024.2316389</t>
  </si>
  <si>
    <t>10.1016/j.cstp.2021.11.004</t>
  </si>
  <si>
    <t>10.1016/j.trip.2024.101070</t>
  </si>
  <si>
    <t>10.1016/j.trf.2019.08.002</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</si>
  <si>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</si>
  <si>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</si>
  <si>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</si>
  <si>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</si>
  <si>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</si>
  <si>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</si>
  <si>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</si>
  <si>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</si>
  <si>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</si>
  <si>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10.5465/amproc.2024.20bp</t>
  </si>
  <si>
    <t>10.1007/978-3-319-51064-4_24</t>
  </si>
  <si>
    <t>S2-0156</t>
  </si>
  <si>
    <t>Blackett, C.</t>
  </si>
  <si>
    <t>The Ethics of AI in Autonomous Transport</t>
  </si>
  <si>
    <t>10.3850/978-981-18-5183-4_j03-05-453-cd</t>
  </si>
  <si>
    <t>10.1016/j.trf.2022.05.002</t>
  </si>
  <si>
    <t>10.1016/j.trf.2015.10.020</t>
  </si>
  <si>
    <t>10.1007/s11116-021-10225-0</t>
  </si>
  <si>
    <t>S2-0160</t>
  </si>
  <si>
    <t>Schoonmaker, J.</t>
  </si>
  <si>
    <t>Proactive privacy for a driverless age</t>
  </si>
  <si>
    <t>10.1080/13600834.2016.1184456</t>
  </si>
  <si>
    <t>10.32725/det.2021.012</t>
  </si>
  <si>
    <t>10.3390/su141710508</t>
  </si>
  <si>
    <t>10.1016/j.tranpol.2024.05.002</t>
  </si>
  <si>
    <t>10.1016/j.trpro.2016.05.232</t>
  </si>
  <si>
    <t>10.3390/su152416627</t>
  </si>
  <si>
    <t>10.3390/su151511825</t>
  </si>
  <si>
    <t>10.1038/s41598-024-74024-0</t>
  </si>
  <si>
    <t>10.1016/j.cities.2021.103203</t>
  </si>
  <si>
    <t>10.1016/j.rtbm.2025.101378</t>
  </si>
  <si>
    <t>10.3390/socsci12010046</t>
  </si>
  <si>
    <t>10.1177/0018720819872672</t>
  </si>
  <si>
    <t>10.1177/03611981221090512</t>
  </si>
  <si>
    <t>S2-0173</t>
  </si>
  <si>
    <t>Forster, Y.; Geisel, V.; Frison, A.-K.; Hergeth, S.; Wintersberger, P.; Riener, A.</t>
  </si>
  <si>
    <t>Where we come from and where we are going: A review of automated driving studies</t>
  </si>
  <si>
    <t>10.1145/3349263.3351341</t>
  </si>
  <si>
    <t>10.30844/wi_2020_r12</t>
  </si>
  <si>
    <t>10.3390/wevj14120345</t>
  </si>
  <si>
    <t>10.1057/s41284-025-00504-1</t>
  </si>
  <si>
    <t>10.1016/j.heliyon.2024.e35664</t>
  </si>
  <si>
    <t>10.1016/j.tra.2022.08.022</t>
  </si>
  <si>
    <t>10.1007/978-3-319-39381-0_14</t>
  </si>
  <si>
    <t>S2-0180</t>
  </si>
  <si>
    <t>Alawadhi, M.; Almazrouie, J.; Kamil, M.; Khalil, K.A.</t>
  </si>
  <si>
    <t>A systematic literature review of the factors influencing the adoption of autonomous driving</t>
  </si>
  <si>
    <t>10.1007/s13198-020-00961-4</t>
  </si>
  <si>
    <t>10.1049/iet-its.2019.0703</t>
  </si>
  <si>
    <t>S2-0182</t>
  </si>
  <si>
    <t>Du, M.; Liu, P.</t>
  </si>
  <si>
    <t>Does the public misperceive automated vehicles?</t>
  </si>
  <si>
    <t>10.3850/978-981-14-8593-0_3961-cd</t>
  </si>
  <si>
    <t>10.3390/ijerph20010043</t>
  </si>
  <si>
    <t>S2-0184</t>
  </si>
  <si>
    <t>Tidke, P.; Venugopal, V.; Jali, N.; Shukla, M.; Rathod, C.</t>
  </si>
  <si>
    <t>Method of Generating Real-Time Digital Customer Feedback Loop for Connected Vehicle Applications</t>
  </si>
  <si>
    <t>10.4271/2024-26-0258</t>
  </si>
  <si>
    <t>10.3390/su12135469</t>
  </si>
  <si>
    <t>10.1016/j.ijtst.2022.08.001</t>
  </si>
  <si>
    <t>10.1016/j.trf.2022.07.014</t>
  </si>
  <si>
    <t>10.1145/3361331.3361336</t>
  </si>
  <si>
    <t>10.1145/3670653.3670682</t>
  </si>
  <si>
    <t>10.14569/ijacsa.2025.0161265</t>
  </si>
  <si>
    <t>10.1145/3452853.3452877</t>
  </si>
  <si>
    <t>S2-0192</t>
  </si>
  <si>
    <t>Banda, L.G.; Chandra, S.</t>
  </si>
  <si>
    <t>Natural intelligence in autonomous vehicles: Redefining the path to human-centric adoption</t>
  </si>
  <si>
    <t>10.1016/j.jretconser.2024.104195</t>
  </si>
  <si>
    <t>10.1155/2024/5841162</t>
  </si>
  <si>
    <t>10.3850/978-981-18-5183-4_j03-02-011-cd</t>
  </si>
  <si>
    <t>S2-0195</t>
  </si>
  <si>
    <t>Ferreira, T.; Kalakou, S.</t>
  </si>
  <si>
    <t>Strategic Planning for Urban Air Mobility: Perceptions of Citizens and Potential Users on Autonomous Flying Vehicles</t>
  </si>
  <si>
    <t>10.1007/978-3-030-61075-3_28</t>
  </si>
  <si>
    <t>10.1016/j.commtr.2022.100053</t>
  </si>
  <si>
    <t>10.1016/j.trf.2025.103338</t>
  </si>
  <si>
    <t>10.4271/12-07-01-0002</t>
  </si>
  <si>
    <t>10.3390/en14164795</t>
  </si>
  <si>
    <t>S2-0200</t>
  </si>
  <si>
    <t>Bechor, T.; Zhang, H.; Cruz, L.</t>
  </si>
  <si>
    <t>Holistic understanding of challenges with autonomous vehicles</t>
  </si>
  <si>
    <t>10.1016/j.trf.2023.11.018</t>
  </si>
  <si>
    <t>10.1016/j.cstp.2025.101447</t>
  </si>
  <si>
    <t>10.1016/j.trf.2021.05.004</t>
  </si>
  <si>
    <t>10.1080/13669877.2025.2485038</t>
  </si>
  <si>
    <t>10.1016/j.tbs.2020.07.002</t>
  </si>
  <si>
    <t>10.1049/itr2.12441</t>
  </si>
  <si>
    <t>10.1016/j.technovation.2021.102348</t>
  </si>
  <si>
    <t>S2-0208</t>
  </si>
  <si>
    <t>Wintersberger, P.; Frison, A.-K.; Riener, A.; Boyle, L.N.</t>
  </si>
  <si>
    <t>Towards a Personalized Trust Model for Highly Automated Driving</t>
  </si>
  <si>
    <t>10.18420/muc2016-ws08-0008</t>
  </si>
  <si>
    <t>10.5220/0010862000003120</t>
  </si>
  <si>
    <t>10.1016/j.trpro.2023.11.862</t>
  </si>
  <si>
    <t>10.1111/risa.17692</t>
  </si>
  <si>
    <t>10.1016/j.tranpol.2020.05.026</t>
  </si>
  <si>
    <t>10.3390/mti8120111</t>
  </si>
  <si>
    <t>10.1109/mits.2021.3082404</t>
  </si>
  <si>
    <t>10.1007/978-981-99-3424-9_8</t>
  </si>
  <si>
    <t>10.1016/j.tej.2024.107445</t>
  </si>
  <si>
    <t>10.1016/j.tranpol.2020.05.014</t>
  </si>
  <si>
    <t>10.22381/crlsj11220196</t>
  </si>
  <si>
    <t>S2-0219</t>
  </si>
  <si>
    <t>Ma, J.; Zuo, Y.; Jolimoy, O.; Gong, Z.; Xu, W.</t>
  </si>
  <si>
    <t>ADAS Alarm Sound Design for Autonomous Vehicles Based on Local Optimization: A Case Study in Shanghai, China</t>
  </si>
  <si>
    <t>10.3390/app142210733</t>
  </si>
  <si>
    <t>10.1049/itr2.12541</t>
  </si>
  <si>
    <t>10.1016/j.trip.2024.101117</t>
  </si>
  <si>
    <t>S2-0222</t>
  </si>
  <si>
    <t>Carroll, J.M.</t>
  </si>
  <si>
    <t>Why should humans trust AI?</t>
  </si>
  <si>
    <t>10.1145/3538392</t>
  </si>
  <si>
    <t>10.1007/s11116-025-10592-y</t>
  </si>
  <si>
    <t>10.1504/ijtlid.2024.140319</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</si>
  <si>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</si>
  <si>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</si>
  <si>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</si>
  <si>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</si>
  <si>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</si>
  <si>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</si>
  <si>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</si>
  <si>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</si>
  <si>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</si>
  <si>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10.5507/tots.2021.014</t>
  </si>
  <si>
    <t>10.1371/journal.pone.0288109</t>
  </si>
  <si>
    <t>S2-0230</t>
  </si>
  <si>
    <t>Martinho, A.; Herber, N.; Kroesen, M.; Chorus, C.</t>
  </si>
  <si>
    <t>Ethical issues in focus by the autonomous vehicles industry</t>
  </si>
  <si>
    <t>10.1080/01441647.2020.1862355</t>
  </si>
  <si>
    <t>10.1007/978-3-319-63712-9_15</t>
  </si>
  <si>
    <t>S2-0232</t>
  </si>
  <si>
    <t>Jalwani, K.A.; Choudhury, S.R.</t>
  </si>
  <si>
    <t>Modeling of Barriers to the Adoption of Autonomous Vehicles: DEMATEL Method †</t>
  </si>
  <si>
    <t>10.3390/engproc2023059116</t>
  </si>
  <si>
    <t>10.1016/j.trf.2015.04.014</t>
  </si>
  <si>
    <t>S2-0234</t>
  </si>
  <si>
    <t>von Veltheim, F.R.; Heise, H.</t>
  </si>
  <si>
    <t>The agtech startup perspective to farmers ex ante acceptance process of autonomous field robots</t>
  </si>
  <si>
    <t>10.3390/su122410570</t>
  </si>
  <si>
    <t>10.1145/3411764.3445609</t>
  </si>
  <si>
    <t>10.1016/j.trd.2024.104244</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</si>
  <si>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</si>
  <si>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</si>
  <si>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</si>
  <si>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</si>
  <si>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</si>
  <si>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</si>
  <si>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</si>
  <si>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</si>
  <si>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</si>
  <si>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10.1016/j.ergon.2022.103348</t>
  </si>
  <si>
    <t>10.1016/j.jsr.2024.10.006</t>
  </si>
  <si>
    <t>10.7307/ptt.v36i5.583</t>
  </si>
  <si>
    <t>10.1016/j.trc.2025.105284</t>
  </si>
  <si>
    <t>10.1016/j.amar.2020.100134</t>
  </si>
  <si>
    <t>10.3233/ais-230232</t>
  </si>
  <si>
    <t>10.3390/su13052845</t>
  </si>
  <si>
    <t>10.1016/j.trf.2025.07.017</t>
  </si>
  <si>
    <t>10.3390/logistics3040020</t>
  </si>
  <si>
    <t>S2-0249</t>
  </si>
  <si>
    <t>Orfanou, F.P.; Vlahogianni, E.I.; Yannis, G.; Mitsakis, E.</t>
  </si>
  <si>
    <t>Humanizing autonomous vehicle driving: Understanding, modeling and impact assessment</t>
  </si>
  <si>
    <t>10.1016/j.trf.2022.04.008</t>
  </si>
  <si>
    <t>10.1145/3301551.3301583</t>
  </si>
  <si>
    <t>10.1007/978-3-031-99477-7_30</t>
  </si>
  <si>
    <t>10.3390/su11184986</t>
  </si>
  <si>
    <t>10.1080/1463922x.2018.1485985</t>
  </si>
  <si>
    <t>10.1016/j.trf.2025.103330</t>
  </si>
  <si>
    <t>10.1016/j.cstp.2025.101631</t>
  </si>
  <si>
    <t>10.1080/12460125.2021.2023258</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</si>
  <si>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</si>
  <si>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</si>
  <si>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</si>
  <si>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</si>
  <si>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</si>
  <si>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</si>
  <si>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</si>
  <si>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</si>
  <si>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</si>
  <si>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S2-0261</t>
  </si>
  <si>
    <t>Li, L.; Chen, J.-C.; Xu, Z.-G.; Yang, W.-C.; Liu, Y.-T.; Lu, Q.-C.</t>
  </si>
  <si>
    <t>The impact of people's subjective perception on their acceptance of automated vehicles: A meta-analysis</t>
  </si>
  <si>
    <t>10.1016/j.trf.2024.03.015</t>
  </si>
  <si>
    <t>10.1108/itp-11-2022-0825</t>
  </si>
  <si>
    <t>10.1155/2022/8461212</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</si>
  <si>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</si>
  <si>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</si>
  <si>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</si>
  <si>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</si>
  <si>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</si>
  <si>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10.1007/s11116-019-10032-8</t>
  </si>
  <si>
    <t>10.1007/978-3-030-80012-3_37</t>
  </si>
  <si>
    <t>S2-0269</t>
  </si>
  <si>
    <t>Nwokoye, C.N.H.; Okeke, V.O.S.; Roseline, P.; Okoronkwo, E.</t>
  </si>
  <si>
    <t>The Mythical or Realistic Implementation of AI-powered Driverless Cars in Africa: A Review of Challenges and Risks</t>
  </si>
  <si>
    <t>10.1007/978-981-16-4016-2_65</t>
  </si>
  <si>
    <t>10.1016/j.retrec.2018.06.006</t>
  </si>
  <si>
    <t>10.1177/03611981241257514</t>
  </si>
  <si>
    <t>10.1016/j.tra.2022.04.009</t>
  </si>
  <si>
    <t>10.4271/2023-01-1908</t>
  </si>
  <si>
    <t>10.1016/j.techfore.2019.119792</t>
  </si>
  <si>
    <t>S2-0275</t>
  </si>
  <si>
    <t>Vongvit, R.; Lee, J.; Itoh, M.; Lee, S.C.</t>
  </si>
  <si>
    <t>Meta-Trend of Trust Factors in Autonomous Vehicles</t>
  </si>
  <si>
    <t>10.1145/3544999.3552528</t>
  </si>
  <si>
    <t>10.1007/978-3-031-23582-5_4</t>
  </si>
  <si>
    <t>10.4067/s0718-27242018000400037</t>
  </si>
  <si>
    <t>10.1016/j.trf.2021.08.009</t>
  </si>
  <si>
    <t>S2-0279</t>
  </si>
  <si>
    <t>Ka, E.; Ukkusuri, S.V.</t>
  </si>
  <si>
    <t>Route guidance attacks in cyber transportation networks: a user-centered study of behavioral sensitivity</t>
  </si>
  <si>
    <t>10.1016/j.trf.2025.103354</t>
  </si>
  <si>
    <t>10.1016/j.jth.2025.102080</t>
  </si>
  <si>
    <t>10.1016/j.tranpol.2021.07.001</t>
  </si>
  <si>
    <t>10.1016/j.trf.2023.07.004</t>
  </si>
  <si>
    <t>S2-0283</t>
  </si>
  <si>
    <t>Chandrahas Reddy Biddala, S.; Ibikunle, O.; Duffy, V.G.</t>
  </si>
  <si>
    <t>Systematic Review on Safety of Artificial Intelligence and Transportation</t>
  </si>
  <si>
    <t>10.1007/978-3-031-48047-8_16</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</si>
  <si>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</si>
  <si>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</si>
  <si>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</si>
  <si>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</si>
  <si>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</si>
  <si>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</si>
  <si>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</si>
  <si>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</si>
  <si>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</si>
  <si>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10.3390/su172411021</t>
  </si>
  <si>
    <t>10.3390/infrastructures9120237</t>
  </si>
  <si>
    <t>S2-0289</t>
  </si>
  <si>
    <t>Gokasar, I.; Başaran, G.G.</t>
  </si>
  <si>
    <t>The Effects of Public Transit in Vehicle Safety Measures for Women on Gender Equity</t>
  </si>
  <si>
    <t>10.31181/jopi31202540</t>
  </si>
  <si>
    <t>S2-0291</t>
  </si>
  <si>
    <t>Song, M.; Stević, Ž.; Badi, I.; Marinković, D.; Lv, Y.; Zhong, K.</t>
  </si>
  <si>
    <t>ASSESSING PUBLIC ACCEPTANCE OF AUTONOMOUS VEHICLES USING A NOVEL IRN PIPRECIA – IRN AROMAN MODEL</t>
  </si>
  <si>
    <t>10.22190/fume240729040s</t>
  </si>
  <si>
    <t>10.1016/j.tra.2021.07.008</t>
  </si>
  <si>
    <t>10.1145/3708036.3708046</t>
  </si>
  <si>
    <t>10.1145/3543174.3546848</t>
  </si>
  <si>
    <t>10.3141/2565-07</t>
  </si>
  <si>
    <t>10.1016/j.tranpol.2017.10.011</t>
  </si>
  <si>
    <t>10.1016/j.trf.2021.10.003</t>
  </si>
  <si>
    <t>10.1016/j.trc.2018.11.018</t>
  </si>
  <si>
    <t>S2-0299</t>
  </si>
  <si>
    <t>Hind, S.; Kanderske, M.; van der Vlist, F.</t>
  </si>
  <si>
    <t>Making the Car “Platform Ready”: How Big Tech Is Driving the Platformization of Automobility</t>
  </si>
  <si>
    <t>10.1177/20563051221098697</t>
  </si>
  <si>
    <t>10.1016/j.trpro.2017.05.281</t>
  </si>
  <si>
    <t>10.1007/978-3-030-77080-8_16</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</si>
  <si>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</si>
  <si>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</si>
  <si>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</si>
  <si>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</si>
  <si>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</si>
  <si>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</si>
  <si>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</si>
  <si>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</si>
  <si>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</si>
  <si>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</si>
  <si>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</si>
  <si>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</si>
  <si>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</si>
  <si>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</si>
  <si>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</si>
  <si>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</si>
  <si>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</si>
  <si>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</si>
  <si>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</si>
  <si>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</si>
  <si>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</si>
  <si>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</si>
  <si>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</si>
  <si>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</si>
  <si>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</si>
  <si>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</si>
  <si>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</si>
  <si>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</si>
  <si>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</si>
  <si>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</si>
  <si>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</si>
  <si>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</si>
  <si>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</si>
  <si>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</si>
  <si>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</si>
  <si>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</si>
  <si>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</si>
  <si>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</si>
  <si>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</si>
  <si>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</si>
  <si>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</si>
  <si>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</si>
  <si>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</si>
  <si>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</si>
  <si>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</si>
  <si>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</si>
  <si>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</si>
  <si>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</si>
  <si>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</si>
  <si>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</si>
  <si>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</si>
  <si>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</si>
  <si>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</si>
  <si>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</si>
  <si>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</si>
  <si>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</si>
  <si>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</si>
  <si>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</si>
  <si>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</si>
  <si>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</si>
  <si>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</si>
  <si>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</si>
  <si>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</si>
  <si>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</si>
  <si>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</si>
  <si>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</si>
  <si>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</si>
  <si>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</si>
  <si>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</si>
  <si>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</si>
  <si>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</si>
  <si>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</si>
  <si>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</si>
  <si>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</si>
  <si>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</si>
  <si>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</si>
  <si>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</si>
  <si>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</si>
  <si>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</si>
  <si>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</si>
  <si>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</si>
  <si>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</si>
  <si>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</si>
  <si>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</si>
  <si>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</si>
  <si>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</si>
  <si>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</si>
  <si>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</si>
  <si>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</si>
  <si>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</si>
  <si>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</si>
  <si>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</si>
  <si>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</si>
  <si>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</si>
  <si>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</si>
  <si>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</si>
  <si>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</si>
  <si>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</si>
  <si>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</si>
  <si>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</si>
  <si>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</si>
  <si>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</si>
  <si>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</si>
  <si>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</si>
  <si>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</si>
  <si>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</si>
  <si>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</si>
  <si>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</si>
  <si>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</si>
  <si>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</si>
  <si>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</si>
  <si>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</si>
  <si>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</si>
  <si>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</si>
  <si>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</si>
  <si>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</si>
  <si>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</si>
  <si>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</si>
  <si>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</si>
  <si>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</si>
  <si>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</si>
  <si>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</si>
  <si>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</si>
  <si>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</si>
  <si>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</si>
  <si>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</si>
  <si>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</si>
  <si>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</si>
  <si>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</si>
  <si>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</si>
  <si>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</si>
  <si>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</si>
  <si>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</si>
  <si>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</si>
  <si>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</si>
  <si>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</si>
  <si>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</si>
  <si>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</si>
  <si>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</si>
  <si>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</si>
  <si>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</si>
  <si>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</si>
  <si>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</si>
  <si>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</si>
  <si>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</si>
  <si>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</si>
  <si>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</si>
  <si>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</si>
  <si>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</si>
  <si>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</si>
  <si>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</si>
  <si>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</si>
  <si>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</si>
  <si>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</si>
  <si>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</si>
  <si>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</si>
  <si>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</si>
  <si>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</si>
  <si>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</si>
  <si>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</si>
  <si>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</si>
  <si>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</si>
  <si>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</si>
  <si>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</si>
  <si>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</si>
  <si>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</si>
  <si>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</si>
  <si>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</si>
  <si>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</si>
  <si>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</si>
  <si>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</si>
  <si>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</si>
  <si>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</si>
  <si>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</si>
  <si>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</si>
  <si>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</si>
  <si>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</si>
  <si>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</si>
  <si>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</si>
  <si>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</si>
  <si>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</si>
  <si>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</si>
  <si>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</si>
  <si>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</si>
  <si>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</si>
  <si>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</si>
  <si>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</si>
  <si>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</si>
  <si>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</si>
  <si>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</si>
  <si>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</si>
  <si>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</si>
  <si>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</si>
  <si>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</si>
  <si>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</si>
  <si>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</si>
  <si>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</si>
  <si>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</si>
  <si>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</si>
  <si>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</si>
  <si>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</si>
  <si>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</si>
  <si>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</si>
  <si>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</si>
  <si>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</si>
  <si>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</si>
  <si>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</si>
  <si>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</si>
  <si>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</si>
  <si>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</si>
  <si>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</si>
  <si>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</si>
  <si>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</si>
  <si>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</si>
  <si>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</si>
  <si>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</si>
  <si>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</si>
  <si>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</si>
  <si>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</si>
  <si>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</si>
  <si>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</si>
  <si>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</si>
  <si>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</si>
  <si>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</si>
  <si>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</si>
  <si>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</si>
  <si>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</si>
  <si>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</si>
  <si>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</si>
  <si>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</si>
  <si>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</si>
  <si>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</si>
  <si>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</si>
  <si>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</si>
  <si>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</si>
  <si>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</si>
  <si>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</si>
  <si>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</si>
  <si>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</si>
  <si>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</si>
  <si>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</si>
  <si>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</si>
  <si>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</si>
  <si>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</si>
  <si>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</si>
  <si>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</si>
  <si>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</si>
  <si>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</si>
  <si>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</si>
  <si>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</si>
  <si>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</si>
  <si>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</si>
  <si>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</si>
  <si>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</si>
  <si>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</si>
  <si>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</si>
  <si>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</si>
  <si>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</si>
  <si>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</si>
  <si>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</si>
  <si>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</si>
  <si>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</si>
  <si>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</si>
  <si>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</si>
  <si>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</si>
  <si>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</si>
  <si>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</si>
  <si>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</si>
  <si>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</si>
  <si>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</si>
  <si>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</si>
  <si>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</si>
  <si>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</si>
  <si>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</si>
  <si>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</si>
  <si>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</si>
  <si>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</si>
  <si>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</si>
  <si>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</si>
  <si>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</si>
  <si>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</si>
  <si>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</si>
  <si>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</si>
  <si>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</si>
  <si>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</si>
  <si>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</si>
  <si>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</si>
  <si>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</si>
  <si>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</si>
  <si>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</si>
  <si>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</si>
  <si>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</si>
  <si>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</si>
  <si>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</si>
  <si>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</si>
  <si>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</si>
  <si>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</si>
  <si>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</si>
  <si>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</si>
  <si>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</si>
  <si>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</si>
  <si>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</si>
  <si>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</si>
  <si>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</si>
  <si>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</si>
  <si>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</si>
  <si>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</si>
  <si>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</si>
  <si>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</si>
  <si>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</si>
  <si>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</si>
  <si>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</si>
  <si>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</si>
  <si>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</si>
  <si>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</si>
  <si>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</si>
  <si>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</si>
  <si>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</si>
  <si>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</si>
  <si>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</si>
  <si>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</si>
  <si>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</si>
  <si>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</si>
  <si>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</si>
  <si>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</si>
  <si>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</si>
  <si>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</si>
  <si>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</si>
  <si>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</si>
  <si>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</si>
  <si>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</si>
  <si>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</si>
  <si>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This paper investigates whether large...</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</si>
  <si>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</si>
  <si>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</si>
  <si>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</si>
  <si>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</si>
  <si>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</si>
  <si>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</si>
  <si>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</si>
  <si>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</si>
  <si>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</si>
  <si>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</si>
  <si>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Automated text annotation is a compelling use case for generative...</t>
  </si>
  <si>
    <t>The aspect-based sentiment...</t>
  </si>
  <si>
    <t>This study explores the use of large...</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</si>
  <si>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</si>
  <si>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</si>
  <si>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</si>
  <si>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</si>
  <si>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</si>
  <si>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</si>
  <si>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</si>
  <si>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</si>
  <si>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</si>
  <si>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</si>
  <si>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</si>
  <si>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</si>
  <si>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</si>
  <si>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</si>
  <si>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</si>
  <si>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</si>
  <si>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</si>
  <si>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</si>
  <si>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</si>
  <si>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</si>
  <si>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</si>
  <si>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</si>
  <si>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</si>
  <si>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</si>
  <si>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</si>
  <si>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</si>
  <si>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</si>
  <si>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</si>
  <si>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</si>
  <si>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</si>
  <si>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</si>
  <si>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</si>
  <si>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</si>
  <si>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</si>
  <si>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</si>
  <si>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</si>
  <si>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</si>
  <si>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</si>
  <si>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</si>
  <si>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</si>
  <si>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</si>
  <si>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</si>
  <si>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</si>
  <si>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</si>
  <si>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</si>
  <si>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</si>
  <si>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</si>
  <si>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</si>
  <si>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</si>
  <si>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</si>
  <si>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</si>
  <si>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</si>
  <si>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</si>
  <si>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</si>
  <si>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</si>
  <si>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</si>
  <si>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</si>
  <si>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</si>
  <si>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</si>
  <si>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</si>
  <si>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</si>
  <si>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</si>
  <si>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</si>
  <si>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</si>
  <si>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</si>
  <si>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</si>
  <si>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</si>
  <si>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</si>
  <si>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</si>
  <si>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</si>
  <si>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</si>
  <si>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</si>
  <si>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</si>
  <si>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</si>
  <si>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</si>
  <si>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</si>
  <si>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</si>
  <si>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</si>
  <si>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</si>
  <si>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</si>
  <si>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</si>
  <si>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</si>
  <si>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</si>
  <si>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</si>
  <si>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</si>
  <si>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</si>
  <si>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</si>
  <si>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</si>
  <si>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</si>
  <si>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</si>
  <si>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</si>
  <si>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</si>
  <si>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</si>
  <si>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</si>
  <si>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</si>
  <si>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</si>
  <si>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</si>
  <si>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</si>
  <si>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</si>
  <si>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</si>
  <si>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</si>
  <si>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</si>
  <si>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</si>
  <si>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</si>
  <si>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</si>
  <si>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</si>
  <si>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</si>
  <si>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</si>
  <si>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</si>
  <si>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</si>
  <si>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</si>
  <si>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</si>
  <si>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</si>
  <si>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</si>
  <si>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</si>
  <si>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</si>
  <si>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</si>
  <si>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</si>
  <si>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</si>
  <si>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</si>
  <si>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</si>
  <si>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</si>
  <si>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</si>
  <si>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</si>
  <si>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</si>
  <si>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</si>
  <si>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</si>
  <si>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</si>
  <si>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</si>
  <si>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</si>
  <si>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</si>
  <si>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</si>
  <si>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</si>
  <si>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</si>
  <si>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</si>
  <si>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</si>
  <si>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</si>
  <si>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</si>
  <si>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</si>
  <si>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</si>
  <si>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</si>
  <si>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</si>
  <si>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</si>
  <si>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</si>
  <si>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</si>
  <si>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</si>
  <si>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</si>
  <si>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</si>
  <si>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</si>
  <si>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</si>
  <si>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</si>
  <si>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</si>
  <si>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</si>
  <si>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</si>
  <si>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</si>
  <si>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</si>
  <si>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</si>
  <si>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</si>
  <si>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</si>
  <si>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</si>
  <si>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</si>
  <si>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</si>
  <si>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</si>
  <si>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</si>
  <si>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</si>
  <si>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</si>
  <si>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</si>
  <si>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</si>
  <si>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</si>
  <si>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</si>
  <si>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</si>
  <si>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</si>
  <si>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</si>
  <si>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</si>
  <si>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</si>
  <si>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</si>
  <si>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</si>
  <si>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</si>
  <si>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</si>
  <si>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</si>
  <si>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</si>
  <si>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</si>
  <si>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</si>
  <si>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</si>
  <si>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</si>
  <si>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</si>
  <si>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</si>
  <si>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</si>
  <si>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</si>
  <si>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</si>
  <si>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</si>
  <si>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</si>
  <si>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</si>
  <si>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</si>
  <si>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</si>
  <si>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</si>
  <si>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</si>
  <si>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</si>
  <si>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</si>
  <si>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</si>
  <si>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</si>
  <si>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</si>
  <si>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</si>
  <si>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</si>
  <si>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</si>
  <si>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</si>
  <si>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</si>
  <si>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</si>
  <si>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</si>
  <si>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</si>
  <si>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</si>
  <si>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</si>
  <si>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</si>
  <si>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</si>
  <si>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</si>
  <si>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</si>
  <si>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</si>
  <si>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</si>
  <si>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</si>
  <si>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</si>
  <si>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</si>
  <si>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</si>
  <si>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</si>
  <si>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</si>
  <si>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</si>
  <si>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</si>
  <si>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</si>
  <si>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</si>
  <si>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</si>
  <si>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</si>
  <si>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</si>
  <si>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</si>
  <si>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</si>
  <si>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</si>
  <si>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</si>
  <si>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10.1016/j.knosys.2023.110616</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</si>
  <si>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</si>
  <si>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</si>
  <si>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</si>
  <si>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</si>
  <si>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</si>
  <si>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</si>
  <si>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</si>
  <si>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</si>
  <si>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</si>
  <si>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</si>
  <si>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</si>
  <si>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</si>
  <si>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</si>
  <si>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</si>
  <si>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</si>
  <si>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</si>
  <si>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</si>
  <si>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</si>
  <si>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</si>
  <si>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</si>
  <si>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</si>
  <si>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</si>
  <si>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</si>
  <si>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</si>
  <si>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</si>
  <si>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</si>
  <si>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</si>
  <si>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</si>
  <si>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</si>
  <si>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</si>
  <si>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</si>
  <si>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</si>
  <si>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</si>
  <si>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</si>
  <si>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</si>
  <si>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</si>
  <si>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</si>
  <si>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</si>
  <si>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10.1016/j.ins.2025.122706</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</si>
  <si>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</si>
  <si>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</si>
  <si>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</si>
  <si>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</si>
  <si>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</si>
  <si>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</si>
  <si>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</si>
  <si>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</si>
  <si>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</si>
  <si>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</si>
  <si>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</si>
  <si>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</si>
  <si>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</si>
  <si>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</si>
  <si>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</si>
  <si>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</si>
  <si>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</si>
  <si>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</si>
  <si>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</si>
  <si>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</si>
  <si>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</si>
  <si>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</si>
  <si>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</si>
  <si>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</si>
  <si>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</si>
  <si>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</si>
  <si>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</si>
  <si>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</si>
  <si>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</si>
  <si>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</si>
  <si>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</si>
  <si>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</si>
  <si>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</si>
  <si>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</si>
  <si>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</si>
  <si>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</si>
  <si>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</si>
  <si>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</si>
  <si>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</si>
  <si>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</si>
  <si>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</si>
  <si>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</si>
  <si>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</si>
  <si>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</si>
  <si>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</si>
  <si>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</si>
  <si>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</si>
  <si>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</si>
  <si>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</si>
  <si>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</si>
  <si>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</si>
  <si>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</si>
  <si>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</si>
  <si>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</si>
  <si>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</si>
  <si>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</si>
  <si>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</si>
  <si>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</si>
  <si>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</si>
  <si>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</si>
  <si>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</si>
  <si>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</si>
  <si>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</si>
  <si>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</si>
  <si>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</si>
  <si>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</si>
  <si>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</si>
  <si>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</si>
  <si>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</si>
  <si>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</si>
  <si>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</si>
  <si>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</si>
  <si>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</si>
  <si>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</si>
  <si>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</si>
  <si>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</si>
  <si>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</si>
  <si>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</si>
  <si>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</si>
  <si>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</si>
  <si>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</si>
  <si>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</si>
  <si>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</si>
  <si>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</si>
  <si>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</si>
  <si>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</si>
  <si>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</si>
  <si>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</si>
  <si>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</si>
  <si>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</si>
  <si>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</si>
  <si>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</si>
  <si>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</si>
  <si>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</si>
  <si>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</si>
  <si>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</si>
  <si>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</si>
  <si>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</si>
  <si>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</si>
  <si>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</si>
  <si>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</si>
  <si>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</si>
  <si>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</si>
  <si>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</si>
  <si>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</si>
  <si>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</si>
  <si>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</si>
  <si>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</si>
  <si>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</si>
  <si>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</si>
  <si>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</si>
  <si>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</si>
  <si>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</si>
  <si>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</si>
  <si>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</si>
  <si>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</si>
  <si>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</si>
  <si>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</si>
  <si>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</si>
  <si>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</si>
  <si>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</si>
  <si>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</si>
  <si>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</si>
  <si>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</si>
  <si>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</si>
  <si>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</si>
  <si>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</si>
  <si>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</si>
  <si>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</si>
  <si>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</si>
  <si>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</si>
  <si>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</si>
  <si>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</si>
  <si>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</si>
  <si>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</si>
  <si>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</si>
  <si>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</si>
  <si>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</si>
  <si>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</si>
  <si>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</si>
  <si>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</si>
  <si>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</si>
  <si>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</si>
  <si>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</si>
  <si>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</si>
  <si>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</si>
  <si>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</si>
  <si>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</si>
  <si>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</si>
  <si>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</si>
  <si>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</si>
  <si>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</si>
  <si>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</si>
  <si>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</si>
  <si>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</si>
  <si>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</si>
  <si>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</si>
  <si>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</si>
  <si>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</si>
  <si>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</si>
  <si>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</si>
  <si>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</si>
  <si>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</si>
  <si>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</si>
  <si>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</si>
  <si>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</si>
  <si>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</si>
  <si>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</si>
  <si>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</si>
  <si>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</si>
  <si>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</si>
  <si>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</si>
  <si>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</si>
  <si>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</si>
  <si>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</si>
  <si>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</si>
  <si>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</si>
  <si>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</si>
  <si>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</si>
  <si>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</si>
  <si>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</si>
  <si>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</si>
  <si>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</si>
  <si>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</si>
  <si>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</si>
  <si>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</si>
  <si>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</si>
  <si>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</si>
  <si>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</si>
  <si>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</si>
  <si>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</si>
  <si>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</si>
  <si>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</si>
  <si>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</si>
  <si>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</si>
  <si>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</si>
  <si>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</si>
  <si>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</si>
  <si>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</si>
  <si>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</si>
  <si>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</si>
  <si>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</si>
  <si>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</si>
  <si>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</si>
  <si>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</si>
  <si>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</si>
  <si>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</si>
  <si>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</si>
  <si>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</si>
  <si>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</si>
  <si>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</si>
  <si>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</si>
  <si>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</si>
  <si>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</si>
  <si>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</si>
  <si>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</si>
  <si>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</si>
  <si>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</si>
  <si>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</si>
  <si>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</si>
  <si>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</si>
  <si>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</si>
  <si>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</si>
  <si>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</si>
  <si>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</si>
  <si>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</si>
  <si>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</si>
  <si>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</si>
  <si>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</si>
  <si>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</si>
  <si>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</si>
  <si>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</si>
  <si>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</si>
  <si>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</si>
  <si>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</si>
  <si>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</si>
  <si>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</si>
  <si>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</si>
  <si>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</si>
  <si>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</si>
  <si>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</si>
  <si>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</si>
  <si>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</si>
  <si>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</si>
  <si>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</si>
  <si>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</si>
  <si>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</si>
  <si>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</si>
  <si>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</si>
  <si>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</si>
  <si>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</si>
  <si>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</si>
  <si>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</si>
  <si>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</si>
  <si>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</si>
  <si>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</si>
  <si>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</si>
  <si>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</si>
  <si>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</si>
  <si>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</si>
  <si>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</si>
  <si>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</si>
  <si>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</si>
  <si>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</si>
  <si>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</si>
  <si>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</si>
  <si>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</si>
  <si>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</si>
  <si>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</si>
  <si>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</si>
  <si>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</si>
  <si>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</si>
  <si>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</si>
  <si>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</si>
  <si>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</si>
  <si>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</si>
  <si>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</si>
  <si>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</si>
  <si>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</si>
  <si>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</si>
  <si>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</si>
  <si>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</si>
  <si>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</si>
  <si>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</si>
  <si>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</si>
  <si>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</si>
  <si>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</si>
  <si>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</si>
  <si>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</si>
  <si>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</si>
  <si>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</si>
  <si>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</si>
  <si>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</si>
  <si>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</si>
  <si>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</si>
  <si>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</si>
  <si>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</si>
  <si>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</si>
  <si>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</si>
  <si>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</si>
  <si>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</si>
  <si>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</si>
  <si>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</si>
  <si>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</si>
  <si>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</si>
  <si>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</si>
  <si>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</si>
  <si>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</si>
  <si>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</si>
  <si>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</si>
  <si>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</si>
  <si>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</si>
  <si>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</si>
  <si>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</si>
  <si>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</si>
  <si>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</si>
  <si>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</si>
  <si>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</si>
  <si>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</si>
  <si>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</si>
  <si>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</si>
  <si>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</si>
  <si>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</si>
  <si>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</si>
  <si>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</si>
  <si>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</si>
  <si>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</si>
  <si>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</si>
  <si>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</si>
  <si>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</si>
  <si>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</si>
  <si>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</si>
  <si>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</si>
  <si>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</si>
  <si>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</si>
  <si>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</si>
  <si>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</si>
  <si>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</si>
  <si>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</si>
  <si>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</si>
  <si>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</si>
  <si>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</si>
  <si>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</si>
  <si>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</si>
  <si>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</si>
  <si>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</si>
  <si>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</si>
  <si>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</si>
  <si>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</si>
  <si>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</si>
  <si>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</si>
  <si>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</si>
  <si>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</si>
  <si>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</si>
  <si>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</si>
  <si>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</si>
  <si>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</si>
  <si>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</si>
  <si>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</si>
  <si>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</si>
  <si>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</si>
  <si>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</si>
  <si>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</si>
  <si>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</si>
  <si>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</si>
  <si>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</si>
  <si>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</si>
  <si>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</si>
  <si>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</si>
  <si>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</si>
  <si>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</si>
  <si>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</si>
  <si>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</si>
  <si>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</si>
  <si>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</si>
  <si>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</si>
  <si>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</si>
  <si>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</si>
  <si>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</si>
  <si>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</si>
  <si>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</si>
  <si>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</si>
  <si>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</si>
  <si>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</si>
  <si>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</si>
  <si>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</si>
  <si>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</si>
  <si>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</si>
  <si>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</si>
  <si>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</si>
  <si>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</si>
  <si>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</si>
  <si>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</si>
  <si>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</si>
  <si>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</si>
  <si>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</si>
  <si>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</si>
  <si>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</si>
  <si>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</si>
  <si>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</si>
  <si>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</si>
  <si>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</si>
  <si>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</si>
  <si>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</si>
  <si>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</si>
  <si>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</si>
  <si>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</si>
  <si>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</si>
  <si>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</si>
  <si>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</si>
  <si>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</si>
  <si>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</si>
  <si>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</si>
  <si>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</si>
  <si>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</si>
  <si>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</si>
  <si>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</si>
  <si>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</si>
  <si>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</si>
  <si>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</si>
  <si>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</si>
  <si>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</si>
  <si>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</si>
  <si>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</si>
  <si>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</si>
  <si>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</si>
  <si>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</si>
  <si>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</si>
  <si>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</si>
  <si>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</si>
  <si>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</si>
  <si>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</si>
  <si>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</si>
  <si>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</si>
  <si>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</si>
  <si>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</si>
  <si>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</si>
  <si>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</si>
  <si>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</si>
  <si>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</si>
  <si>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</si>
  <si>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</si>
  <si>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</si>
  <si>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</si>
  <si>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</si>
  <si>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</si>
  <si>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</si>
  <si>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</si>
  <si>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</si>
  <si>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</si>
  <si>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</si>
  <si>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</si>
  <si>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</si>
  <si>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</si>
  <si>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</si>
  <si>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</si>
  <si>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</si>
  <si>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</si>
  <si>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</si>
  <si>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</si>
  <si>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</si>
  <si>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</si>
  <si>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</si>
  <si>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</si>
  <si>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</si>
  <si>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</si>
  <si>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</si>
  <si>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</si>
  <si>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</si>
  <si>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</si>
  <si>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</si>
  <si>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</si>
  <si>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</si>
  <si>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</si>
  <si>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</si>
  <si>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</si>
  <si>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</si>
  <si>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</si>
  <si>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</si>
  <si>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</si>
  <si>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</si>
  <si>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</si>
  <si>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</si>
  <si>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</si>
  <si>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</si>
  <si>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</si>
  <si>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</si>
  <si>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</si>
  <si>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</si>
  <si>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</si>
  <si>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</si>
  <si>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</si>
  <si>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</si>
  <si>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</si>
  <si>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</si>
  <si>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</si>
  <si>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</si>
  <si>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</si>
  <si>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</si>
  <si>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</si>
  <si>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</si>
  <si>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</si>
  <si>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</si>
  <si>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</si>
  <si>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</si>
  <si>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</si>
  <si>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</si>
  <si>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</si>
  <si>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</si>
  <si>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</si>
  <si>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</si>
  <si>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</si>
  <si>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</si>
  <si>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</si>
  <si>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</si>
  <si>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</si>
  <si>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</si>
  <si>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</si>
  <si>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</si>
  <si>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</si>
  <si>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</si>
  <si>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</si>
  <si>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</si>
  <si>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</si>
  <si>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</si>
  <si>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</si>
  <si>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</si>
  <si>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</si>
  <si>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</si>
  <si>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</si>
  <si>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</si>
  <si>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</si>
  <si>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</si>
  <si>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</si>
  <si>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</si>
  <si>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</si>
  <si>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</si>
  <si>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</si>
  <si>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</si>
  <si>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</si>
  <si>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</si>
  <si>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</si>
  <si>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</si>
  <si>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</si>
  <si>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</si>
  <si>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</si>
  <si>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</si>
  <si>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</si>
  <si>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</si>
  <si>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</si>
  <si>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</si>
  <si>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</si>
  <si>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</si>
  <si>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</si>
  <si>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</si>
  <si>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</si>
  <si>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</si>
  <si>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</si>
  <si>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</si>
  <si>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</si>
  <si>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</si>
  <si>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</si>
  <si>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</si>
  <si>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</si>
  <si>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</si>
  <si>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</si>
  <si>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</si>
  <si>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</si>
  <si>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</si>
  <si>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</si>
  <si>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</si>
  <si>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</si>
  <si>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</si>
  <si>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</si>
  <si>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</si>
  <si>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</si>
  <si>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</si>
  <si>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</si>
  <si>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</si>
  <si>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</si>
  <si>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</si>
  <si>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</si>
  <si>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</si>
  <si>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</si>
  <si>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</si>
  <si>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</si>
  <si>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</si>
  <si>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</si>
  <si>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</si>
  <si>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</si>
  <si>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</si>
  <si>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</si>
  <si>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</si>
  <si>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</si>
  <si>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</si>
  <si>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</si>
  <si>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</si>
  <si>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</si>
  <si>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</si>
  <si>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</si>
  <si>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</si>
  <si>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</si>
  <si>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</si>
  <si>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</si>
  <si>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</si>
  <si>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</si>
  <si>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</si>
  <si>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</si>
  <si>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</si>
  <si>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</si>
  <si>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</si>
  <si>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</si>
  <si>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</si>
  <si>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</si>
  <si>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</si>
  <si>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</si>
  <si>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</si>
  <si>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</si>
  <si>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</si>
  <si>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</si>
  <si>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</si>
  <si>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</si>
  <si>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</si>
  <si>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</si>
  <si>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</si>
  <si>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</si>
  <si>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</si>
  <si>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</si>
  <si>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</si>
  <si>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</si>
  <si>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</si>
  <si>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</si>
  <si>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</si>
  <si>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</si>
  <si>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</si>
  <si>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</si>
  <si>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</si>
  <si>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</si>
  <si>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</si>
  <si>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</si>
  <si>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</si>
  <si>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</si>
  <si>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</si>
  <si>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</si>
  <si>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</si>
  <si>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</si>
  <si>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</si>
  <si>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</si>
  <si>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</si>
  <si>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</si>
  <si>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</si>
  <si>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</si>
  <si>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</si>
  <si>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</si>
  <si>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</si>
  <si>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</si>
  <si>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</si>
  <si>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</si>
  <si>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</si>
  <si>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</si>
  <si>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</si>
  <si>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</si>
  <si>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</si>
  <si>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</si>
  <si>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</si>
  <si>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</si>
  <si>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</si>
  <si>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</si>
  <si>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</si>
  <si>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</si>
  <si>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</si>
  <si>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</si>
  <si>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</si>
  <si>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</si>
  <si>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</si>
  <si>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</si>
  <si>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</si>
  <si>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</si>
  <si>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</si>
  <si>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</si>
  <si>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</si>
  <si>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</si>
  <si>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</si>
  <si>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</si>
  <si>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</si>
  <si>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</si>
  <si>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</si>
  <si>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</si>
  <si>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</si>
  <si>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</si>
  <si>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</si>
  <si>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</si>
  <si>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</si>
  <si>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</si>
  <si>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</si>
  <si>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</si>
  <si>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</si>
  <si>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</si>
  <si>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</si>
  <si>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</si>
  <si>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</si>
  <si>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</si>
  <si>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</si>
  <si>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</si>
  <si>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</si>
  <si>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</si>
  <si>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</si>
  <si>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</si>
  <si>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</si>
  <si>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</si>
  <si>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</si>
  <si>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</si>
  <si>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</si>
  <si>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</si>
  <si>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</si>
  <si>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</si>
  <si>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</si>
  <si>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</si>
  <si>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</si>
  <si>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</si>
  <si>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</si>
  <si>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</si>
  <si>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</si>
  <si>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</si>
  <si>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</si>
  <si>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</si>
  <si>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</si>
  <si>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</si>
  <si>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</si>
  <si>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</si>
  <si>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</si>
  <si>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</si>
  <si>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</si>
  <si>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</si>
  <si>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</si>
  <si>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</si>
  <si>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</si>
  <si>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</si>
  <si>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</si>
  <si>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</si>
  <si>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</si>
  <si>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</si>
  <si>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</si>
  <si>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</si>
  <si>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</si>
  <si>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</si>
  <si>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</si>
  <si>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</si>
  <si>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</si>
  <si>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</si>
  <si>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</si>
  <si>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</si>
  <si>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</si>
  <si>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</si>
  <si>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</si>
  <si>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</si>
  <si>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</si>
  <si>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</si>
  <si>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</si>
  <si>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</si>
  <si>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</si>
  <si>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</si>
  <si>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</si>
  <si>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</si>
  <si>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</si>
  <si>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</si>
  <si>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</si>
  <si>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</si>
  <si>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</si>
  <si>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</si>
  <si>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</si>
  <si>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</si>
  <si>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</si>
  <si>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</si>
  <si>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</si>
  <si>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</si>
  <si>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</si>
  <si>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</si>
  <si>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</si>
  <si>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</si>
  <si>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</si>
  <si>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</si>
  <si>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</si>
  <si>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</si>
  <si>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</si>
  <si>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</si>
  <si>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</si>
  <si>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</si>
  <si>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</si>
  <si>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</si>
  <si>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</si>
  <si>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</si>
  <si>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</si>
  <si>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</si>
  <si>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</si>
  <si>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</si>
  <si>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</si>
  <si>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</si>
  <si>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</si>
  <si>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</si>
  <si>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</si>
  <si>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</si>
  <si>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</si>
  <si>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</si>
  <si>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</si>
  <si>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</si>
  <si>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</si>
  <si>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</si>
  <si>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</si>
  <si>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</si>
  <si>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</si>
  <si>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</si>
  <si>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</si>
  <si>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</si>
  <si>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</si>
  <si>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</si>
  <si>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</si>
  <si>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</si>
  <si>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</si>
  <si>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</si>
  <si>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</si>
  <si>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</si>
  <si>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</si>
  <si>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</si>
  <si>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</si>
  <si>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</si>
  <si>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</si>
  <si>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</si>
  <si>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</si>
  <si>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</si>
  <si>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</si>
  <si>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</si>
  <si>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</si>
  <si>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</si>
  <si>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</si>
  <si>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</si>
  <si>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</si>
  <si>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</si>
  <si>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</si>
  <si>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</si>
  <si>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</si>
  <si>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</si>
  <si>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</si>
  <si>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</si>
  <si>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</si>
  <si>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</si>
  <si>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</si>
  <si>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</si>
  <si>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</si>
  <si>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</si>
  <si>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</si>
  <si>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</si>
  <si>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</si>
  <si>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</si>
  <si>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</si>
  <si>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</si>
  <si>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</si>
  <si>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</si>
  <si>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</si>
  <si>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</si>
  <si>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</si>
  <si>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</si>
  <si>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</si>
  <si>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</si>
  <si>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</si>
  <si>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</si>
  <si>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</si>
  <si>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</si>
  <si>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</si>
  <si>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</si>
  <si>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</si>
  <si>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</si>
  <si>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</si>
  <si>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</si>
  <si>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</si>
  <si>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</si>
  <si>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</si>
  <si>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</si>
  <si>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</si>
  <si>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</si>
  <si>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</si>
  <si>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</si>
  <si>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</si>
  <si>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</si>
  <si>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</si>
  <si>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</si>
  <si>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</si>
  <si>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</si>
  <si>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</si>
  <si>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</si>
  <si>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</si>
  <si>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</si>
  <si>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</si>
  <si>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</si>
  <si>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</si>
  <si>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</si>
  <si>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</si>
  <si>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</si>
  <si>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</si>
  <si>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</si>
  <si>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</si>
  <si>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</si>
  <si>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</si>
  <si>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</si>
  <si>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</si>
  <si>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</si>
  <si>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</si>
  <si>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</si>
  <si>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</si>
  <si>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</si>
  <si>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</si>
  <si>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</si>
  <si>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</si>
  <si>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</si>
  <si>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</si>
  <si>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</si>
  <si>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</si>
  <si>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</si>
  <si>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</si>
  <si>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</si>
  <si>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</si>
  <si>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</si>
  <si>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</si>
  <si>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</si>
  <si>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</si>
  <si>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</si>
  <si>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</si>
  <si>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</si>
  <si>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</si>
  <si>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</si>
  <si>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</si>
  <si>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</si>
  <si>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</si>
  <si>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</si>
  <si>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</si>
  <si>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</si>
  <si>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</si>
  <si>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</si>
  <si>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</si>
  <si>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</si>
  <si>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</si>
  <si>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</si>
  <si>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</si>
  <si>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</si>
  <si>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</si>
  <si>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</si>
  <si>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</si>
  <si>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</si>
  <si>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</si>
  <si>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</si>
  <si>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</si>
  <si>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</si>
  <si>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</si>
  <si>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</si>
  <si>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</si>
  <si>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</si>
  <si>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</si>
  <si>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</si>
  <si>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</si>
  <si>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</si>
  <si>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</si>
  <si>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</si>
  <si>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</si>
  <si>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</si>
  <si>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</si>
  <si>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</si>
  <si>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</si>
  <si>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</si>
  <si>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</si>
  <si>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</si>
  <si>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</si>
  <si>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</si>
  <si>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</si>
  <si>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</si>
  <si>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</si>
  <si>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</si>
  <si>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</si>
  <si>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</si>
  <si>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</si>
  <si>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</si>
  <si>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</si>
  <si>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</si>
  <si>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</si>
  <si>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</si>
  <si>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</si>
  <si>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</si>
  <si>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</si>
  <si>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</si>
  <si>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</si>
  <si>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</si>
  <si>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</si>
  <si>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</si>
  <si>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</si>
  <si>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</si>
  <si>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</si>
  <si>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</si>
  <si>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</si>
  <si>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</si>
  <si>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</si>
  <si>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</si>
  <si>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</si>
  <si>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</si>
  <si>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</si>
  <si>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</si>
  <si>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</si>
  <si>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</si>
  <si>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</si>
  <si>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</si>
  <si>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</si>
  <si>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</si>
  <si>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</si>
  <si>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</si>
  <si>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</si>
  <si>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</si>
  <si>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</si>
  <si>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</si>
  <si>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</si>
  <si>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</si>
  <si>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</si>
  <si>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</si>
  <si>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</si>
  <si>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</si>
  <si>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</si>
  <si>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</si>
  <si>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</si>
  <si>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</si>
  <si>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</si>
  <si>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</si>
  <si>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</si>
  <si>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</si>
  <si>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</si>
  <si>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</si>
  <si>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</si>
  <si>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</si>
  <si>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</si>
  <si>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</si>
  <si>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</si>
  <si>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</si>
  <si>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</si>
  <si>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</si>
  <si>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</si>
  <si>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</si>
  <si>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</si>
  <si>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</si>
  <si>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</si>
  <si>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</si>
  <si>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</si>
  <si>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</si>
  <si>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</si>
  <si>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</si>
  <si>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</si>
  <si>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</si>
  <si>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</si>
  <si>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</si>
  <si>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</si>
  <si>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</si>
  <si>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</si>
  <si>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</si>
  <si>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</si>
  <si>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</si>
  <si>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</si>
  <si>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</si>
  <si>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</si>
  <si>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</si>
  <si>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</si>
  <si>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</si>
  <si>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</si>
  <si>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</si>
  <si>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</si>
  <si>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</si>
  <si>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</si>
  <si>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</si>
  <si>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</si>
  <si>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</si>
  <si>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</si>
  <si>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</si>
  <si>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</si>
  <si>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</si>
  <si>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</si>
  <si>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</si>
  <si>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</si>
  <si>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</si>
  <si>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</si>
  <si>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</si>
  <si>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</si>
  <si>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</si>
  <si>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</si>
  <si>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</si>
  <si>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</si>
  <si>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</si>
  <si>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</si>
  <si>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</si>
  <si>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</si>
  <si>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</si>
  <si>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</si>
  <si>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</si>
  <si>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</si>
  <si>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</si>
  <si>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</si>
  <si>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</si>
  <si>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</si>
  <si>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</si>
  <si>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</si>
  <si>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</si>
  <si>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</si>
  <si>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</si>
  <si>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</si>
  <si>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</si>
  <si>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</si>
  <si>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</si>
  <si>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</si>
  <si>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</si>
  <si>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</si>
  <si>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</si>
  <si>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</si>
  <si>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</si>
  <si>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</si>
  <si>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</si>
  <si>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</si>
  <si>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</si>
  <si>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</si>
  <si>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</si>
  <si>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</si>
  <si>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</si>
  <si>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</si>
  <si>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</si>
  <si>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</si>
  <si>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</si>
  <si>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</si>
  <si>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</si>
  <si>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</si>
  <si>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</si>
  <si>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</si>
  <si>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</si>
  <si>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</si>
  <si>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</si>
  <si>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</si>
  <si>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</si>
  <si>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</si>
  <si>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</si>
  <si>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</si>
  <si>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</si>
  <si>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</si>
  <si>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</si>
  <si>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</si>
  <si>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</si>
  <si>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</si>
  <si>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</si>
  <si>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</si>
  <si>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</si>
  <si>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</si>
  <si>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</si>
  <si>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</si>
  <si>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</si>
  <si>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</si>
  <si>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</si>
  <si>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</si>
  <si>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</si>
  <si>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</si>
  <si>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</si>
  <si>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</si>
  <si>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</si>
  <si>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</si>
  <si>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</si>
  <si>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</si>
  <si>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</si>
  <si>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</si>
  <si>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</si>
  <si>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</si>
  <si>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</si>
  <si>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</si>
  <si>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</si>
  <si>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</si>
  <si>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</si>
  <si>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</si>
  <si>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</si>
  <si>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</si>
  <si>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</si>
  <si>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</si>
  <si>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</si>
  <si>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</si>
  <si>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</si>
  <si>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</si>
  <si>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</si>
  <si>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</si>
  <si>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</si>
  <si>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</si>
  <si>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</si>
  <si>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</si>
  <si>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</si>
  <si>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</si>
  <si>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</si>
  <si>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</si>
  <si>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</si>
  <si>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</si>
  <si>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</si>
  <si>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</si>
  <si>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</si>
  <si>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</si>
  <si>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</si>
  <si>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</si>
  <si>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</si>
  <si>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</si>
  <si>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</si>
  <si>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</si>
  <si>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</si>
  <si>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</si>
  <si>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</si>
  <si>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</si>
  <si>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</si>
  <si>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</si>
  <si>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</si>
  <si>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</si>
  <si>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</si>
  <si>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</si>
  <si>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</si>
  <si>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</si>
  <si>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</si>
  <si>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</si>
  <si>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</si>
  <si>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</si>
  <si>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</si>
  <si>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</si>
  <si>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</si>
  <si>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</si>
  <si>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</si>
  <si>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</si>
  <si>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</si>
  <si>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</si>
  <si>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</si>
  <si>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</si>
  <si>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</si>
  <si>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</si>
  <si>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</si>
  <si>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</si>
  <si>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</si>
  <si>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</si>
  <si>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</si>
  <si>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</si>
  <si>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</si>
  <si>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</si>
  <si>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</si>
  <si>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</si>
  <si>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</si>
  <si>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</si>
  <si>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</si>
  <si>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</si>
  <si>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</si>
  <si>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</si>
  <si>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</si>
  <si>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</si>
  <si>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</si>
  <si>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</si>
  <si>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</si>
  <si>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</si>
  <si>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</si>
  <si>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</si>
  <si>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</si>
  <si>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</si>
  <si>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</si>
  <si>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</si>
  <si>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</si>
  <si>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</si>
  <si>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</si>
  <si>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</si>
  <si>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</si>
  <si>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</si>
  <si>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</si>
  <si>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</si>
  <si>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</si>
  <si>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</si>
  <si>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</si>
  <si>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</si>
  <si>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</si>
  <si>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</si>
  <si>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</si>
  <si>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</si>
  <si>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</si>
  <si>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</si>
  <si>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</si>
  <si>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</si>
  <si>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</si>
  <si>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</si>
  <si>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</si>
  <si>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</si>
  <si>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</si>
  <si>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</si>
  <si>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</si>
  <si>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</si>
  <si>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</si>
  <si>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</si>
  <si>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</si>
  <si>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</si>
  <si>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</si>
  <si>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</si>
  <si>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</si>
  <si>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</si>
  <si>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</si>
  <si>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</si>
  <si>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</si>
  <si>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</si>
  <si>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</si>
  <si>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</si>
  <si>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</si>
  <si>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</si>
  <si>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</si>
  <si>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</si>
  <si>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</si>
  <si>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</si>
  <si>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</si>
  <si>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</si>
  <si>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</si>
  <si>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</si>
  <si>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</si>
  <si>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</si>
  <si>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</si>
  <si>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</si>
  <si>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</si>
  <si>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</si>
  <si>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</si>
  <si>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</si>
  <si>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</si>
  <si>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</si>
  <si>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</si>
  <si>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</si>
  <si>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</si>
  <si>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</si>
  <si>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</si>
  <si>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</si>
  <si>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</si>
  <si>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</si>
  <si>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</si>
  <si>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</si>
  <si>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</si>
  <si>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</si>
  <si>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</si>
  <si>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</si>
  <si>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</si>
  <si>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</si>
  <si>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</si>
  <si>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</si>
  <si>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</si>
  <si>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</si>
  <si>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</si>
  <si>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</si>
  <si>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</si>
  <si>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</si>
  <si>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</si>
  <si>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</si>
  <si>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</si>
  <si>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</si>
  <si>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</si>
  <si>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</si>
  <si>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</si>
  <si>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</si>
  <si>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</si>
  <si>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</si>
  <si>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</si>
  <si>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</si>
  <si>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</si>
  <si>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</si>
  <si>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</si>
  <si>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</si>
  <si>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</si>
  <si>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</si>
  <si>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</si>
  <si>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</si>
  <si>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</si>
  <si>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</si>
  <si>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</si>
  <si>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</si>
  <si>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</si>
  <si>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</si>
  <si>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</si>
  <si>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</si>
  <si>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</si>
  <si>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</si>
  <si>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</si>
  <si>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</si>
  <si>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</si>
  <si>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</si>
  <si>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</si>
  <si>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</si>
  <si>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</si>
  <si>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</si>
  <si>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</si>
  <si>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</si>
  <si>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</si>
  <si>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</si>
  <si>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</si>
  <si>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</si>
  <si>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</si>
  <si>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</si>
  <si>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</si>
  <si>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</si>
  <si>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</si>
  <si>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</si>
  <si>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</si>
  <si>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</si>
  <si>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</si>
  <si>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</si>
  <si>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</si>
  <si>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</si>
  <si>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</si>
  <si>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</si>
  <si>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</si>
  <si>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</si>
  <si>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</si>
  <si>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</si>
  <si>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</si>
  <si>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</si>
  <si>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</si>
  <si>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</si>
  <si>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</si>
  <si>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</si>
  <si>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</si>
  <si>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</si>
  <si>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</si>
  <si>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</si>
  <si>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</si>
  <si>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</si>
  <si>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</si>
  <si>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</si>
  <si>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</si>
  <si>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</si>
  <si>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</si>
  <si>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</si>
  <si>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</si>
  <si>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</si>
  <si>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</si>
  <si>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</si>
  <si>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</si>
  <si>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</si>
  <si>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</si>
  <si>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</si>
  <si>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</si>
  <si>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</si>
  <si>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</si>
  <si>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</si>
  <si>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</si>
  <si>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</si>
  <si>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</si>
  <si>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</si>
  <si>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</si>
  <si>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</si>
  <si>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</si>
  <si>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</si>
  <si>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</si>
  <si>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</si>
  <si>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</si>
  <si>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</si>
  <si>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</si>
  <si>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</si>
  <si>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</si>
  <si>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</si>
  <si>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</si>
  <si>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</si>
  <si>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</si>
  <si>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</si>
  <si>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</si>
  <si>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</si>
  <si>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</si>
  <si>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</si>
  <si>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</si>
  <si>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</si>
  <si>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</si>
  <si>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</si>
  <si>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</si>
  <si>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</si>
  <si>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</si>
  <si>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</si>
  <si>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</si>
  <si>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</si>
  <si>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</si>
  <si>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</si>
  <si>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</si>
  <si>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</si>
  <si>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</si>
  <si>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</si>
  <si>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</si>
  <si>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</si>
  <si>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</si>
  <si>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</si>
  <si>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</si>
  <si>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</si>
  <si>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</si>
  <si>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</si>
  <si>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</si>
  <si>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</si>
  <si>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</si>
  <si>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</si>
  <si>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</si>
  <si>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</si>
  <si>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</si>
  <si>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</si>
  <si>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</si>
  <si>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</si>
  <si>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</si>
  <si>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</si>
  <si>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</si>
  <si>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</si>
  <si>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</si>
  <si>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</si>
  <si>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</si>
  <si>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</si>
  <si>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</si>
  <si>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</si>
  <si>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</si>
  <si>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</si>
  <si>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</si>
  <si>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</si>
  <si>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</si>
  <si>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</si>
  <si>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</si>
  <si>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</si>
  <si>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</si>
  <si>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</si>
  <si>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</si>
  <si>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</si>
  <si>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</si>
  <si>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</si>
  <si>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</si>
  <si>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</si>
  <si>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</si>
  <si>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</si>
  <si>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</si>
  <si>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</si>
  <si>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</si>
  <si>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</si>
  <si>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</si>
  <si>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</si>
  <si>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</si>
  <si>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</si>
  <si>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</si>
  <si>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</si>
  <si>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</si>
  <si>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</si>
  <si>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</si>
  <si>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</si>
  <si>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</si>
  <si>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</si>
  <si>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</si>
  <si>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</si>
  <si>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</si>
  <si>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</si>
  <si>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</si>
  <si>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</si>
  <si>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</si>
  <si>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</si>
  <si>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</si>
  <si>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</si>
  <si>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</si>
  <si>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</si>
  <si>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</si>
  <si>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</si>
  <si>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</si>
  <si>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</si>
  <si>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</si>
  <si>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</si>
  <si>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</si>
  <si>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</si>
  <si>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</si>
  <si>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</si>
  <si>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</si>
  <si>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</si>
  <si>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</si>
  <si>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</si>
  <si>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</si>
  <si>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</si>
  <si>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</si>
  <si>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</si>
  <si>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</si>
  <si>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</si>
  <si>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</si>
  <si>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</si>
  <si>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</si>
  <si>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</si>
  <si>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</si>
  <si>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</si>
  <si>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</si>
  <si>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</si>
  <si>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</si>
  <si>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</si>
  <si>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</si>
  <si>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</si>
  <si>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</si>
  <si>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</si>
  <si>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</si>
  <si>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</si>
  <si>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</si>
  <si>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</si>
  <si>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</si>
  <si>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</si>
  <si>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</si>
  <si>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</si>
  <si>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</si>
  <si>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</si>
  <si>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</si>
  <si>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</si>
  <si>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</si>
  <si>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</si>
  <si>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</si>
  <si>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</si>
  <si>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</si>
  <si>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</si>
  <si>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</si>
  <si>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</si>
  <si>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</si>
  <si>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</si>
  <si>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</si>
  <si>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</si>
  <si>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</si>
  <si>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</si>
  <si>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</si>
  <si>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</si>
  <si>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</si>
  <si>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</si>
  <si>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</si>
  <si>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</si>
  <si>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</si>
  <si>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</si>
  <si>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</si>
  <si>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</si>
  <si>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</si>
  <si>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</si>
  <si>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</si>
  <si>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</si>
  <si>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</si>
  <si>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</si>
  <si>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</si>
  <si>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</si>
  <si>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</si>
  <si>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</si>
  <si>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</si>
  <si>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</si>
  <si>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</si>
  <si>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</si>
  <si>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</si>
  <si>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</si>
  <si>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</si>
  <si>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</si>
  <si>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</si>
  <si>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</si>
  <si>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</si>
  <si>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</si>
  <si>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</si>
  <si>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</si>
  <si>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</si>
  <si>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</si>
  <si>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</si>
  <si>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</si>
  <si>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</si>
  <si>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</si>
  <si>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</si>
  <si>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</si>
  <si>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</si>
  <si>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</si>
  <si>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</si>
  <si>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</si>
  <si>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</si>
  <si>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</si>
  <si>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</si>
  <si>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</si>
  <si>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</si>
  <si>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</si>
  <si>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</si>
  <si>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</si>
  <si>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</si>
  <si>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</si>
  <si>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</si>
  <si>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</si>
  <si>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</si>
  <si>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</si>
  <si>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</si>
  <si>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</si>
  <si>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</si>
  <si>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</si>
  <si>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</si>
  <si>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</si>
  <si>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</si>
  <si>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</si>
  <si>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</si>
  <si>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</si>
  <si>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</si>
  <si>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</si>
  <si>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</si>
  <si>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</si>
  <si>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</si>
  <si>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</si>
  <si>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</si>
  <si>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</si>
  <si>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</si>
  <si>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</si>
  <si>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</si>
  <si>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</si>
  <si>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</si>
  <si>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</si>
  <si>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</si>
  <si>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</si>
  <si>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</si>
  <si>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</si>
  <si>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</si>
  <si>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</si>
  <si>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</si>
  <si>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</si>
  <si>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</si>
  <si>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</si>
  <si>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</si>
  <si>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</si>
  <si>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</si>
  <si>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</si>
  <si>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</si>
  <si>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</si>
  <si>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</si>
  <si>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</si>
  <si>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</si>
  <si>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</si>
  <si>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</si>
  <si>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</si>
  <si>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</si>
  <si>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</si>
  <si>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</si>
  <si>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</si>
  <si>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</si>
  <si>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</si>
  <si>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</si>
  <si>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</si>
  <si>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</si>
  <si>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</si>
  <si>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</si>
  <si>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</si>
  <si>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</si>
  <si>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</si>
  <si>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</si>
  <si>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</si>
  <si>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</si>
  <si>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</si>
  <si>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</si>
  <si>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</si>
  <si>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</si>
  <si>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</si>
  <si>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</si>
  <si>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</si>
  <si>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</si>
  <si>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</si>
  <si>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</si>
  <si>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</si>
  <si>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</si>
  <si>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</si>
  <si>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</si>
  <si>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</si>
  <si>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</si>
  <si>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</si>
  <si>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</si>
  <si>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</si>
  <si>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</si>
  <si>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</si>
  <si>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</si>
  <si>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</si>
  <si>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</si>
  <si>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</si>
  <si>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</si>
  <si>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</si>
  <si>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</si>
  <si>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</si>
  <si>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</si>
  <si>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</si>
  <si>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</si>
  <si>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</si>
  <si>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</si>
  <si>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</si>
  <si>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</si>
  <si>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</si>
  <si>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</si>
  <si>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</si>
  <si>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</si>
  <si>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</si>
  <si>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</si>
  <si>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</si>
  <si>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</si>
  <si>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</si>
  <si>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</si>
  <si>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</si>
  <si>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</si>
  <si>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</si>
  <si>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</si>
  <si>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</si>
  <si>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</si>
  <si>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</si>
  <si>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</si>
  <si>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</si>
  <si>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</si>
  <si>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</si>
  <si>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</si>
  <si>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</si>
  <si>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</si>
  <si>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</si>
  <si>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</si>
  <si>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</si>
  <si>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</si>
  <si>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</si>
  <si>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</si>
  <si>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</si>
  <si>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</si>
  <si>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</si>
  <si>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</si>
  <si>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</si>
  <si>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</si>
  <si>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</si>
  <si>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</si>
  <si>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</si>
  <si>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</si>
  <si>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</si>
  <si>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</si>
  <si>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</si>
  <si>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</si>
  <si>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</si>
  <si>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</si>
  <si>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</si>
  <si>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</si>
  <si>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</si>
  <si>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</si>
  <si>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</si>
  <si>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</si>
  <si>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</si>
  <si>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</si>
  <si>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</si>
  <si>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</si>
  <si>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</si>
  <si>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</si>
  <si>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</si>
  <si>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</si>
  <si>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</si>
  <si>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</si>
  <si>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</si>
  <si>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</si>
  <si>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</si>
  <si>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</si>
  <si>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</si>
  <si>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</si>
  <si>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</si>
  <si>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</si>
  <si>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</si>
  <si>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</si>
  <si>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</si>
  <si>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</si>
  <si>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</si>
  <si>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</si>
  <si>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</si>
  <si>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</si>
  <si>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</si>
  <si>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</si>
  <si>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</si>
  <si>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</si>
  <si>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</si>
  <si>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</si>
  <si>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</si>
  <si>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</si>
  <si>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</si>
  <si>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</si>
  <si>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</si>
  <si>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</si>
  <si>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</si>
  <si>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</si>
  <si>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</si>
  <si>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</si>
  <si>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</si>
  <si>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</si>
  <si>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</si>
  <si>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</si>
  <si>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</si>
  <si>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</si>
  <si>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</si>
  <si>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</si>
  <si>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</si>
  <si>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</si>
  <si>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</si>
  <si>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</si>
  <si>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</si>
  <si>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</si>
  <si>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</si>
  <si>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</si>
  <si>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</si>
  <si>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</si>
  <si>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</si>
  <si>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</si>
  <si>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</si>
  <si>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</si>
  <si>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</si>
  <si>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</si>
  <si>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</si>
  <si>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</si>
  <si>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</si>
  <si>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</si>
  <si>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</si>
  <si>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</si>
  <si>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</si>
  <si>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</si>
  <si>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</si>
  <si>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</si>
  <si>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</si>
  <si>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</si>
  <si>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</si>
  <si>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</si>
  <si>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</si>
  <si>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</si>
  <si>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</si>
  <si>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</si>
  <si>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</si>
  <si>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</si>
  <si>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</si>
  <si>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</si>
  <si>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</si>
  <si>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</si>
  <si>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</si>
  <si>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</si>
  <si>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</si>
  <si>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</si>
  <si>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</si>
  <si>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</si>
  <si>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</si>
  <si>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</si>
  <si>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</si>
  <si>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</si>
  <si>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</si>
  <si>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</si>
  <si>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</si>
  <si>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</si>
  <si>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</si>
  <si>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</si>
  <si>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</si>
  <si>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</si>
  <si>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</si>
  <si>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</si>
  <si>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</si>
  <si>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</si>
  <si>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</si>
  <si>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</si>
  <si>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</si>
  <si>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</si>
  <si>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</si>
  <si>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</si>
  <si>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</si>
  <si>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</si>
  <si>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</si>
  <si>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</si>
  <si>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</si>
  <si>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</si>
  <si>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</si>
  <si>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</si>
  <si>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</si>
  <si>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</si>
  <si>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</si>
  <si>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</si>
  <si>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</si>
  <si>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</si>
  <si>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</si>
  <si>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</si>
  <si>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</si>
  <si>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</si>
  <si>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</si>
  <si>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</si>
  <si>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</si>
  <si>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</si>
  <si>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</si>
  <si>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</si>
  <si>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</si>
  <si>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</si>
  <si>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</si>
  <si>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</si>
  <si>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</si>
  <si>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</si>
  <si>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</si>
  <si>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</si>
  <si>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</si>
  <si>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</si>
  <si>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</si>
  <si>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</si>
  <si>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</si>
  <si>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</si>
  <si>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</si>
  <si>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</si>
  <si>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</si>
  <si>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</si>
  <si>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</si>
  <si>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</si>
  <si>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</si>
  <si>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</si>
  <si>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</si>
  <si>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</si>
  <si>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</si>
  <si>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</si>
  <si>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</si>
  <si>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</si>
  <si>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</si>
  <si>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</si>
  <si>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</si>
  <si>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</si>
  <si>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</si>
  <si>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</si>
  <si>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</si>
  <si>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</si>
  <si>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</si>
  <si>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</si>
  <si>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</si>
  <si>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</si>
  <si>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</si>
  <si>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</si>
  <si>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</si>
  <si>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</si>
  <si>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</si>
  <si>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</si>
  <si>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</si>
  <si>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</si>
  <si>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</si>
  <si>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</si>
  <si>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</si>
  <si>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</si>
  <si>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</si>
  <si>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</si>
  <si>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</si>
  <si>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</si>
  <si>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</si>
  <si>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</si>
  <si>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</si>
  <si>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</si>
  <si>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</si>
  <si>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</si>
  <si>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</si>
  <si>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</si>
  <si>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</si>
  <si>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</si>
  <si>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</si>
  <si>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</si>
  <si>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</si>
  <si>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</si>
  <si>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</si>
  <si>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</si>
  <si>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</si>
  <si>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</si>
  <si>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</si>
  <si>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</si>
  <si>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</si>
  <si>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</si>
  <si>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</si>
  <si>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</si>
  <si>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</si>
  <si>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</si>
  <si>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</si>
  <si>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</si>
  <si>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</si>
  <si>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</si>
  <si>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</si>
  <si>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</si>
  <si>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</si>
  <si>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</si>
  <si>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</si>
  <si>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</si>
  <si>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</si>
  <si>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</si>
  <si>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</si>
  <si>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</si>
  <si>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</si>
  <si>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</si>
  <si>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</si>
  <si>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</si>
  <si>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</si>
  <si>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</si>
  <si>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</si>
  <si>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</si>
  <si>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</si>
  <si>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</si>
  <si>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</si>
  <si>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</si>
  <si>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</si>
  <si>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</si>
  <si>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</si>
  <si>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</si>
  <si>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</si>
  <si>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</si>
  <si>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</si>
  <si>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</si>
  <si>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</si>
  <si>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</si>
  <si>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</si>
  <si>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</si>
  <si>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</si>
  <si>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</si>
  <si>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</si>
  <si>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</si>
  <si>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</si>
  <si>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</si>
  <si>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</si>
  <si>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</si>
  <si>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</si>
  <si>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</si>
  <si>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</si>
  <si>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</si>
  <si>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</si>
  <si>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</si>
  <si>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</si>
  <si>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</si>
  <si>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</si>
  <si>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</si>
  <si>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</si>
  <si>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</si>
  <si>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</si>
  <si>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</si>
  <si>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</si>
  <si>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</si>
  <si>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</si>
  <si>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</si>
  <si>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</si>
  <si>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</si>
  <si>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</si>
  <si>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</si>
  <si>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</si>
  <si>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</si>
  <si>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</si>
  <si>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</si>
  <si>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</si>
  <si>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</si>
  <si>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</si>
  <si>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</si>
  <si>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</si>
  <si>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</si>
  <si>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</si>
  <si>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</si>
  <si>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</si>
  <si>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</si>
  <si>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</si>
  <si>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</si>
  <si>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</si>
  <si>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</si>
  <si>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</si>
  <si>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</si>
  <si>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</si>
  <si>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</si>
  <si>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</si>
  <si>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</si>
  <si>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</si>
  <si>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</si>
  <si>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</si>
  <si>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</si>
  <si>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</si>
  <si>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</si>
  <si>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</si>
  <si>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</si>
  <si>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</si>
  <si>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</si>
  <si>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</si>
  <si>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</si>
  <si>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</si>
  <si>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</si>
  <si>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</si>
  <si>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</si>
  <si>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</si>
  <si>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</si>
  <si>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</si>
  <si>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</si>
  <si>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</si>
  <si>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</si>
  <si>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</si>
  <si>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</si>
  <si>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</si>
  <si>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</si>
  <si>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</si>
  <si>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</si>
  <si>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</si>
  <si>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</si>
  <si>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</si>
  <si>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</si>
  <si>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</si>
  <si>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</si>
  <si>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</si>
  <si>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</si>
  <si>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</si>
  <si>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</si>
  <si>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</si>
  <si>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</si>
  <si>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</si>
  <si>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</si>
  <si>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</si>
  <si>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</si>
  <si>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</si>
  <si>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</si>
  <si>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</si>
  <si>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</si>
  <si>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</si>
  <si>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</si>
  <si>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</si>
  <si>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</si>
  <si>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</si>
  <si>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</si>
  <si>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</si>
  <si>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</si>
  <si>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</si>
  <si>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</si>
  <si>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</si>
  <si>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</si>
  <si>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</si>
  <si>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</si>
  <si>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</si>
  <si>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</si>
  <si>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</si>
  <si>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</si>
  <si>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</si>
  <si>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</si>
  <si>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</si>
  <si>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</si>
  <si>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</si>
  <si>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</si>
  <si>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</si>
  <si>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</si>
  <si>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</si>
  <si>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</si>
  <si>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</si>
  <si>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</si>
  <si>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</si>
  <si>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</si>
  <si>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</si>
  <si>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</si>
  <si>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</si>
  <si>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</si>
  <si>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</si>
  <si>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</si>
  <si>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</si>
  <si>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</si>
  <si>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</si>
  <si>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</si>
  <si>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</si>
  <si>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</si>
  <si>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</si>
  <si>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</si>
  <si>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</si>
  <si>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</si>
  <si>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</si>
  <si>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</si>
  <si>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</si>
  <si>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</si>
  <si>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</si>
  <si>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</si>
  <si>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</si>
  <si>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</si>
  <si>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</si>
  <si>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</si>
  <si>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</si>
  <si>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</si>
  <si>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</si>
  <si>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</si>
  <si>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</si>
  <si>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</si>
  <si>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</si>
  <si>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</si>
  <si>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</si>
  <si>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</si>
  <si>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</si>
  <si>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</si>
  <si>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</si>
  <si>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</si>
  <si>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</si>
  <si>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</si>
  <si>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</si>
  <si>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</si>
  <si>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</si>
  <si>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</si>
  <si>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</si>
  <si>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</si>
  <si>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</si>
  <si>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</si>
  <si>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</si>
  <si>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</si>
  <si>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</si>
  <si>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</si>
  <si>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</si>
  <si>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</si>
  <si>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</si>
  <si>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</si>
  <si>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</si>
  <si>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</si>
  <si>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</si>
  <si>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</si>
  <si>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</si>
  <si>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</si>
  <si>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</si>
  <si>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</si>
  <si>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</si>
  <si>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</si>
  <si>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</si>
  <si>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</si>
  <si>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</si>
  <si>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</si>
  <si>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</si>
  <si>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</si>
  <si>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</si>
  <si>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</si>
  <si>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</si>
  <si>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</si>
  <si>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</si>
  <si>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</si>
  <si>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</si>
  <si>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</si>
  <si>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</si>
  <si>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</si>
  <si>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</si>
  <si>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</si>
  <si>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</si>
  <si>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</si>
  <si>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</si>
  <si>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</si>
  <si>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</si>
  <si>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</si>
  <si>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</si>
  <si>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</si>
  <si>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</si>
  <si>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</si>
  <si>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</si>
  <si>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</si>
  <si>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</si>
  <si>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</si>
  <si>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</si>
  <si>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</si>
  <si>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</si>
  <si>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</si>
  <si>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</si>
  <si>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</si>
  <si>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</si>
  <si>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</si>
  <si>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</si>
  <si>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</si>
  <si>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</si>
  <si>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</si>
  <si>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</si>
  <si>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</si>
  <si>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</si>
  <si>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</si>
  <si>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</si>
  <si>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</si>
  <si>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</si>
  <si>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</si>
  <si>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</si>
  <si>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</si>
  <si>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</si>
  <si>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</si>
  <si>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</si>
  <si>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</si>
  <si>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</si>
  <si>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</si>
  <si>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</si>
  <si>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</si>
  <si>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</si>
  <si>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</si>
  <si>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</si>
  <si>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</si>
  <si>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</si>
  <si>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</si>
  <si>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</si>
  <si>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</si>
  <si>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</si>
  <si>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</si>
  <si>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</si>
  <si>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</si>
  <si>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</si>
  <si>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</si>
  <si>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</si>
  <si>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</si>
  <si>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</si>
  <si>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</si>
  <si>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</si>
  <si>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</si>
  <si>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</si>
  <si>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</si>
  <si>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</si>
  <si>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</si>
  <si>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</si>
  <si>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</si>
  <si>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</si>
  <si>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</si>
  <si>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</si>
  <si>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</si>
  <si>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</si>
  <si>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</si>
  <si>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</si>
  <si>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</si>
  <si>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</si>
  <si>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</si>
  <si>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</si>
  <si>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</si>
  <si>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</si>
  <si>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</si>
  <si>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</si>
  <si>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</si>
  <si>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</si>
  <si>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</si>
  <si>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</si>
  <si>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</si>
  <si>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</si>
  <si>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</si>
  <si>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</si>
  <si>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</si>
  <si>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</si>
  <si>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</si>
  <si>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</si>
  <si>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</si>
  <si>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</si>
  <si>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</si>
  <si>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</si>
  <si>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</si>
  <si>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</si>
  <si>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</si>
  <si>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</si>
  <si>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</si>
  <si>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</si>
  <si>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</si>
  <si>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</si>
  <si>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</si>
  <si>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</si>
  <si>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</si>
  <si>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</si>
  <si>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</si>
  <si>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</si>
  <si>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</si>
  <si>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</si>
  <si>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</si>
  <si>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</si>
  <si>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</si>
  <si>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</si>
  <si>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</si>
  <si>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</si>
  <si>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</si>
  <si>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</si>
  <si>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</si>
  <si>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</si>
  <si>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</si>
  <si>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</si>
  <si>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</si>
  <si>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</si>
  <si>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</si>
  <si>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</si>
  <si>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</si>
  <si>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</si>
  <si>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</si>
  <si>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</si>
  <si>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</si>
  <si>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</si>
  <si>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</si>
  <si>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</si>
  <si>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</si>
  <si>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</si>
  <si>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</si>
  <si>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</si>
  <si>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</si>
  <si>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</si>
  <si>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</si>
  <si>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</si>
  <si>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</si>
  <si>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</si>
  <si>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</si>
  <si>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</si>
  <si>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</si>
  <si>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</si>
  <si>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</si>
  <si>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</si>
  <si>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</si>
  <si>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</si>
  <si>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</si>
  <si>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</si>
  <si>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</si>
  <si>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</si>
  <si>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</si>
  <si>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</si>
  <si>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</si>
  <si>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</si>
  <si>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</si>
  <si>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</si>
  <si>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</si>
  <si>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</si>
  <si>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</si>
  <si>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</si>
  <si>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</si>
  <si>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</si>
  <si>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</si>
  <si>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</si>
  <si>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</si>
  <si>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</si>
  <si>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</si>
  <si>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</si>
  <si>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</si>
  <si>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</si>
  <si>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</si>
  <si>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</si>
  <si>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</si>
  <si>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</si>
  <si>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</si>
  <si>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</si>
  <si>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</si>
  <si>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</si>
  <si>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</si>
  <si>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</si>
  <si>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</si>
  <si>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</si>
  <si>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</si>
  <si>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</si>
  <si>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</si>
  <si>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</si>
  <si>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</si>
  <si>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</si>
  <si>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</si>
  <si>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</si>
  <si>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</si>
  <si>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</si>
  <si>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</si>
  <si>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</si>
  <si>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</si>
  <si>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</si>
  <si>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</si>
  <si>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</si>
  <si>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</si>
  <si>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</si>
  <si>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</si>
  <si>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</si>
  <si>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</si>
  <si>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</si>
  <si>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</si>
  <si>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</si>
  <si>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</si>
  <si>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</si>
  <si>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</si>
  <si>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</si>
  <si>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</si>
  <si>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</si>
  <si>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</si>
  <si>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</si>
  <si>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</si>
  <si>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</si>
  <si>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</si>
  <si>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</si>
  <si>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</si>
  <si>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</si>
  <si>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</si>
  <si>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</si>
  <si>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</si>
  <si>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</si>
  <si>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</si>
  <si>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</si>
  <si>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</si>
  <si>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</si>
  <si>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</si>
  <si>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</si>
  <si>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</si>
  <si>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</si>
  <si>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</si>
  <si>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</si>
  <si>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</si>
  <si>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</si>
  <si>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</si>
  <si>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</si>
  <si>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</si>
  <si>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</si>
  <si>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</si>
  <si>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</si>
  <si>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</si>
  <si>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</si>
  <si>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</si>
  <si>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</si>
  <si>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</si>
  <si>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</si>
  <si>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</si>
  <si>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</si>
  <si>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</si>
  <si>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</si>
  <si>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</si>
  <si>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</si>
  <si>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</si>
  <si>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</si>
  <si>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</si>
  <si>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</si>
  <si>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</si>
  <si>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</si>
  <si>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</si>
  <si>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</si>
  <si>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</si>
  <si>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</si>
  <si>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</si>
  <si>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</si>
  <si>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</si>
  <si>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</si>
  <si>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</si>
  <si>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</si>
  <si>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</si>
  <si>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</si>
  <si>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</si>
  <si>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</si>
  <si>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</si>
  <si>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</si>
  <si>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</si>
  <si>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</si>
  <si>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</si>
  <si>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</si>
  <si>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</si>
  <si>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</si>
  <si>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</si>
  <si>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</si>
  <si>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</si>
  <si>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</si>
  <si>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</si>
  <si>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</si>
  <si>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</si>
  <si>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</si>
  <si>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</si>
  <si>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</si>
  <si>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</si>
  <si>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</si>
  <si>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</si>
  <si>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</si>
  <si>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</si>
  <si>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</si>
  <si>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</si>
  <si>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</si>
  <si>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</si>
  <si>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</si>
  <si>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</si>
  <si>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</si>
  <si>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</si>
  <si>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</si>
  <si>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</si>
  <si>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</si>
  <si>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</si>
  <si>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</si>
  <si>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</si>
  <si>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</si>
  <si>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</si>
  <si>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</si>
  <si>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</si>
  <si>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</si>
  <si>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</si>
  <si>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</si>
  <si>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</si>
  <si>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</si>
  <si>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</si>
  <si>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</si>
  <si>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</si>
  <si>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</si>
  <si>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</si>
  <si>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</si>
  <si>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</si>
  <si>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</si>
  <si>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</si>
  <si>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</si>
  <si>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</si>
  <si>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</si>
  <si>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</si>
  <si>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</si>
  <si>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</si>
  <si>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</si>
  <si>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</si>
  <si>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</si>
  <si>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</si>
  <si>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</si>
  <si>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</si>
  <si>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</si>
  <si>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</si>
  <si>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</si>
  <si>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</si>
  <si>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</si>
  <si>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</si>
  <si>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</si>
  <si>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</si>
  <si>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</si>
  <si>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</si>
  <si>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</si>
  <si>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</si>
  <si>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</si>
  <si>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</si>
  <si>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</si>
  <si>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</si>
  <si>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</si>
  <si>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</si>
  <si>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</si>
  <si>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</si>
  <si>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</si>
  <si>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</si>
  <si>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</si>
  <si>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</si>
  <si>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</si>
  <si>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</si>
  <si>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</si>
  <si>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</si>
  <si>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</si>
  <si>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</si>
  <si>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</si>
  <si>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</si>
  <si>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</si>
  <si>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</si>
  <si>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</si>
  <si>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</si>
  <si>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</si>
  <si>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</si>
  <si>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</si>
  <si>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</si>
  <si>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</si>
  <si>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</si>
  <si>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</si>
  <si>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</si>
  <si>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</si>
  <si>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</si>
  <si>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</si>
  <si>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</si>
  <si>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</si>
  <si>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</si>
  <si>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</si>
  <si>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</si>
  <si>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</si>
  <si>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</si>
  <si>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</si>
  <si>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</si>
  <si>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</si>
  <si>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</si>
  <si>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</si>
  <si>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</si>
  <si>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</si>
  <si>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</si>
  <si>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</si>
  <si>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</si>
  <si>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</si>
  <si>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</si>
  <si>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</si>
  <si>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</si>
  <si>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</si>
  <si>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</si>
  <si>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</si>
  <si>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</si>
  <si>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</si>
  <si>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</si>
  <si>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</si>
  <si>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</si>
  <si>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</si>
  <si>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</si>
  <si>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</si>
  <si>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</si>
  <si>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</si>
  <si>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</si>
  <si>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</si>
  <si>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</si>
  <si>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</si>
  <si>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</si>
  <si>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</si>
  <si>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</si>
  <si>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</si>
  <si>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</si>
  <si>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</si>
  <si>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</si>
  <si>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</si>
  <si>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</si>
  <si>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</si>
  <si>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</si>
  <si>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</si>
  <si>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</si>
  <si>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</si>
  <si>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</si>
  <si>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</si>
  <si>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</si>
  <si>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</si>
  <si>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</si>
  <si>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</si>
  <si>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</si>
  <si>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</si>
  <si>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</si>
  <si>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</si>
  <si>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</si>
  <si>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</si>
  <si>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</si>
  <si>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</si>
  <si>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</si>
  <si>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</si>
  <si>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</si>
  <si>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</si>
  <si>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</si>
  <si>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</si>
  <si>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</si>
  <si>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</si>
  <si>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</si>
  <si>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</si>
  <si>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</si>
  <si>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</si>
  <si>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</si>
  <si>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</si>
  <si>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</si>
  <si>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</si>
  <si>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</si>
  <si>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</si>
  <si>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</si>
  <si>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</si>
  <si>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</si>
  <si>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</si>
  <si>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</si>
  <si>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</si>
  <si>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</si>
  <si>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</si>
  <si>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</si>
  <si>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</si>
  <si>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</si>
  <si>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</si>
  <si>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</si>
  <si>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</si>
  <si>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</si>
  <si>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</si>
  <si>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</si>
  <si>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</si>
  <si>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</si>
  <si>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</si>
  <si>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</si>
  <si>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</si>
  <si>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</si>
  <si>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</si>
  <si>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</si>
  <si>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</si>
  <si>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</si>
  <si>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</si>
  <si>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</si>
  <si>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</si>
  <si>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</si>
  <si>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</si>
  <si>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</si>
  <si>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</si>
  <si>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</si>
  <si>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</si>
  <si>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</si>
  <si>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</si>
  <si>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</si>
  <si>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</si>
  <si>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</si>
  <si>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</si>
  <si>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</si>
  <si>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</si>
  <si>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</si>
  <si>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</si>
  <si>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</si>
  <si>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</si>
  <si>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</si>
  <si>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</si>
  <si>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</si>
  <si>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</si>
  <si>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</si>
  <si>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</si>
  <si>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</si>
  <si>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</si>
  <si>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</si>
  <si>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</si>
  <si>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</si>
  <si>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</si>
  <si>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</si>
  <si>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</si>
  <si>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</si>
  <si>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</si>
  <si>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</si>
  <si>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</si>
  <si>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</si>
  <si>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</si>
  <si>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</si>
  <si>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</si>
  <si>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</si>
  <si>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</si>
  <si>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</si>
  <si>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</si>
  <si>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</si>
  <si>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</si>
  <si>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</si>
  <si>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</si>
  <si>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</si>
  <si>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</si>
  <si>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</si>
  <si>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</si>
  <si>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</si>
  <si>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</si>
  <si>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</si>
  <si>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</si>
  <si>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</si>
  <si>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</si>
  <si>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</si>
  <si>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</si>
  <si>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</si>
  <si>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</si>
  <si>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</si>
  <si>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</si>
  <si>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</si>
  <si>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</si>
  <si>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</si>
  <si>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</si>
  <si>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</si>
  <si>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</si>
  <si>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</si>
  <si>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</si>
  <si>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</si>
  <si>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</si>
  <si>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</si>
  <si>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</si>
  <si>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</si>
  <si>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</si>
  <si>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</si>
  <si>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</si>
  <si>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</si>
  <si>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</si>
  <si>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</si>
  <si>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</si>
  <si>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</si>
  <si>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</si>
  <si>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</si>
  <si>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</si>
  <si>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</si>
  <si>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</si>
  <si>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</si>
  <si>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</si>
  <si>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</si>
  <si>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</si>
  <si>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</si>
  <si>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</si>
  <si>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</si>
  <si>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</si>
  <si>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</si>
  <si>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</si>
  <si>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</si>
  <si>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</si>
  <si>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</si>
  <si>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</si>
  <si>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</si>
  <si>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</si>
  <si>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</si>
  <si>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</si>
  <si>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</si>
  <si>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</si>
  <si>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</si>
  <si>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</si>
  <si>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</si>
  <si>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</si>
  <si>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</si>
  <si>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</si>
  <si>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</si>
  <si>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</si>
  <si>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</si>
  <si>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</si>
  <si>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</si>
  <si>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</si>
  <si>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</si>
  <si>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</si>
  <si>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</si>
  <si>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</si>
  <si>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</si>
  <si>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</si>
  <si>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</si>
  <si>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</si>
  <si>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</si>
  <si>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</si>
  <si>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</si>
  <si>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</si>
  <si>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</si>
  <si>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</si>
  <si>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</si>
  <si>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</si>
  <si>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</si>
  <si>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</si>
  <si>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</si>
  <si>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</si>
  <si>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</si>
  <si>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</si>
  <si>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</si>
  <si>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</si>
  <si>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</si>
  <si>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</si>
  <si>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</si>
  <si>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</si>
  <si>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</si>
  <si>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</si>
  <si>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</si>
  <si>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</si>
  <si>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</si>
  <si>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</si>
  <si>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</si>
  <si>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</si>
  <si>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</si>
  <si>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</si>
  <si>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</si>
  <si>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</si>
  <si>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</si>
  <si>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</si>
  <si>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</si>
  <si>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</si>
  <si>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</si>
  <si>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</si>
  <si>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</si>
  <si>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</si>
  <si>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</si>
  <si>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</si>
  <si>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</si>
  <si>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</si>
  <si>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</si>
  <si>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</si>
  <si>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</si>
  <si>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</si>
  <si>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</si>
  <si>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</si>
  <si>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</si>
  <si>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</si>
  <si>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</si>
  <si>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</si>
  <si>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</si>
  <si>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</si>
  <si>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</si>
  <si>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</si>
  <si>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</si>
  <si>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</si>
  <si>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</si>
  <si>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</si>
  <si>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</si>
  <si>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</si>
  <si>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</si>
  <si>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</si>
  <si>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</si>
  <si>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</si>
  <si>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</si>
  <si>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</si>
  <si>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</si>
  <si>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</si>
  <si>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</si>
  <si>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</si>
  <si>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</si>
  <si>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</si>
  <si>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</si>
  <si>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</si>
  <si>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</si>
  <si>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</si>
  <si>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</si>
  <si>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</si>
  <si>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</si>
  <si>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</si>
  <si>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</si>
  <si>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</si>
  <si>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</si>
  <si>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</si>
  <si>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</si>
  <si>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</si>
  <si>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</si>
  <si>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</si>
  <si>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</si>
  <si>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</si>
  <si>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</si>
  <si>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</si>
  <si>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</si>
  <si>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</si>
  <si>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</si>
  <si>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</si>
  <si>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</si>
  <si>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</si>
  <si>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</si>
  <si>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</si>
  <si>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</si>
  <si>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</si>
  <si>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</si>
  <si>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</si>
  <si>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</si>
  <si>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</si>
  <si>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</si>
  <si>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</si>
  <si>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</si>
  <si>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</si>
  <si>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</si>
  <si>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</si>
  <si>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</si>
  <si>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</si>
  <si>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</si>
  <si>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</si>
  <si>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</si>
  <si>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</si>
  <si>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</si>
  <si>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</si>
  <si>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</si>
  <si>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</si>
  <si>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</si>
  <si>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</si>
  <si>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</si>
  <si>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</si>
  <si>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</si>
  <si>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</si>
  <si>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</si>
  <si>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</si>
  <si>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</si>
  <si>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</si>
  <si>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</si>
  <si>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</si>
  <si>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</si>
  <si>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</si>
  <si>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Records screened at title stage</t>
  </si>
  <si>
    <t>Complete Stage 1 title screen. E8 amendment of 26 Sep 2026 applied to the three thesis records on 4 Oct 2026.</t>
  </si>
  <si>
    <t>Records excluded at title stage</t>
  </si>
  <si>
    <t>S1 - TITLE - EXCLUDE final Zotero count after E8 thesis re-screen. E8 amendment of 26 Sep 2026 applied to the three thesis records on 4 Oct 2026.</t>
  </si>
  <si>
    <t>Records carried forward after title screening</t>
  </si>
  <si>
    <t>S1 - TITLE - INCLUDE final count after E8 thesis re-screen. E8 amendment of 26 Sep 2026 applied to the three thesis records on 4 Oct 2026.</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</si>
  <si>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</si>
  <si>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</si>
  <si>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</si>
  <si>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</si>
  <si>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Records screened at abstract stage</t>
  </si>
  <si>
    <t>1181 frozen Stage 2 records in stage_2_abstract_screening_FINAL_20260927.xlsx + 3 thesis records in E8 addendum. E8 amendment of 26 Sep 2026 applied to the three thesis records on 4 Oct 2026.</t>
  </si>
  <si>
    <t>Abstracts retrieved/repaired before Stage 2 screening</t>
  </si>
  <si>
    <t>Abstracts retrieved or repaired before abstract screening.</t>
  </si>
  <si>
    <t>Records excluded at abstract stage</t>
  </si>
  <si>
    <t>Final Stage 2 EXCLUDE count after correction of S2-0307 on 4 Oct 2026 from EXCLUDE E2 to INCLUDE. E8 amendment of 26 Sep 2026 applied to the three thesis records on 4 Oct 2026; none of the three theses was excluded at abstract stage.</t>
  </si>
  <si>
    <t>Records carried forward to full text</t>
  </si>
  <si>
    <t>353 INCLUDE + 11 MAYBE. Includes S2-0307 after correction from EXCLUDE E2 to INCLUDE on 4 Oct 2026. E8 amendment of 26 Sep 2026 applied to the three thesis records on 4 Oct 2026.</t>
  </si>
  <si>
    <t>Stage 2 INCLUDE</t>
  </si>
  <si>
    <t>Final Stage 2 INCLUDE count including the three E8 thesis records and S2-0307, corrected from EXCLUDE E2 to INCLUDE on 4 Oct 2026.</t>
  </si>
  <si>
    <t>Stage 2 MAYBE</t>
  </si>
  <si>
    <t>Final Stage 2 MAYBE count. E8 amendment of 26 Sep 2026 applied to the three thesis records on 4 Oct 2026; none of the three theses was MAYBE.</t>
  </si>
  <si>
    <t>Calibration agreement</t>
  </si>
  <si>
    <t>47/50 (94%)</t>
  </si>
  <si>
    <t>Original blind re-screen agreement: 47/50 (94%) primary and 46/50 (92%) secondary. No decisions were changed during the original calibration adjudication. S2-0307 was subsequently corrected from EXCLUDE E2 to INCLUDE on 4 October 2026 after separate audit review.</t>
  </si>
  <si>
    <t>Stage 2 exclusions – E2</t>
  </si>
  <si>
    <t>Final Stage 2 EXCLUDE – E2 count after S2-0307 was corrected from EXCLUDE E2 to INCLUDE on 4 Oct 2026.</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</si>
  <si>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</si>
  <si>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</si>
  <si>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</si>
  <si>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</si>
  <si>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</si>
  <si>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</si>
  <si>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</si>
  <si>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</si>
  <si>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</si>
  <si>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74 INCLUDE + 9 MAYBE. Includes S2-0307 after correction from EXCLUDE E2 to INCLUDE on 4 Oct 2026.</t>
  </si>
  <si>
    <t>Records carried forward – Strand B-ii</t>
  </si>
  <si>
    <t>72 INCLUDE + 0 MAYBE. E8 amendment of 26 Sep 2026 applied to the three thesis records on 4 Oct 2026.</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</si>
  <si>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</si>
  <si>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</si>
  <si>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</si>
  <si>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</si>
  <si>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</si>
  <si>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</si>
  <si>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</si>
  <si>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</si>
  <si>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</si>
  <si>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</si>
  <si>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</si>
  <si>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</si>
  <si>
    <t>Codes and fixed rules for the full-text stage</t>
  </si>
  <si>
    <t>Wording adopted 5 October 2026 (ruling R1); manifest §2.3 uses the same wording. Rules of use: full_text_screening_instructions_v1.0_20261005.md.</t>
  </si>
  <si>
    <t>Code</t>
  </si>
  <si>
    <t>Full-text exclusion reason</t>
  </si>
  <si>
    <t>E1</t>
  </si>
  <si>
    <t>Not about CAVs / not the target technology</t>
  </si>
  <si>
    <t>E2</t>
  </si>
  <si>
    <t>Fails the strand test — A: not about perception, concern, privacy or security; B-i: not an empirical classifier comparison; B-ii: not about prevalence or class-prior estimation</t>
  </si>
  <si>
    <t>E3</t>
  </si>
  <si>
    <t>No empirical content: editorial, commentary, position piece, keynote, poster or abstract-only item, tutorial outline, panel or workshop summary</t>
  </si>
  <si>
    <t>E4</t>
  </si>
  <si>
    <t>Not English</t>
  </si>
  <si>
    <t>E5</t>
  </si>
  <si>
    <t>Outside the publication window</t>
  </si>
  <si>
    <t>E6</t>
  </si>
  <si>
    <t>Full text unavailable (at Stage 2: no abstract and no locatable full text)</t>
  </si>
  <si>
    <t>E7</t>
  </si>
  <si>
    <t>Duplicate missed at deduplication, or duplicate contribution</t>
  </si>
  <si>
    <t>E8</t>
  </si>
  <si>
    <t>Wrong publication type: whole proceedings volume, front matter, table of contents. Theses are eligible</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</si>
  <si>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</si>
  <si>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</si>
  <si>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</si>
  <si>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</si>
  <si>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</si>
  <si>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</si>
  <si>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</si>
  <si>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</si>
  <si>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Sub-reason (E2 only)</t>
  </si>
  <si>
    <t>Meaning</t>
  </si>
  <si>
    <t>A-evidence</t>
  </si>
  <si>
    <t>No data collected from or about people</t>
  </si>
  <si>
    <t>A-outcome</t>
  </si>
  <si>
    <t>Data from people, but no perception result</t>
  </si>
  <si>
    <t>Bi-language</t>
  </si>
  <si>
    <t>Cross-lingual or low-resource-language transfer is the primary contribution</t>
  </si>
  <si>
    <t>Bi-text</t>
  </si>
  <si>
    <t>Not short user-generated text</t>
  </si>
  <si>
    <t>Bi-modality</t>
  </si>
  <si>
    <t>Input is not text alone</t>
  </si>
  <si>
    <t>Bi-zeroshot</t>
  </si>
  <si>
    <t>No zero-shot or prompted arm</t>
  </si>
  <si>
    <t>Bi-finetuned</t>
  </si>
  <si>
    <t>No supervised fine-tuned arm</t>
  </si>
  <si>
    <t>Bi-direct</t>
  </si>
  <si>
    <t>Arms not compared on the same task and test data</t>
  </si>
  <si>
    <t>Bi-task</t>
  </si>
  <si>
    <t>Not a classification task (ruling R8)</t>
  </si>
  <si>
    <t>Bii-estimand</t>
  </si>
  <si>
    <t>No prevalence or class-prior estimate and no output correction</t>
  </si>
  <si>
    <t>Bii-calibration</t>
  </si>
  <si>
    <t>Confidence calibration only</t>
  </si>
  <si>
    <t>Bii-adaptation</t>
  </si>
  <si>
    <t>Domain adaptation with no class-prior estimand</t>
  </si>
  <si>
    <t>Bii-othersense</t>
  </si>
  <si>
    <t>"Quantification" or "prior" used in another sense</t>
  </si>
  <si>
    <t>Note</t>
  </si>
  <si>
    <t>Add "(not established)" after the sub-reason where an element could not be located in the paper within the time limit (decision D4).</t>
  </si>
  <si>
    <t>Survey · Interview/focus group · Experiment · Online-discourse analysis · Mixed · Secondary data</t>
  </si>
  <si>
    <t>n; who; country; year collected — or: platform; n items; period</t>
  </si>
  <si>
    <t>Privacy, data handling or security measured? Y/N</t>
  </si>
  <si>
    <t>Longitudinal: the same measure at two or more points in time? Y/N</t>
  </si>
  <si>
    <t>Subsystem-resolved: concern attributed to named components, not to the vehicle as a whole? Y/N</t>
  </si>
  <si>
    <t>The two arms, written as ZS: model / FT: model</t>
  </si>
  <si>
    <t>platform; task; language; n test items</t>
  </si>
  <si>
    <t>Higher-scoring arm on the paper's main metric: FT · ZS · Mixed</t>
  </si>
  <si>
    <t>Cost of either arm reported (money or compute)? Y/N</t>
  </si>
  <si>
    <t>Class prevalence estimated or corrected? Y/N</t>
  </si>
  <si>
    <t>Method · Theory · Application · Review/benchmark</t>
  </si>
  <si>
    <t>data type; domain</t>
  </si>
  <si>
    <t>Covers ACC? Y/N</t>
  </si>
  <si>
    <t>Covers EM/SLD? Y/N</t>
  </si>
  <si>
    <t>Text or social-media data? Y/N</t>
  </si>
  <si>
    <t>Method, Sample/Data and the three tags are filled for INCLUDE only. A tag is Y only when the paper says so, and never changes a decision.</t>
  </si>
  <si>
    <t>Values</t>
  </si>
  <si>
    <t>Published · Accepted manuscript · Preprint · Thesis · Not retrieved</t>
  </si>
  <si>
    <t>No.</t>
  </si>
  <si>
    <t>Case</t>
  </si>
  <si>
    <t>Ruling</t>
  </si>
  <si>
    <t>Records it was applied to</t>
  </si>
  <si>
    <t>R1</t>
  </si>
  <si>
    <t>The log's code key and manifest §2.3 defined E3, E6, E7 and E8 differently, and the key had no row for E1</t>
  </si>
  <si>
    <t>One wording in both places (Codes tab). Abstract-only items, posters, tutorial outlines and workshop reports are E3; E8 is only a whole proceedings volume, front matter or a table of contents; E7 includes duplicate contributions; E6 at this stage means the full text could not be obtained.</t>
  </si>
  <si>
    <t>R2</t>
  </si>
  <si>
    <t>Studies of AI, robots or "smart" technology in general</t>
  </si>
  <si>
    <t>Passes A1 only if results for CAVs, or a closely coupled component, are reported separately. Otherwise E1.</t>
  </si>
  <si>
    <t>R3</t>
  </si>
  <si>
    <t>Vehicles that are not road vehicles in traffic: sidewalk robots, drones, trains, ships</t>
  </si>
  <si>
    <t>E1. Driverless road vehicles used as shuttles, buses, taxis or for delivery are CAVs.</t>
  </si>
  <si>
    <t>R4</t>
  </si>
  <si>
    <t>Moral-dilemma studies (how an automated vehicle should decide)</t>
  </si>
  <si>
    <t>Passes if it reports data from people about their attitudes to the vehicle's decisions.</t>
  </si>
  <si>
    <t>R5</t>
  </si>
  <si>
    <t>Prompt-based methods that train on a few labelled examples (prompt tuning, pattern-exploiting training, few-shot fine-tuning)</t>
  </si>
  <si>
    <t>Counts as the prompted arm. The fine-tuned arm is conventional supervised fine-tuning on a labelled training set.</t>
  </si>
  <si>
    <t>R6</t>
  </si>
  <si>
    <t>"Zero-shot" used to mean transfer: a classifier trained on labelled data for the same task in another domain, applied to new data</t>
  </si>
  <si>
    <t>Not a zero-shot arm, because the model was trained on labelled examples of the task. Transfer between languages is already covered by the locked criterion.</t>
  </si>
  <si>
    <t>R7</t>
  </si>
  <si>
    <t>The only supervised models are classical or trained from scratch (SVM, logistic regression, LSTM); no pretrained model is fine-tuned</t>
  </si>
  <si>
    <t>Fails: no supervised fine-tuned arm (Bi-finetuned).</t>
  </si>
  <si>
    <t>R8</t>
  </si>
  <si>
    <t>The task is not classification: regression (intensity scores), sequence labelling (named entities), generation, translation quality</t>
  </si>
  <si>
    <t>Fails E2, sub-reason Bi-task.</t>
  </si>
  <si>
    <t>R9</t>
  </si>
  <si>
    <t>Several datasets, only some of them short user-generated text; or a text type the manifest does not name (survey free text, chat messages, support tickets)</t>
  </si>
  <si>
    <t>Passes if both arms are reported on at least one dataset of a named type. Each unnamed type is decided once and recorded here.</t>
  </si>
  <si>
    <t>R10</t>
  </si>
  <si>
    <t>Reviews, surveys, shared-task overviews</t>
  </si>
  <si>
    <t>A full article whose subject is prevalence estimation or prior/label-shift correction passes, with Method = Review/benchmark. Tutorial outlines and workshop reports fall to R1.</t>
  </si>
  <si>
    <t>R11</t>
  </si>
  <si>
    <t>Methods that are robust or invariant to prior shift, or that predict accuracy under shift, without producing a class-distribution estimate or rescaling classifier outputs</t>
  </si>
  <si>
    <t>Fails E2 (Bii-estimand).</t>
  </si>
  <si>
    <t>R12</t>
  </si>
  <si>
    <t>Technical reports, unpublished manuscripts and book chapters</t>
  </si>
  <si>
    <t>Eligible; judged on content; type recorded.</t>
  </si>
  <si>
    <t>Full-text sessions and progress</t>
  </si>
  <si>
    <t>Fill one row per session in the table below (row 18 onwards). The block above it updates by itself.</t>
  </si>
  <si>
    <t>Total</t>
  </si>
  <si>
    <t>Records</t>
  </si>
  <si>
    <t>Included</t>
  </si>
  <si>
    <t>Excluded</t>
  </si>
  <si>
    <t>Decided</t>
  </si>
  <si>
    <t>Left</t>
  </si>
  <si>
    <t>Complete</t>
  </si>
  <si>
    <t>Planning rate (minutes per record)</t>
  </si>
  <si>
    <t>Estimates from full_text_screening_instructions_v1.0_20261005.md, Part 10. Used until a session is logged for the strand.</t>
  </si>
  <si>
    <t>Measured rate (minutes per record)</t>
  </si>
  <si>
    <t>Minutes logged ÷ records logged, from the table below.</t>
  </si>
  <si>
    <t>Hours left (screening only)</t>
  </si>
  <si>
    <t>Records left × rate. Excludes retrieval, the consistency check and closing.</t>
  </si>
  <si>
    <t>Records done</t>
  </si>
  <si>
    <t>Minutes</t>
  </si>
  <si>
    <t>Rulings added</t>
  </si>
  <si>
    <t>Commit</t>
  </si>
  <si>
    <t>INCLUDE</t>
  </si>
  <si>
    <t>Survey</t>
  </si>
  <si>
    <t>n=207; online survey respondents; France; Dec 2019</t>
  </si>
  <si>
    <t>Published</t>
  </si>
  <si>
    <t>§3.1–3.2; 207 French respondents evaluated Level-5 AV privacy, security, trust and intention after viewing a five-minute AV video.</t>
  </si>
  <si>
    <t>Y</t>
  </si>
  <si>
    <t>N</t>
  </si>
  <si>
    <t>EXCLUDE</t>
  </si>
  <si>
    <t>Preprint</t>
  </si>
  <si>
    <t>§4.1–4.2; BERT is evaluated on JMBX, while zero-shot LLMs use a 200-tweet sample; same test data are not established.</t>
  </si>
  <si>
    <t>Online-discourse analysis</t>
  </si>
  <si>
    <t>Twitter: 4,642 tweets; Reddit: 13,337 comments; AV-related public discourse; collection period not stated</t>
  </si>
  <si>
    <t>Overall Twitter/Reddit sentiment was predominantly negative; accidents and road hazards dominated, while privacy and cybersecurity concerns were less frequent.</t>
  </si>
  <si>
    <t>Direct online-discourse comparator measuring AV privacy/security concerns, but not longitudinal and not subsystem-resolved to specific CAV components.</t>
  </si>
  <si>
    <t>§3.1, §4.1–4.4; 4,642 tweets and 13,337 Reddit comments analysed for AV concerns, including privacy/cybersecurity; sentiment was predominantly negative.</t>
  </si>
  <si>
    <t>Interview/focus group</t>
  </si>
  <si>
    <t>n=11 AV experts, international; n=34 public participants, Australia; collection year not stated</t>
  </si>
  <si>
    <t>§3–5.3.5; 11 experts and 34 public participants were interviewed/focus-grouped; themes included trust, sensor reliability and cybersecurity/hacking concerns.</t>
  </si>
  <si>
    <t>n=148; public respondents; India; online survey; collection year not stated</t>
  </si>
  <si>
    <t>§III–IV; online survey of 148 Indian respondents measured AV acceptance, anxiety and perceived safety; respondents showed greater comfort with higher autonomy.</t>
  </si>
  <si>
    <t>n=209; licensed U.S. drivers aged 18+; United States; online survey; collection year not stated</t>
  </si>
  <si>
    <t>Abstract; survey of 209 U.S. drivers found perceived cyber threat negatively influenced trust in autonomous vehicles.</t>
  </si>
  <si>
    <t>Experiment</t>
  </si>
  <si>
    <t>n=366 questionnaire respondents; 752 valid eye-tracking participants; museum visitors; Germany; one-year collection period, year not stated</t>
  </si>
  <si>
    <t>§2.2–3.1; VR experiment measured AV trust, anxiety, ease and intention across manual, semi-autonomous, autonomous and taxi conditions.</t>
  </si>
  <si>
    <t>n=316; young people aged 18–35; China; online survey; 4–25 Nov 2022</t>
  </si>
  <si>
    <t>§4.1–5.2; survey measured SAV trust, perceived security risk and privacy risk; security risk negatively affected initial trust.</t>
  </si>
  <si>
    <t>n=393; cyclists with cycling experience; China; online and offline questionnaire; collection year not stated</t>
  </si>
  <si>
    <t>§III–IV; 393 cyclists surveyed on AV shared-road safety perception, technology cognition and risk-taking intention; safety perception significantly influenced intention.</t>
  </si>
  <si>
    <t>§2 Methodology; thematic literature survey analyses selected sources, not data collected from or about people.</t>
  </si>
  <si>
    <t>n=696; visitors to US national parks; United States; online Qualtrics survey; Summer 2022</t>
  </si>
  <si>
    <t>§3–3.2, §5.2.2; 696 respondents assessed AV adoption and concern; concern included data privacy/security and AV sensor failure/design, and higher AV concern significantly reduced adoption intention.</t>
  </si>
  <si>
    <t>n=3317 road-transport respondents; EU member and non-member countries; online Drive2theFuture pre-acceptance questionnaire; collection period not stated</t>
  </si>
  <si>
    <t>§3–5.1; online questionnaire measured automated-road-vehicle acceptance, perceived risk and attitudes in 3317 respondents; privacy concerns were also reported as an acceptance-related factor.</t>
  </si>
  <si>
    <t>n=150; Turkish public; 95 male and 55 female participants; Turkey; online survey; collection period not stated</t>
  </si>
  <si>
    <t>§2–4; online survey measured AV acceptance, trust, safety and cybersecurity concern; respondents were asked about hacking, system-security breaches and information/data theft, and the study found continuing safety/security trust concerns.</t>
  </si>
  <si>
    <t>n=1800; residents of eight US cities; 900 pilot-city and 900 non-pilot-city respondents; United States; online Qualtrics panel; April 2020</t>
  </si>
  <si>
    <t>§Data and methods–Results; survey measured driverless-shuttle acceptance and a software-security concern factor covering software bugs, hacking and location-data sharing; pilot-city respondents had lower security concerns, and security concerns negatively predicted adoption in non-pilot cities.</t>
  </si>
  <si>
    <t>Mixed</t>
  </si>
  <si>
    <t>n=178; public and potential AV users; multinational, mainly French and Austrian; late Jan–mid-May 2024</t>
  </si>
  <si>
    <t>§3.1–4.2; survey of 178 participants measured AV cyber-attack vulnerability, safety, trust and acceptance; older respondents reported greater security concern.</t>
  </si>
  <si>
    <t>n=693; Chinese public; China; web-based Sojump questionnaire; collection year not stated</t>
  </si>
  <si>
    <t>§3.1–4.2; web survey of 693 Chinese participants measured level-4 AV acceptance, technology anxiety and trust; anxiety reduced perceived usefulness.</t>
  </si>
  <si>
    <t>&gt;410 survey responses from potential self-driving-car users plus expert interviews; country/year collected not stated</t>
  </si>
  <si>
    <t>Abstract, §7; &gt;410-person survey and expert interviews; findings link culture and social class to AV behavioural intention.</t>
  </si>
  <si>
    <t>n=1000 in 2018 and n=1000 in 2020; representative US adults; United States; 2018 and 2020</t>
  </si>
  <si>
    <t>§3–4, Fig. 1; two 1000-person US survey waves measured AV support, willingness to use and safety concern in 2018 and 2020.</t>
  </si>
  <si>
    <t>n=1237; autonomous-vehicle non-users; United States; collection year not stated</t>
  </si>
  <si>
    <t>§3, Tables 15 and 40; 1237 U.S. AV non-users surveyed; perceived privacy risk and intention to use were measured.</t>
  </si>
  <si>
    <t>n=523; intelligent connected vehicle users; China; year collected not stated</t>
  </si>
  <si>
    <t>§3.1–3.2; 523 Chinese ICV users surveyed on data-security risk perception and coping behaviours, including prior leakage/hacking experience.</t>
  </si>
  <si>
    <t>n=36; 24 licensed teen drivers aged 16–19 and 12 parents; United States; year collected not stated</t>
  </si>
  <si>
    <t>§Methods–Results; five focus groups with 24 teen drivers and 12 parents examined ADAS trust, data privacy, cybersecurity and feature-specific preferences.</t>
  </si>
  <si>
    <t>n=302; Dubai residents aged 18+; Dubai, UAE; online survey; Dec 2024–Feb 2025</t>
  </si>
  <si>
    <t>§6.2–6.3; 302 Dubai residents assessed AV acceptance and cyber risk; hacking concern was the strongest negative predictor of behavioural intention.</t>
  </si>
  <si>
    <t>n=2265; nationally representative U.S. adults; United States; 4 May–10 Jun 2022</t>
  </si>
  <si>
    <t>§Maximizing Impact–Broadening Support; nationally representative experiment measured AV support before and after social-benefit scenarios; baseline support 26.4%, rising to 49.7–54.3%.</t>
  </si>
  <si>
    <t>Secondary data</t>
  </si>
  <si>
    <t>n not stated; Deloitte survey respondents; Germany; 2016 survey/report</t>
  </si>
  <si>
    <t>§3–4; Deloitte survey data analysed by AHP; participants prioritised security/safety and rated named factors including sensors and vehicle communications.</t>
  </si>
  <si>
    <t>n=468; NIO vehicle owners; China; 15 Dec 2024–10 Jan 2025</t>
  </si>
  <si>
    <t>§3.1–4; 468 NIO owners surveyed on ICV data-security risk perception and behavioural intentions; product knowledge was strongest predictor of behavioural intentions.</t>
  </si>
  <si>
    <t>n=108 usable responses; Australian public and stakeholders; Australia; 2023</t>
  </si>
  <si>
    <t>§3–4; Australian survey measured AV acceptance, benefits and risks; respondents reported awareness of safety and security risks.</t>
  </si>
  <si>
    <t>n=30 preliminary survey; n=20 experiment, 19 valid; participants from 7 countries/regions; collection year not stated</t>
  </si>
  <si>
    <t>§3, §5; preliminary survey plus repeated-session experiment; HMI increased AV trust, with separate trust results for LLM and BEV components.</t>
  </si>
  <si>
    <t>n=723; Tehran residents aged 18+; Tehran, Iran; online Epoll survey; Jul–Aug 2021</t>
  </si>
  <si>
    <t>§Research methodology–Data analysis; 723 respondents assessed SAVWRS perceived risks, trust and usage intention; security risk significantly reduced intention and was fully mediated by trust.</t>
  </si>
  <si>
    <t>n=6 licensed drivers aged 23–45; Auckland, New Zealand; expert interview n not stated; year collected not stated</t>
  </si>
  <si>
    <t>§II–III, Table II; six-driver real-road user study and expert interviews measured trust, privacy and security; trust increased after driving.</t>
  </si>
  <si>
    <t>n=809; Australian adults aged 18+; Australia; mid-Oct–early Nov 2022</t>
  </si>
  <si>
    <t>§4–5; 809 Australian adults surveyed; perceived data privacy significantly predicted trust, attitude and behavioural intention toward fully automated vehicles.</t>
  </si>
  <si>
    <t>n=584; US respondents; United States; online SurveyMonkey survey; Mar 2017</t>
  </si>
  <si>
    <t>§2.1–2.2, Table 1; 584-person survey measured AV safety, hacking and personal-information privacy concerns; privacy was the most prevalent concern.</t>
  </si>
  <si>
    <t>n=891 valid; rural residents aged 18+; rural China; web-based questionnaire; 4–14 Aug 2022</t>
  </si>
  <si>
    <t>§3.3–4.3, Table 7; 891 rural Chinese residents surveyed; loss of privacy significantly reduced behavioural intention to adopt AVs.</t>
  </si>
  <si>
    <t>n=116; European respondents; online survey in six languages; collection period not stated</t>
  </si>
  <si>
    <t>§4.2, Fig. 7; 116 European respondents ranked AV acceptance factors; simultaneity and trust in technology were highest priorities.</t>
  </si>
  <si>
    <t>n=192; Austrian consumers; Austria; anonymous online LimeSurvey questionnaire in German and English; collection period not stated</t>
  </si>
  <si>
    <t>§3–4, Table 6; 192 Austrian consumers surveyed on AV acceptance and concerns; cybersecurity concern was directly measured and averaged 3.82/5.</t>
  </si>
  <si>
    <t>n=208; Saudi Arabian public; Saudi Arabia; online survey; 9–23 May 2025</t>
  </si>
  <si>
    <t>§III–V; 208 Saudi respondents assessed AV acceptance; privacy/security concerns included hacking, misuse of personal data and unauthorised external control.</t>
  </si>
  <si>
    <t>n=1008; Australian licensed drivers aged 60–98; National Seniors Australia members/affiliates; Australia; Jul–Nov 2021</t>
  </si>
  <si>
    <t>§2–4, Table 1; 1008 older Australian drivers assessed ADAS acceptance, trust and risk; data-privacy vulnerability was directly measured and privacy concerns were common.</t>
  </si>
  <si>
    <t>n=201; Italian-speaking, Italy-based adults; Italy; online Qualtrics questionnaire; May–Jul 2022 and Dec 2022–Jan 2023</t>
  </si>
  <si>
    <t>§Materials and Methods–Discussion; 201 Italian participants assessed SAE Level 3 AV acceptance; perceived privacy risk directly measured data sharing/hacking concerns and significantly reduced behavioural intention.</t>
  </si>
  <si>
    <t>n=20; young people aged 18–24; China; semi-structured interviews and role play; collection year not stated</t>
  </si>
  <si>
    <t>§3–5; 20 young participants explored L4/L5 automated-driving acceptance and needs; 90% were willing to use AVs, while privacy leaks were raised specifically for inter-vehicle connectivity.</t>
  </si>
  <si>
    <t>n=10 semi-structured interview participants aged 60–88 plus n=113 survey participants aged 59–90; country not stated; interviews Mar 2018, survey subsequently</t>
  </si>
  <si>
    <t>§2–4; interviews and validation survey examined elderly users’ SAE Level 5 AV risks and benefits; surveillance and hacking were among the strongest perceived risks.</t>
  </si>
  <si>
    <t>n=153; autonomous-vehicle demonstration participants/general public; BTC City, Ljubljana, Slovenia; post-experience survey; Apr 2019</t>
  </si>
  <si>
    <t>§III–IV; 153 participants were surveyed immediately after automated-driving demonstrations; cybersecurity was one of the leading perceived barriers to wider AV deployment.</t>
  </si>
  <si>
    <t>n=159; general public of driving age, aged 20–60+; sample country not stated; online survey; collection year not stated</t>
  </si>
  <si>
    <t>§III–IV; 159 respondents assessed self-driving-vehicle adoption and concerns; privacy was an adoption predictor and security/reliability was treated as part of safety.</t>
  </si>
  <si>
    <t>n=17 complete respondents; licensed US drivers/convenience sample across multiple US states; United States; online SurveyMonkey pilot survey; collection year not stated</t>
  </si>
  <si>
    <t>§3–5; 17 complete pilot responses validated TAM-based measures of autonomous-vehicle perceived cyber threat and trust; PCT and LOT constructs showed acceptable internal reliability after item refinement.</t>
  </si>
  <si>
    <t>n=54 survey participants plus four focus groups of 5–10 participants each; TrustMe self-driving bus project; empirical sample location and collection period not stated</t>
  </si>
  <si>
    <t>§2.4, §4.2–4.3; survey and focus groups examined trust and safety requirements for self-driving buses; trust was most associated with comfort and reliance, while safety was framed more objectively.</t>
  </si>
  <si>
    <t>n=773; international public sample across 50 countries; online Qualtrics survey; Feb–Mar 2019</t>
  </si>
  <si>
    <t>Baymax' or 'RoboCop'? Exploring Different Feminine Avatar Personalities for Shared Automated Vehicles</t>
  </si>
  <si>
    <t>n=899; residents/students from Bristol and South Gloucestershire; United Kingdom; online stated-preference survey; collection period not stated</t>
  </si>
  <si>
    <t>§2–3; 899 participants compared private and shared Level 5 AV service scenarios; fewer than half would use any AV alternative and Shared Automated Taxi was least accepted at 38.9%.</t>
  </si>
  <si>
    <t>n=509; residents aged 18+; State of Qatar; Arabic/English online Qualtrics questionnaire; collection period not stated</t>
  </si>
  <si>
    <t>§4–5; 509 Qatar residents assessed AV safety, security and adoption; 66.8% expressed concern about securing autonomous driving systems from hackers, while 65% would shift to AVs overall.</t>
  </si>
  <si>
    <t>n=168 survey respondents from 14 countries, including n=130 UK; follow-up focus group n=6; survey 5–19 Aug 2021; focus group 21 Aug 2021</t>
  </si>
  <si>
    <t>n=115 autonomous-shuttle users plus supplementary n=42 non-users; Esch-sur-Alzette, Luxembourg; user data collected Dec 2024 and May 2025</t>
  </si>
  <si>
    <t>§III–IV; on-board survey assessed autonomous-shuttle acceptance, safety, reliability and accessibility; supervisor presence was strongly reassuring and many respondents were uncomfortable travelling without immediate human support.</t>
  </si>
  <si>
    <t>n=19 industry experts; 83% Germany, 12% USA, 5% UK; automotive, telecommunications, innovation, research and consultancy stakeholders; collection period not stated</t>
  </si>
  <si>
    <t>§3–6; 19 semi-structured expert interviews identified V2X challenges including data security, privacy, cyber-attack exposure, trust, acceptance and regulatory responsibility.</t>
  </si>
  <si>
    <t>n=351 analysed; Indonesian civil servants expected to relocate to Nusantara; Indonesia; convenience-sampled questionnaire; Oct–Nov 2022</t>
  </si>
  <si>
    <t>§Methods–Conclusion; cluster analysis segmented potential AV adopters using adoption factors including emotional safety, perceived safety and trust; four adopter clusters were identified. Abstract reports 356 participants but Methods reports final analytical sample n=351.</t>
  </si>
  <si>
    <t>n=3111; college students; Mainland China; online questionnaire; 27 Apr–15 May 2022</t>
  </si>
  <si>
    <t>§3–Results; 3111 college students assessed CAV cognition and attitudes across safety, privacy, liability, education and acceptance; privacy evaluations varied significantly by gender and student status.</t>
  </si>
  <si>
    <t>n=27565; respondents aged 15+ across EU member states; Eurobarometer 92.1; in-person household survey; 2019</t>
  </si>
  <si>
    <t>§Methods–Discussion; secondary analysis compared comfort with fully automated vehicles under in-car, remote and no human supervision; data privacy and willingness to share data were consistently important predictors of comfort.</t>
  </si>
  <si>
    <t>n=9 internationally recognised AV experts with hands-on higher-level AV experience; international expert group; online workshop; 27 Jul 2021</t>
  </si>
  <si>
    <t>§Methods–Discussion; expert workshop conceptualised AV user comfort and discomfort; AV-specific concerns included privacy, remote-operator access and use of route/location information.</t>
  </si>
  <si>
    <t>n=7 semi-structured interview participants plus n=100 valid online-survey participants aged 19–68; Western European/German convenience sample; collection period not stated</t>
  </si>
  <si>
    <t>§2–4; interviews and survey examined autonomous/connected-driving data storage, processing and distribution; users preferred the driver as data decision maker and the own car as data receiver.</t>
  </si>
  <si>
    <t>n=635 cleaned Twitter entries analysed for 2020 plus relevant German/Germany-linked Reddit posts/comments; German-speaking social media; source posts span 2013–2021</t>
  </si>
  <si>
    <t>§2–4; mixed-method social-media analysis found cybersecurity, surveillance and misuse of personal data among the strongest concerns around connected driving, including V2X/V2V/V2I.</t>
  </si>
  <si>
    <t>n=843 valid new-energy-vehicle/ADAS users; Guangdong-Hong Kong-Macao Greater Bay Area, China; questionnaire; collection period not stated</t>
  </si>
  <si>
    <t>§Methods–Conclusion; 843 ADAS users rated usefulness, convenience, quality, perceived risk, willingness and satisfaction; perceived risk and technical limitations significantly hindered satisfaction.</t>
  </si>
  <si>
    <t>n=237 licensed drivers aged 18–62; Hong Kong; face-to-face cross-sectional questionnaire in public car parks; collection period not stated</t>
  </si>
  <si>
    <t>§III–V; 237 Hong Kong drivers assessed SAE Level 3 AV acceptance; perceived privacy risk was directly measured but did not significantly predict usefulness or trust.</t>
  </si>
  <si>
    <t>n=1019 analysed adult licensed drivers aged 18–85; all 50 US states; random-digit-dial CATI survey; Sep–Nov 2013</t>
  </si>
  <si>
    <t>§2–4; nationwide survey compared generations’ attitudes to advanced and connected-vehicle technologies; majorities across generations were concerned about inappropriate data access and system hacking.</t>
  </si>
  <si>
    <t>n=11882 Weibo posts; China; Apollo Go-related posts; 29 May–15 Aug 2024</t>
  </si>
  <si>
    <t>§2–4; LDA and sentiment analysis identified accident/privacy as a major Apollo Go topic; users raised privacy-invasion and data-leakage concerns associated with in-car cameras.</t>
  </si>
  <si>
    <t>n=1831 valid residents from first-, second- and third-tier Chinese cities; online Sojump survey; Mar–Apr 2021</t>
  </si>
  <si>
    <t>§3–5; 1831 respondents assessed psychological and policy determinants of AV adoption; perceived playfulness and information dissemination were the strongest predictors of adoption intention.</t>
  </si>
  <si>
    <t>n=20 road users/experts; United Kingdom; five workshops, four online and one in-person; Nov 2023–Jan 2024</t>
  </si>
  <si>
    <t>§3–5; participants evaluated three digital-road scenarios involving AI monitoring and connected vehicles; major themes included privacy, data security, cyberattacks, data storage and third-party use.</t>
  </si>
  <si>
    <t>n=611 adults aged 18+; Turkey; convenience-sampled online questionnaire distributed through social media; May–Jun 2021</t>
  </si>
  <si>
    <t>§3–6; 611 Turkish respondents assessed AV perceived advantage, risk, safety and intention to use; advantage and safety increased intention while perceived system-failure risk reduced it.</t>
  </si>
  <si>
    <t>n=1673 stated-preference responses plus n=21 semi-structured interviews; two-wheeler riders/experts across five districts of Telangana, India; Dec 2021–Feb 2022</t>
  </si>
  <si>
    <t>§3–4; study modelled Indian two-wheeler riders’ AV adoption using trust, perceived risk and acceptance constructs; privacy leakage was directly included within perceived risk.</t>
  </si>
  <si>
    <t>n=274 licensed drivers aged 17–70; Western European/German sample; online V2X acceptance study; collection period not stated</t>
  </si>
  <si>
    <t>§3–5; 274 participants evaluated data sharing across infotainment and traffic-optimisation V2X scenarios, including data types, receivers, storage and privacy; substantial reluctance to share private information with companies or other road users was observed.</t>
  </si>
  <si>
    <t>n=21 focus-group participants plus n=1065 valid questionnaire respondents; licensed drivers across China; focus groups followed by online survey; collection period not stated</t>
  </si>
  <si>
    <t>§2–4; Chinese drivers evaluated connected-vehicle information-system functions and interfaces; privacy expectations concerning location, driving-intention and driving-state data significantly contributed to attitudes toward CVIS.</t>
  </si>
  <si>
    <t>n=2062 adults; Australia, New Zealand, United Kingdom and United States; online cross-country survey; collection period not stated</t>
  </si>
  <si>
    <t>§3–4; 2062 adults were assessed on AV cyber-risk liability, data concerns, data sharing and software patching/updates; about 70% expressed cyber-related liability concerns and higher concern was associated with lower adoption intention.</t>
  </si>
  <si>
    <t>n=3097 UK transport users aged 18+ across five generations; nationally representative online Forsta survey; collection period not stated</t>
  </si>
  <si>
    <t>§II–IV; 3097 UK transport users were surveyed on CAV/MaaS trust, acceptance, ownership and data sharing; willingness to share travel-related data varied across generations and privacy concerns remained evident among younger cohorts.</t>
  </si>
  <si>
    <t>n=167 students and staff, predominantly aged 18–30; University of Bristol, United Kingdom; web-based pilot survey; collection period not stated</t>
  </si>
  <si>
    <t>§3–5; pilot survey examined CAV adoption using perceived privacy risk, willingness to share information, trust, ease of use and cultural bias; privacy risk was directly measured but did not significantly predict willingness to share information or use CAVs.</t>
  </si>
  <si>
    <t>n=280 in Study 1 and n=238 in Study 2; online video-based participants recruited predominantly through Prolific; participant geography/collection period not stated</t>
  </si>
  <si>
    <t>§4–7; two between-subjects experiments evaluated visualisation of AV trajectory prediction and manoeuvre planning; planned-trajectory visualisation increased trust and predicted-trajectory visualisation increased perceived safety.</t>
  </si>
  <si>
    <t>n=1266; adults; Marmara region, Türkiye; Google Forms/social-media survey; two months in 2023 (paper reports Nov–Oct 2023)</t>
  </si>
  <si>
    <t>§3.1, Appendix A; n=1266 survey directly measured AV data security, privacy, cyberattack and communication-security concerns; these negatively predicted green behaviour.</t>
  </si>
  <si>
    <t>n=21; British private-car users with car-sharing experience; England, United Kingdom; five-day online asynchronous focus group; May 2019</t>
  </si>
  <si>
    <t>§2–3.4.5; 21 UK drivers discussed SAV acceptance; cybersecurity, privacy, software hacking, trip-history access and secure storage emerged within the security theme.</t>
  </si>
  <si>
    <t>n=489; actual fully driverless robotaxi users; Beijing, Guangdong, Chongqing and Wuhan, China; purposive self-administered survey; Aug–Sep 2024</t>
  </si>
  <si>
    <t>§5–6; 489 recent robotaxi users assessed post-adoption satisfaction; perceived personal/property security significantly predicted satisfaction with fully driverless services.</t>
  </si>
  <si>
    <t>n=110; adults aged 21–66; V2X questionnaire; participant country and collection period not stated</t>
  </si>
  <si>
    <t>§2–3.3; n=110 V2X survey measured personal-data disclosure and storage by local infrastructure and central servers; long-term central storage was least accepted.</t>
  </si>
  <si>
    <t>n=413; Twin Cities metropolitan-area residents; Minneapolis–St Paul, USA; Qualtrics/Facebook/Instagram survey; 3 Jul 2020–9 Jan 2021</t>
  </si>
  <si>
    <t>§Survey Background–Results; 413 Twin Cities residents rated SAV willingness and design preferences, including onboard camera and attendant security features.</t>
  </si>
  <si>
    <t>n=8663; Baby Boomer, X, Y, Z and Alpha generations; Hungary; online quota/non-random questionnaire; 2024</t>
  </si>
  <si>
    <t>§3–4; 8663 Hungarian respondents compared generational differences in AV safety, trust and use intentions; younger cohorts generally showed greater openness.</t>
  </si>
  <si>
    <t>17 Czech internet news-article discussions; 7 articles Jul 2014–Jun 2018 and 10 Nov 2018–Feb 2020; collections Oct 2018 and Apr 2020</t>
  </si>
  <si>
    <t>Two-wave Czech discussion analysis found persistent scepticism; hacker attacks recurred, while privacy and personal-data misuse did not emerge as explicit themes.</t>
  </si>
  <si>
    <t>Longitudinal online discourse but no subsystem resolution; manual qualitative coding, so no classifier validation/prevalence correction; on-topic retrieval share was not reported.</t>
  </si>
  <si>
    <t>§2–4; qualitative content analysis compared 17 Czech AV discussions across two periods; hacker attacks emerged, but privacy/personal-data misuse did not.</t>
  </si>
  <si>
    <t>n=173; US adults aged 60+ from 39 states; SurveyMonkey/MTurk online survey; collection period not stated</t>
  </si>
  <si>
    <t>§2–4; 173 older US adults rated AV perceptions as users and pedestrians; user perceptions were generally more favourable than pedestrian perceptions.</t>
  </si>
  <si>
    <t>n=317; UK road users, proportionally recruited across key demographics; United Kingdom; Prolific public survey; 2022</t>
  </si>
  <si>
    <t>§3–4; 317 UK road users evaluated AV data recording, use and access; privacy concerns were strongest for in-cabin audio/video recording.</t>
  </si>
  <si>
    <t>n=255; pedestrians, mainly Trinity College Dublin students/residents; Dublin, Ireland; SurveyMonkey online survey; 15 Dec 2016–10 Feb 2017</t>
  </si>
  <si>
    <t>§III–IV; 255 Dublin respondents reported high AV concerns including system failure, vehicle security and data privacy, while retaining generally positive attitudes.</t>
  </si>
  <si>
    <t>n=589; Chinese pedestrians; China; Tencent video-based stated-preference questionnaire; 18 May–8 Jun 2023</t>
  </si>
  <si>
    <t>§3–6; 589 Chinese pedestrians completed video-based SP scenarios; AV presence, speed, distance, risk perception and AV trust influenced crossing decisions.</t>
  </si>
  <si>
    <t>n=671; Hungarian tourists; Hungary; online survey; Oct–Dec 2020</t>
  </si>
  <si>
    <t>§Data and Methods–Results; 671 Hungarian tourists reported generally positive attitudes towards AV-based tourism and willingness to surrender driving control in foreign environments.</t>
  </si>
  <si>
    <t>n=2400; US adults; United States; online questionnaire; Nov 2020–Feb 2021</t>
  </si>
  <si>
    <t>§3–4; 2400 US adults rated CV data privacy/security and data-manager reputation; privacy had a stronger negative effect on acceptance than security.</t>
  </si>
  <si>
    <t>n=53 phased interviews plus n=47 focus-group/interview participants; ICVP drivers; Ipswich, Queensland, Australia; 2021</t>
  </si>
  <si>
    <t>§2–3.2.4; ICVP interviews/focus groups assessed C-ITS acceptance; participants discussed V2V data sharing, privacy, marketing misuse and hacking concerns.</t>
  </si>
  <si>
    <t>n=16 older adults aged 67–87 plus n=9 transport service providers; Winnipeg, Manitoba, Canada; focus groups/interviews; May–Dec 2021</t>
  </si>
  <si>
    <t>§2–3; 25 Winnipeg users/providers discussed autonomous-shuttle adoption; accessibility, weather, technical malfunction, emergencies and personal security shaped perceived suitability.</t>
  </si>
  <si>
    <t>n=302 effective respondents/potential AV users; China; stated-preference online/on-site survey; Apr–Jun 2023</t>
  </si>
  <si>
    <t>§4.2–4.5, Results; 302-person SP survey measured purchase likelihood and perceived risk, including privacy breaches; perceived risk significantly reduced purchase likelihood.</t>
  </si>
  <si>
    <t>n=67 analysed (68 recruited); US licensed drivers; United States; Qualtrics online AV-pedestrian interface experiment; collection period not stated</t>
  </si>
  <si>
    <t>§II–IV; 67 analysed participants compared AV-pedestrian interfaces; smartphone alerts were rejected partly because of privacy intrusion and vehicle-hacking concerns.</t>
  </si>
  <si>
    <t>n=732 complete commuters; India; stated-preference survey; Jul–Oct 2022</t>
  </si>
  <si>
    <t>§Methods–Results; 732 Indian commuters rated crime risk and willingness for autonomous buses/ride-pooling; security officers, CCTV and emergency buttons reduced perceived crime risk.</t>
  </si>
  <si>
    <t>n=90; participants with autonomous-driving experience; simulated urban driving experiment; participant country and collection period not stated</t>
  </si>
  <si>
    <t>§II–IV; 90 participants completed pre/post simulated driving; in-process HMI feedback significantly improved HMI performance and trust compared with control.</t>
  </si>
  <si>
    <t>n=227; Korean and foreign residents aged 18+ living in South Korea; Korean/English online survey; three-week collection period, date not stated</t>
  </si>
  <si>
    <t>§4–5; 227 South Korea residents assessed AV trust/acceptance; transparent data privacy handling was the strongest predictor of AI trustworthiness perception.</t>
  </si>
  <si>
    <t>n=289; Malaysian adults aged 55+; Klang Valley, Malaysia; questionnaire at community/public locations; 1 Aug–15 Sep 2023</t>
  </si>
  <si>
    <t>§II–IV; 289 older Malaysian respondents were modelled using extended TAM; perceived privacy risk was defined as personal-data leakage/misuse and tested directly, but did not significantly predict AV acceptance.</t>
  </si>
  <si>
    <t>n=168 survey respondents from 14 countries, predominantly UK, plus n=6 virtual focus-group participants; survey 5–19 Aug 2021; focus group 21 Aug 2021</t>
  </si>
  <si>
    <t>§4–5; consumer survey and focus group directly examined CAV data collection, privacy knowledge and controls; findings identified major uncertainty around vehicle data practices and demand for accessible in-vehicle/app-based privacy controls.</t>
  </si>
  <si>
    <t>n=475 usable respondents; nationally sampled Irish adults; Ireland; online panel survey; Jan 2019</t>
  </si>
  <si>
    <t>§3–4.2; national Irish survey directly measured concern about AV travel-data recording and privacy; privacy concern strongly reduced willingness to permit AV data recording and was associated with AV acceptance.</t>
  </si>
  <si>
    <t>1338 Danish newspaper publications from 7 Feb 2012–7 Feb 2017 plus 157000 English-language tweets collected Dec 2016–Apr 2017; Danish Road Directorate case study</t>
  </si>
  <si>
    <t>Hacking and data privacy appeared in the empirical textual analysis but were much less prominent than safety, congestion, labour-market and liability themes; newspaper classification counted 35 hacking and 27 data-privacy paragraphs.</t>
  </si>
  <si>
    <t>Directly relevant online/textual public-opinion evidence; combines LDA topic modelling, dictionary-based document classification and sentiment analysis. Findings received expert face-validity review rather than held-out predictive classifier validation, and limited Danish Twitter volume required use of a global English-language tweet sample.</t>
  </si>
  <si>
    <t>§3.3–5; 1338 Danish publications and 157000 tweets were analysed using topic modelling, document classification and sentiment analysis; hacking/privacy were empirically detected but comparatively infrequent.</t>
  </si>
  <si>
    <t>n=248 analysed from 344 US participants; United States; Amazon Mechanical Turk online survey; collection period not stated</t>
  </si>
  <si>
    <t>§III–V; 248 US respondents were analysed by trust/complacency level; cybersecurity and privacy emerged as participant-reported AV concerns, with data-privacy concern particularly evident among medium- and high-trust respondents.</t>
  </si>
  <si>
    <t>n=2062 adults; US n=525, New Zealand n=511, Australia n=524, UK n=502; Qualtrics online survey; collection period not stated</t>
  </si>
  <si>
    <t>§3–5; four-country survey directly measured cybersecurity regulation, AV data sharing, data usage and privacy concerns; support for cyber regulation was high and respondents differentiated data sharing with other AVs, ITS infrastructure and other stakeholders.</t>
  </si>
  <si>
    <t>n=18 licensed drivers aged 20–55; Gothenburg area, Sweden; Wizard-of-Oz on-road/test-track within-subject experiment; collection period not stated</t>
  </si>
  <si>
    <t>§3–Results; 18 participants experienced defensive and aggressive automated-driving styles; repeated trust measures showed the defensive, smoother and more predictable style was perceived as more trustworthy.</t>
  </si>
  <si>
    <t>n=36 CAV experts from academia, industry and policymaking; nine countries across Europe, Asia and North America; face-to-face/Skype semi-structured interviews; Mar–May 2019</t>
  </si>
  <si>
    <t>§3–7; 36 international CAV experts identified privacy and cybersecurity challenges affecting acceptance, including hacking, data exploitation, software/connectivity risks, responsibility, legislation, education and trust.</t>
  </si>
  <si>
    <t>n=567 Chinese drivers; China; online questionnaire; two-month collection period in early 2023</t>
  </si>
  <si>
    <t>§3–5; 567 drivers assessed V2X acceptance; data-security trust and perceived risks from automatic recording, data misuse, interception, location and movement monitoring were directly measured.</t>
  </si>
  <si>
    <t>n=7 graduate students, 3 Computer Science and 4 Public Policy; six Zoom interviews and one in-person interview; participant location and collection period not stated</t>
  </si>
  <si>
    <t>§IV–V; self-driving cars were among the most concerning robot types; participants specifically raised vehicle hacking, cybersecurity, tracking and persistent trip/data logging as policy concerns.</t>
  </si>
  <si>
    <t>n=72; 40 transport experts and 32 non-experts from 15 EU and 8 non-EU countries; 15 online focus groups; Jun 2020–Jan 2021</t>
  </si>
  <si>
    <t>§3–5; participants discussed CAV acceptance, privacy, cyber-attacks, hacking, personal-data sharing and dependence on connected IT/sensor systems; final questioning also assessed whether views changed during the discussion.</t>
  </si>
  <si>
    <t>n=1008 US adults; nationally quota-matched Lucid sample; United States; conjoint plus second survey experiment; 7–21 Oct 2022</t>
  </si>
  <si>
    <t>§Materials and Methods–Results; within-subject conjoint and subsequent experiment compared trust and support across AI applications including driverless cars; support for AI-enabled cars significantly exceeded trust.</t>
  </si>
  <si>
    <t>n=809; Australian adults aged 18+ with sample distribution aligned to ABS age, gender and state data; Australia; Qualtrics online survey; mid-Oct–early Nov 2022</t>
  </si>
  <si>
    <t>§3–4; 809 Australian respondents assessed seven fully automated-vehicle acceptance dimensions; data privacy was directly measured through concerns about personal-information collection and sharing.</t>
  </si>
  <si>
    <t>n=479 regular public-transport users aged 18+; Taiwan; online and on-site stated-preference survey at major rail stations; Feb–Mar 2021</t>
  </si>
  <si>
    <t>§4–6; 479 Taiwanese PT users completed six repeated choice experiments across controlled-pandemic and outbreak scenarios; four segments were identified, including a privacy-conscious group whose preference reflected crowd avoidance, comfort and infection exposure rather than data privacy.</t>
  </si>
  <si>
    <t>n=15,568 valid trust responses (7,459 in 2016; 8,109 in 2017), including 6,489 analysable open comments; US drivers; Feb–Mar 2016 and Jan–Feb 2017</t>
  </si>
  <si>
    <t>Method–Results; 15,568 valid US trust ratings; topic modelling found “Hacking &amp; glitches”, including software/computer-system takeover concerns.</t>
  </si>
  <si>
    <t>n=264 valid respondents; 131 primary-school students and 133 parents; China; online questionnaire; collection period not stated</t>
  </si>
  <si>
    <t>§III–IV; 264 parent/child respondents measured privacy-safety risk, including concern that AV computer systems could be hacked, alongside trust.</t>
  </si>
  <si>
    <t>n=378 Vietnamese respondents planning to purchase a car within three years and with no prior AV; Vietnam; Facebook-based online survey; collection period not stated</t>
  </si>
  <si>
    <t>§5–6, Table 1; 378 Vietnamese respondents; privacy items covered route/location data, hacking and breaches, and privacy concern moderated AV attitude.</t>
  </si>
  <si>
    <t>n=844 licensed active drivers aged 18+; Australia; Qualtrics online survey; 2023</t>
  </si>
  <si>
    <t>§2–3; 844 Australian drivers surveyed in 2023; perceived privacy/security risk negatively affected intention indirectly through trust and attitude.</t>
  </si>
  <si>
    <t>n=403 valid respondents; China; Wenjuanxing/social-network online questionnaire; Feb–Mar 2020</t>
  </si>
  <si>
    <t>§3–5, Table 1; 403 Chinese respondents; perceived trust directly included concern about robo-taxi system security and data privacy.</t>
  </si>
  <si>
    <t>n=254 adults, cyclists and pedestrians; Australia and UK; online Qualtrics scenario survey; collection period not stated</t>
  </si>
  <si>
    <t>§3–4; 254 UK/Australian VRUs rated ten AV scenarios; eHMI presence increased willingness to cross, security and relaxation.</t>
  </si>
  <si>
    <t>Study 1 n=25 focus-group participants across North Africa, GCC and Levant; Study 2 n=339 respondents across Saudi Arabia, Qatar, UAE, Egypt, Morocco and Jordan; survey Dec 2024–Jan 2025</t>
  </si>
  <si>
    <t>§2–5, Table 4; mixed MENA study found privacy reduced acceptance and participants raised hacking, authentication, communication-network and data-security concerns.</t>
  </si>
  <si>
    <t>n=1,477 commuters; Singapore; 927 complete online responses plus 550 on-site field surveys; Sep–Dec 2017</t>
  </si>
  <si>
    <t>Questionnaire/Results; 1,477 Singapore commuters completed AV-MOD stated-preference surveys; privacy preference differentiated premium, economy and shared service choices.</t>
  </si>
  <si>
    <t>n=654 adult Trikala residents who had used the autonomous-bus pilot; Greece; personal questionnaire survey; 2018</t>
  </si>
  <si>
    <t>§3.1–3.2, Table 2; 654 experienced Trikala users surveyed in 2018; willingness to use/pay modelled from safety, usefulness and provider trust.</t>
  </si>
  <si>
    <t>Study I n=221; Study II 271 responses, with n=251 reported in Study II results; bachelor students aged 17–25; collection period/country not stated</t>
  </si>
  <si>
    <t>§4–6, Table 1; two student survey rounds measured AV attitudes; personal-data compromise, cross-device data merging and AI/recommender-system invasiveness were reported.</t>
  </si>
  <si>
    <t>§I, §III; cyclist safety experiments use a last-mile autonomous mobile delivery robot on cycle paths, not a road CAV.</t>
  </si>
  <si>
    <t>SHOW shared-automated-mobility pilot-site data across Europe; local vehicle-user surveys; project ran Dec 2019–Sep 2024; survey-response counts varied by site</t>
  </si>
  <si>
    <t>§3.1, Table 2; secondary SHOW pilot data include vehicle-user surveys measuring reliability, safety, comfort, usefulness and speed perception across European automated-mobility pilots.</t>
  </si>
  <si>
    <t>n=11 adults aged 21–57; Germany; interviews, enactment and UX cards; early summer 2020</t>
  </si>
  <si>
    <t>§4–5; 11 participants compared private/shared AV scenarios through interviews and enactments; reported acceptance plus crime-related security and social/spatial privacy concerns.</t>
  </si>
  <si>
    <t>n=2400 US adults; online questionnaire; United States; Nov 2020–Feb 2021</t>
  </si>
  <si>
    <t>§3, Table 2; 2,400 US adults surveyed on connected-vehicle data sharing, privacy, database handling, unauthorised access and security.</t>
  </si>
  <si>
    <t>n=49 valid participants; automated-driving simulator experiment; country and collection period not stated</t>
  </si>
  <si>
    <t>§II–III; 49 valid simulator participants repeatedly rated comfort, trust and overall perception across AD scenarios; trust changed over repeated measurements.</t>
  </si>
  <si>
    <t>n=437 valid respondents; online and offline questionnaire; country not explicitly stated; 10-day collection period</t>
  </si>
  <si>
    <t>§III–IV, Table 1; 437 valid respondents measured perceived security risk, privacy risk, initial trust and self-driving-car acceptance in one survey.</t>
  </si>
  <si>
    <t>n=751 Australian vehicle owners; Sydney and Perth; online questionnaire; Oct–Dec 2017</t>
  </si>
  <si>
    <t>§3.1–3.2, Table 1; n=751 vehicle owners; DV concerns directly included system hacking, safety and liability.</t>
  </si>
  <si>
    <t>n=919 students and faculty; California State University Northridge, USA; collection period not stated</t>
  </si>
  <si>
    <t>§3, §4.13; n=919 students/faculty; measured data-privacy/system-security and hacker concerns alongside AV benefits and attitudes.</t>
  </si>
  <si>
    <t>n=842 valid respondents; China; online and field scenario survey; 5 Jun–1 Jul 2022</t>
  </si>
  <si>
    <t>§3.1–3.2; n=842 valid respondents; measured crime occurrence, victimisation risk and willingness to use driverless transport.</t>
  </si>
  <si>
    <t>n=69 analysed; Dubai drivers and travellers, UAE; 100+ questionnaires distributed; collection period not stated</t>
  </si>
  <si>
    <t>§III–IV; n=69 analysed; directly compared privacy, safety and preference concerns with autonomous-vehicle adoption.</t>
  </si>
  <si>
    <t>n=229 adults; mainly UK, with Spain, USA and Australia; online questionnaire; collection began Jan 2018</t>
  </si>
  <si>
    <t>§4.1–4.3, §6.2; n=229 adults; 16 measured concerns included vehicle hacking and system malfunction.</t>
  </si>
  <si>
    <t>n=667 valid respondents; Pakistan; online scenario survey; 15 Aug–15 Oct 2022</t>
  </si>
  <si>
    <t>§Sample collection; n=667 valid respondents; measured crime likelihood, victimisation risk and willingness to use autonomous public transport.</t>
  </si>
  <si>
    <t>n=582 valid adults; Jordan; online survey; Jun–Aug 2022</t>
  </si>
  <si>
    <t>§4.1–4.3, Table 3; n=582 Jordanians; privacy used named data types and security used identification mechanisms.</t>
  </si>
  <si>
    <t>BikePGH surveys; n=1120 in 2017 and approximately 794 in 2019; Pittsburgh pedestrians/bicyclists</t>
  </si>
  <si>
    <t>§4, Table 2; two BikePGH surveys measured support for specific AV data-sharing and disclosure regulations.</t>
  </si>
  <si>
    <t>n=2588 complete U.S. respondents; online Qualtrics survey; United States; June 2017; Texas purposefully oversampled</t>
  </si>
  <si>
    <t>§2.1, §3.2/Table 7; 2,588 U.S. respondents directly rated privacy, trip-location use and willingness to pay for anonymisation.</t>
  </si>
  <si>
    <t>Approximately 1,000 observations from 2019 Pittsburgh Autonomous Vehicle Survey; BikePGH members and residents; 2017 aggregate survey also compared</t>
  </si>
  <si>
    <t>Methodology; 2019 Pittsburgh AV survey (~1,000 observations), with 2017 aggregate comparison; safety perceptions and adoption were modelled.</t>
  </si>
  <si>
    <t>n=208 valid U.S. undergraduate students from a public university; online survey; collection period not stated</t>
  </si>
  <si>
    <t>§3–4; 208 valid U.S. student surveys modelled initial trust; privacy concerns were proposed only for future work.</t>
  </si>
  <si>
    <t>n=1054 Scottish bus passengers; online Qualtrics survey via Stagecoach mailing list; Scotland; 15 Oct–5 Nov 2021</t>
  </si>
  <si>
    <t>Table 1/§Data; 1,054 Scottish bus users surveyed; computer-virus/hacking risk was directly measured within perceived safety/security.</t>
  </si>
  <si>
    <t>n=116 valid licensed smartphone-owning participants; high-fidelity driving simulator; TU Darmstadt, Germany; collection period not stated</t>
  </si>
  <si>
    <t>§3/Appendix A1; 116 simulator participants used a connected parking service; privacy concerns, privacy risk and information control were directly measured.</t>
  </si>
  <si>
    <t>n=197 post-ride shuttle passengers; Vantaa, Finland; interviews immediately after EasyMile EZ-10 journey; 10 Jul–9 Aug 2015</t>
  </si>
  <si>
    <t>§2–3; 197 post-ride passengers interviewed; in-vehicle security explicitly meant fear of crime, not informational or cyber security.</t>
  </si>
  <si>
    <t>n=825 valid respondents; web and paper questionnaires; Changsha, China; 964 responses collected before cleaning</t>
  </si>
  <si>
    <t>Table 1/§Data Collection; 825 valid Changsha responses measured unauthorised personal-data collection, use and sharing alongside trust and adoption.</t>
  </si>
  <si>
    <t>n=232 vehicle owners/users; India; questionnaire survey; collection period not stated</t>
  </si>
  <si>
    <t>§III–IV; n=232 survey; EFA identified performance, mapping/infrastructure and buying-intention factors; privacy/hacking appeared only in background.</t>
  </si>
  <si>
    <t>n=15 key informants; 10 Australia, 3 Netherlands, 1 UK and 1 USA; government, industry and academia; collection period not stated</t>
  </si>
  <si>
    <t>§2–3.7; 15 key-informant interviews; cybersecurity, privacy, digital databases and CAV trust/acceptance emerged in thematic findings.</t>
  </si>
  <si>
    <t>n=366 formal respondents: 31 AI experts and 335 CS/EE students; Taiwan; formal survey Apr 2020; pilot n=206 in Mar 2020</t>
  </si>
  <si>
    <t>§3.2–5.2; 66-item survey measured cybersecurity/privacy, system-network attacks, data leakage/misuse, surveillance, data ownership and communication infrastructure.</t>
  </si>
  <si>
    <t>n=1381; 977 general public, 202 computer-science developers and 202 government workers; South Korea; survey; Dec 2023</t>
  </si>
  <si>
    <t>§Methods–Variables; n=1381 survey measured AV privacy through cameras/sensors, black-box data, recipients, anonymisation, storage, processing and deletion.</t>
  </si>
  <si>
    <t>n=307 user survey records; Dubai, UAE; online survey; collection period not stated</t>
  </si>
  <si>
    <t>§III–VIII; 307 survey records measured AV privacy concern, sensitive personal data, security breaches and Internet data-sharing practices.</t>
  </si>
  <si>
    <t>n=152 passengers + n=55 student controls; Tallinn, Estonia; late 2019; operator logs/panel interview</t>
  </si>
  <si>
    <t>§3.1–4.1; mixed Tallinn pilot: 152 passenger surveys plus 55-student control; safety/security measured; sensor-triggered braking linked to risk.</t>
  </si>
  <si>
    <t>n=157 participants aged 16–67; online survey; country not stated; collection period not stated</t>
  </si>
  <si>
    <t>§3.1–4.1, Tables 1–2; online survey, n=157; autonomous-driving privacy directly measured through personal-information collection and disclosure statements.</t>
  </si>
  <si>
    <t>n≈1500 local residents/key workers + stakeholder interviews; Adama city and surrounding areas, Ethiopia; collection period not stated</t>
  </si>
  <si>
    <t>§5.2, Table 4, Appendix A; n≈1500 Ethiopian respondents; perceived danger explicitly included cyber-attacks and disclosure of private information.</t>
  </si>
  <si>
    <t>n=2400 US adults; USA; Nov 2020–Feb 2021</t>
  </si>
  <si>
    <t>§3.1–3.2, Table 2; online survey, n=2400 US adults; privacy/security measured via data collection, database, sharing and third-party access items.</t>
  </si>
  <si>
    <t>n=311 online respondents; country not stated; 10 Aug–10 Sep 2020</t>
  </si>
  <si>
    <t>§3.2, Table 2; online survey, n=311; UTAUT acceptance factors measured; privacy/data-storage concerns discussed but not operationalised.</t>
  </si>
  <si>
    <t>n=1419 Norwegian Automobile Federation members; Norway; online questionnaire; collection period not stated</t>
  </si>
  <si>
    <t>§3.1.4, §3.2.6; n=1419 NAF members; worry items directly measured hacking/terrorism and data privacy alongside driverless-shuttle acceptance.</t>
  </si>
  <si>
    <t>n=228 UAE road/transport users, business employees and university students/faculty/staff; Google Forms; survey open 5 months; exact dates not stated</t>
  </si>
  <si>
    <t>§IV–V; n=228 UAE respondents; privacy and security were validated constructs, with data collection attributed to sensors, cameras and communications.</t>
  </si>
  <si>
    <t>n=200 post-ride passengers + n=519 adult citizens; Trikala, Greece; passenger survey 15 Dec 2015–23 Jan 2016; citizen survey Jan–29 Feb 2016</t>
  </si>
  <si>
    <t>§II.B, Table 14; two Trikala surveys (n=200, n=519); concerns explicitly included hacking and location disclosure without consent.</t>
  </si>
  <si>
    <t>n=495 valid respondents from 562 recorded; adults residing, working or studying in Melbourne, Australia; Qualtrics panel; collection period not stated</t>
  </si>
  <si>
    <t>§4.1–5.2.2, Table 2; 495 valid Melbourne surveys measured hacker security and location/destination-tracking privacy as CAV deployment barriers.</t>
  </si>
  <si>
    <t>n=19: 6 drivers, 7 pedestrians and 6 road users with disabilities; study location not stated; last week of Feb 2020</t>
  </si>
  <si>
    <t>§1–2.1; three focus groups, n=19; privacy/data protection, tracking, data deletion and insurer/manufacturer access emerged directly from participants.</t>
  </si>
  <si>
    <t>n=108 valid Saudi residents aged 18+; online Qualtrics survey; Saudi Arabia; 20 Jun–3 Jul 2022</t>
  </si>
  <si>
    <t>§3–4, Table 1/Fig. 10; 108 valid Saudi surveys; privacy and anti-hacking hardware/software were explicitly rated AV attributes.</t>
  </si>
  <si>
    <t>focus groups n=18 + Study I n=169 + Study II n=145; V2X user studies; country and collection period not stated</t>
  </si>
  <si>
    <t>§III–V; focus groups n=18 plus surveys n=169 and n=145 measured V2X privacy, data control, illegal access, tracking and data sharing.</t>
  </si>
  <si>
    <t>Twitter interactions concerning Tesla fatal accidents; July 2021–Nov 2023; 173 fatal accident events; participant n not reported</t>
  </si>
  <si>
    <t>§II–IV; Twitter interactions were analysed in 10-day windows before and after Tesla fatal accidents using heatmaps and a Siamese neural network; study addresses public sentiment, safety and reliability rather than privacy/cybersecurity.</t>
  </si>
  <si>
    <t>n=425 analytical sample after resampling 148 online + 500 telephone respondents; La Rochelle, France; approximately one month after demonstration ending Apr 2015</t>
  </si>
  <si>
    <t>§3–4; public survey directly measured concern about vehicle security from hackers and disclosure of travel location without consent.</t>
  </si>
  <si>
    <t>n=4448 Tennessee residents; statewide online Qualtrics survey; Tennessee, USA; Mar–May 2020</t>
  </si>
  <si>
    <t>§3 and latent-class analysis; respondents rated negative CAV impacts including cybersecurity/software attack and private-information access concerns.</t>
  </si>
  <si>
    <t>n=204 UAE respondents aged 18+; online closed-question survey; UAE; 30 days during Feb 2019</t>
  </si>
  <si>
    <t>§III–VIII; survey directly assessed AV data privacy, communication-data privacy and cyber attacks against AVs alongside adoption and safety perceptions.</t>
  </si>
  <si>
    <t>n=29 potential end-users; active UK drivers recruited from local communities; semi-structured interviews; collection period not stated</t>
  </si>
  <si>
    <t>§4–5; qualitative interviews directly elicited cyber-security, hacking and privacy concerns about 5G-enabled remote control of Level 4 AVs.</t>
  </si>
  <si>
    <t>328 usable public comments from 321 California respondents; CPUC comments on fared AV deployment in San Francisco; collection period not stated</t>
  </si>
  <si>
    <t>§2–4; qualitative and quantitative analysis identified respondent privacy concerns about continuous camera/sensor data collection without consent and subsequent data sharing.</t>
  </si>
  <si>
    <t>n=1900 residents of Stockholm and Gothenburg, Sweden; online respondent-panel survey; Dec 2022–Jan 2023</t>
  </si>
  <si>
    <t>§Methodology–Results; SAV refusers directly expressed privacy concerns when sharing rides with strangers, but the privacy construct was interpersonal/shared-ride privacy rather than AV data or cybersecurity.</t>
  </si>
  <si>
    <t>n=1442 adults in Hiroshima Prefecture, Japan; professional web survey; 2017</t>
  </si>
  <si>
    <t>§3–4; randomized video experiment exposed participants to AV risks including external interference/hacking and measured subsequent risk perception and acceptability.</t>
  </si>
  <si>
    <t>n=2223 total: Japan 2017 n=1442 + Israel 2021 n=781; independent web-based samples</t>
  </si>
  <si>
    <t>§3–5; participants received randomized AV-risk information including hacking and reported perceived/acceptable risk; the 2017 and 2021 samples were independent, not a repeated-measures panel.</t>
  </si>
  <si>
    <t>n=1372 across three independent Israeli studies: n=496, n=461 and n=415; Israel; summer 2023</t>
  </si>
  <si>
    <t>§6–10; technology-concern measures explicitly included concern that hackers could take control of autonomous transport and demand ransom; each study used a separate participant sample.</t>
  </si>
  <si>
    <t>n=302 residents across Pittsburgh and four comparison US cities; online survey; 16 Feb–3 Mar 2017</t>
  </si>
  <si>
    <t>§3–4; study directly measured privacy perceptions of AV sensing, image capture, data aggregation, recognition, identification, tracking and opt-out from identifiable data collection.</t>
  </si>
  <si>
    <t>n=556 metropolitan Austin survey respondents; follow-up face-to-face interviews n=44; Austin, Texas, USA; collection period not stated</t>
  </si>
  <si>
    <t>§Methods–Results; two-stage survey/interview study directly measured concern for data privacy in self-driving cars; privacy concern predicted lower intention to use, but the same measure was not repeated at follow-up.</t>
  </si>
  <si>
    <t>n=4886 analysed respondents from 109 countries; CrowdFlower online questionnaire; data collected 4–7 Jul 2014</t>
  </si>
  <si>
    <t>§2–3; international survey directly measured automated-driving acceptance, hacking/misuse concerns, privacy and comfort transmitting vehicle data.</t>
  </si>
  <si>
    <t>n=100 volunteers; online questionnaire assessing willingness to use self-driving vehicles across 15 scenarios</t>
  </si>
  <si>
    <t>Study assessed public willingness and preferred SDV adoption scenarios; safety, human control and unsupervised operation shaped acceptance.</t>
  </si>
  <si>
    <t>n=169 licensed drivers; focus groups followed by scenario-based online survey; Germany</t>
  </si>
  <si>
    <t>§2–3; V2X study measured willingness to share specific data types, storage duration and recipients including infrastructure and central servers.</t>
  </si>
  <si>
    <t>n=893 valid quantitative respondents following a qualitative precursor study; autonomous on-demand shuttle communication requirements</t>
  </si>
  <si>
    <t>§2–4; users evaluated booking, passenger-vehicle communication and in-vehicle monitoring technologies including cameras and microphones.</t>
  </si>
  <si>
    <t>n=1902 respondents; shared-autonomous-vehicle acceptance questionnaire with PCA/CFA split sample</t>
  </si>
  <si>
    <t>Acceptance scale included a direct item on fear that someone could hack the autonomous bus data system.</t>
  </si>
  <si>
    <t>n=35 participants; NUS Singapore driving-simulator experiment; trust measured before and after exposure to AV driving errors</t>
  </si>
  <si>
    <t>Experiment repeatedly measured competence-based and integrity-based trust around simulated AV failures.</t>
  </si>
  <si>
    <t>Qualitative interviews followed by questionnaire; quantitative n=443, age 18–76; Germany</t>
  </si>
  <si>
    <t>Privacy/data protection were key barriers; V2X participants discussed collected data, connection security, hacking and centralised versus decentralised storage.</t>
  </si>
  <si>
    <t>Replicated and re-analysed public survey datasets from multiple published/industry sources; tables also cite an author survey of 5400 individuals in Apr 2019</t>
  </si>
  <si>
    <t>Article reports consumer perceptions of hacking, system/vehicle security and data privacy using replicated survey evidence.</t>
  </si>
  <si>
    <t>Two focus groups, n=16 total; eight participants per group; Madrid and Malaga, Spain</t>
  </si>
  <si>
    <t>Focus groups examined public acceptability and psychological barriers to autonomous buses, especially safety, control and absence of onboard authority.</t>
  </si>
  <si>
    <t>n=910 respondents across Beijing, Shanghai, Guangzhou, Chongqing and Changsha; stated-preference and risk-preference experiment</t>
  </si>
  <si>
    <t>Choice experiment included privacy anxiety among AV attributes and modelled reference-dependent AV preferences and individual risk preferences.</t>
  </si>
  <si>
    <t>n=208 undergraduate students at a public university in the southwestern United States; self-driving-taxi initial-trust model</t>
  </si>
  <si>
    <t>Survey modelled initial trust and structural assurance; perceived privacy concerns were explicitly not included in the tested model.</t>
  </si>
  <si>
    <t>Student surveys in 2021 and 2023 using different cohorts; 2023 n=50; plus n=10 Romanian university experts interviewed</t>
  </si>
  <si>
    <t>Repeated cross-sectional cohorts reported privacy/cybersecurity concerns; the same participants were not followed across 2021 and 2023.</t>
  </si>
  <si>
    <t>University student survey in Belgrade, Serbia; self-driving-car attitudes analysed as a specific AI application</t>
  </si>
  <si>
    <t>Survey directly measured attitudes towards self-driving cars and tested effects of gender, seniority, knowledge and AI interest.</t>
  </si>
  <si>
    <t>n=58 drivers; CARLA simulated lane-change experiment with four HMI-transparency conditions and repeated trust measurement</t>
  </si>
  <si>
    <t>Trust was repeatedly assessed in the same drivers across transparency conditions; higher transparency significantly increased trust.</t>
  </si>
  <si>
    <t>n=2062 nationally representative adults from US, UK, New Zealand and Australia; structural-equation modelling</t>
  </si>
  <si>
    <t>Survey directly modelled cyberattack, connectivity, privacy, safety and performance risks, including risks across identifiable CAV data/connectivity interfaces.</t>
  </si>
  <si>
    <t>n=1840 valid stated-preference responses; Budapest, Hungary; online survey conducted in 2021</t>
  </si>
  <si>
    <t>SP survey included privacy, cybersecurity and surveillance concerns and modelled their contribution to CS/PSAV mode acceptance.</t>
  </si>
  <si>
    <t>39.61 million online AV moral-dilemma decisions from 233 countries/territories; demographic subsample n=492921</t>
  </si>
  <si>
    <t>Online experiment quantified public preferences for how autonomous vehicles should resolve unavoidable moral dilemmas.</t>
  </si>
  <si>
    <t>n=1061 adults with autonomous-driving awareness; online Wenjuanxing survey across major Chinese cities</t>
  </si>
  <si>
    <t>Public survey measured autonomous-driving trust, acceptance, legal adaptability, safety/ethical risks and reported concern about privacy protection.</t>
  </si>
  <si>
    <t>n=1639 valid responses across eight European countries; WISE-ACT online survey; Spring 2020</t>
  </si>
  <si>
    <t>Study analysed AV safety perception, willingness to use and preference for human supervision; project waves were not repeated measures of the same participants.</t>
  </si>
  <si>
    <t>n=216 licensed drivers; face-to-face questionnaire in public parking areas in Shenzhen, China; March 2018</t>
  </si>
  <si>
    <t>Level 3 AV acceptance model directly measured perceived privacy risk through excessive personal-information collection, unauthorised secondary use and unauthorised sharing.</t>
  </si>
  <si>
    <t>n=31 AV-CAV professionals from government, academia, private industry and transport sectors in Saudi Arabia</t>
  </si>
  <si>
    <t>Expert survey assessed AV-CAV readiness, including cybersecurity, data privacy, V2X/digital infrastructure, public acceptance and trust.</t>
  </si>
  <si>
    <t>n=556 metropolitan Austin residents in online survey plus n=44 follow-up face-to-face interviews</t>
  </si>
  <si>
    <t>Data-privacy concern was empirically associated with intention to use self-driving vehicles; follow-up interviews investigated expected travel-behaviour impacts.</t>
  </si>
  <si>
    <t>n=618 participants aged 18–65; German online LimeSurvey conducted Sep–Oct 2020</t>
  </si>
  <si>
    <t>Survey investigated autonomous-car interior requirements and directly evaluated lack of privacy and specific privacy options including screens, sight protection and individual acoustic zones.</t>
  </si>
  <si>
    <t>n=337 US college students; experimental manipulation of manufacturer focus and passenger control</t>
  </si>
  <si>
    <t>Experiment measured AV privacy/security risk and manipulated control over privacy settings; technical context included location tracking and on-vehicle LiDAR, cameras and radar.</t>
  </si>
  <si>
    <t>n=949 adult respondents; online Level 5 AV questionnaire</t>
  </si>
  <si>
    <t>Survey directly measured privacy risk including loss of control over personal data, unauthorised secondary use and inability to guarantee personal-information security.</t>
  </si>
  <si>
    <t>n=8 drivers; semi-structured interviews on conditional-automation takeover information needs and HMI preferences</t>
  </si>
  <si>
    <t>Qualitative study investigated trust, acceptance and information needs across pre-takeover, takeover and post-takeover phases; no empirical privacy/data/cybersecurity construct was measured.</t>
  </si>
  <si>
    <t>n=840 adults in Japan; online survey with random assignment to conditional or fully automated vehicle description</t>
  </si>
  <si>
    <t>Survey identified cybersecurity as a distinct risk dimension using items on personal-data hacking/abuse and intrusion into AV networks.</t>
  </si>
  <si>
    <t>n=6 participants; vignette-based V2X survey evaluation with think-aloud interviews</t>
  </si>
  <si>
    <t>Pilot directly measured V2X privacy perception, disclosure decisions and security perception across CAV data-sharing scenarios.</t>
  </si>
  <si>
    <t>29928 publicly available social-media conversations concerning self-driving vehicles analysed using NLP, Markov modelling and toxicity classification</t>
  </si>
  <si>
    <t>Empirical public-discourse study modelled citizens’ emotions and perception shifts concerning self-driving vehicles; AV privacy/data/cybersecurity was not an empirical outcome.</t>
  </si>
  <si>
    <t>n=579 adult residents of Jiangsu Province, China; cross-sectional Sojump questionnaire</t>
  </si>
  <si>
    <t>Road-operating driverless delivery vehicle adoption study measured trust, technological complexity, usefulness, ease of use, attitude and adoption intention; privacy/security appeared only in background discussion.</t>
  </si>
  <si>
    <t>n=152 complete responses from University of South Australia students; survey collected Oct–Nov 2019</t>
  </si>
  <si>
    <t>Survey directly measured cybersecurity concern through an item on AV vulnerability to remote control and hacking, including possible effects on individual privacy.</t>
  </si>
  <si>
    <t>n=25 participants; SAE Level 5 driving-simulator study with voice-only in-vehicle intelligent agent, repeated event ratings and post-study interviews</t>
  </si>
  <si>
    <t>Personalised IVIA information generated empirical privacy and data-access concerns tied to the in-vehicle intelligent-agent subsystem; event-specific repeated ratings do not satisfy the frozen longitudinal tag.</t>
  </si>
  <si>
    <t>n=80 quantitative respondents (50 APU IT students and 30 general-public/Uber/Grab drivers) plus specialist lecturer interviews</t>
  </si>
  <si>
    <t>Study examined user adoption of cloud computing in AVs; respondents reported data/passenger-security concerns and interviewees discussed cloud security, malicious attacks, countermeasures and offline operation.</t>
  </si>
  <si>
    <t>n=377 analysed US employees from a truck-accessory manufacturer with 13 subsidiaries across multiple states; SurveyMonkey online survey; open for 10 business days; exact dates not stated</t>
  </si>
  <si>
    <t>§Methodology–Results; cross-sectional TAM survey measured perceived usefulness, perceived ease of use, age, driving experience and intention to use driverless cars; privacy/data/cybersecurity were not measured constructs.</t>
  </si>
  <si>
    <t>n=40 NUS students/staff aged 21–39; 20 male and 20 female; Singapore; within-subject picture- and video-based AV moral-dilemma experiment; collection period not stated</t>
  </si>
  <si>
    <t>§2.1–2.2, §2.8; n=40 completed picture- and video-based moral-decision sessions; same choice measure compared within subjects.</t>
  </si>
  <si>
    <t>n=326 US drivers; 160 women and 166 men; online 2×2 between-subjects AV voice experiment; collection period not stated</t>
  </si>
  <si>
    <t>§II; n=326 US drivers; synthetic AV voice gender and role congruity were manipulated and cognitive/affective trust measured.</t>
  </si>
  <si>
    <t>n=646 analysed respondents aged 19–81; Hungary; Qualtrics online survey; autumn 2020</t>
  </si>
  <si>
    <t>§4.5–5; 646 responses modelled self-driving-car tourism acceptance; privacy/data/security were not measured constructs in the empirical TAMAT model.</t>
  </si>
  <si>
    <t>n=523 valid intelligent-connected-vehicle users; major Chinese cities; SoJump online questionnaire; collection period not stated</t>
  </si>
  <si>
    <t>§3.1–3.2, Appendix B; n=523 ICV users; data-security risk perception, responsibility attribution and coping behaviours were directly measured.</t>
  </si>
  <si>
    <t>§IV.A–B, Table II; supervised 70/15/15 split is stated, but use of the same held-out test data for LLM arms is not established.</t>
  </si>
  <si>
    <t>n=827 adults; Beijing, Shanghai, Shenzhen, Wuhan and Chengdu, China; Wenjuanxing online survey; May–Jun 2023</t>
  </si>
  <si>
    <t>§Methods and Data; n=827 adults across five Chinese cities; survey modelled technology readiness, reasons for/against ADS and acceptance intention.</t>
  </si>
  <si>
    <t>§III, §IV-C; GPT-2 and the other experimental transformers were fine-tuned on labelled task data; no zero-shot/prompted arm.</t>
  </si>
  <si>
    <t>ZS: GPT-4o / FT: TiRoBERTa-base</t>
  </si>
  <si>
    <t>YouTube comments; abusiveness detection; Tigrinya; n=900 test items</t>
  </si>
  <si>
    <t>Fine-tuned TiRoBERTa-base achieved 86.67 F1, outperforming zero-shot GPT-4o at 71.05 and the best few-shot LLM at 79.31.</t>
  </si>
  <si>
    <t>Direct same-test supervision-axis comparison on short user-generated comments; supports comparing fine-tuning with prompting in a low-resource-language setting.</t>
  </si>
  <si>
    <t>§3.3, Table 2; prompted GPT-4o and fine-tuned TiRoBERTa-base were evaluated on the same 900-comment Tigrinya test set.</t>
  </si>
  <si>
    <t>Not retrieved</t>
  </si>
  <si>
    <t>ZS: DeBERTa / FT: BERTweet</t>
  </si>
  <si>
    <t>Telegram messages; stance classification; English; n=736 annotated messages</t>
  </si>
  <si>
    <t>Fine-tuned BERTweet achieved 0.721 macro-F1 versus 0.643 for zero-shot DeBERTa on the same labelled messages.</t>
  </si>
  <si>
    <t>Direct same-data comparison shows substantial benefit from supervised in-domain fine-tuning over zero-shot classification on short social-media text.</t>
  </si>
  <si>
    <t>§5.4–5.5, §6.2; zero-shot DeBERTa and fine-tuned BERTweet were evaluated on the same 736 annotated Telegram messages.</t>
  </si>
  <si>
    <t>ZS: GPT-4o / FT: GPT-4o-mini</t>
  </si>
  <si>
    <t>YouTube comments; three-class sentiment classification; Egyptian Arabic-English code-switched; official EESA test set</t>
  </si>
  <si>
    <t>Fine-tuned GPT-4o-mini with sentiment hints achieved 95.5% F1 versus 90.8% for the best prompt-only GPT-4o configuration.</t>
  </si>
  <si>
    <t>Direct same-test comparison shows fine-tuning outperforming structured prompting on short code-switched user-generated text, while reporting the additional training-time burden.</t>
  </si>
  <si>
    <t>§3, §5, Tables 1 and 6; prompted and fine-tuned GPT models were evaluated on the same unchanged EESA test split.</t>
  </si>
  <si>
    <t>§3.1, §4.1; CARDS evaluates paragraphs from think-tank/blog articles, not qualifying short user-generated text.</t>
  </si>
  <si>
    <t>ZS: GPT-3.5 / FT: GPT-3</t>
  </si>
  <si>
    <t>Twitter/TwIT; six-class emotion recognition; Italian; n=619 test items</t>
  </si>
  <si>
    <t>Fine-tuned GPT-3 achieved F1=0.90 versus 0.48 for few-shot prompted GPT-3.5 on Italian tweet emotion recognition.</t>
  </si>
  <si>
    <t>Direct same-dataset comparison shows a large fine-tuning advantage over prompting on short user-generated text.</t>
  </si>
  <si>
    <t>§4.1–4.2, Table 2; fine-tuned GPT-3 and few-shot GPT-3.5 were evaluated on the same TwIT emotion-classification test set.</t>
  </si>
  <si>
    <t>ZS: Gemini-2.5-Flash-Lite / FT: Qwen2.5-1.5B-Instruct</t>
  </si>
  <si>
    <t>Pantip.com/YouTube; ABSA classification; Thai; n=3,213 evaluated customer records</t>
  </si>
  <si>
    <t>Fine-tuned Qwen2.5 exceeded 87% average accuracy in under four seconds per text and dominated sentiment F1, while prompted models led some dimensions.</t>
  </si>
  <si>
    <t>Direct same-test comparison shows domain-specific fine-tuning can outperform or match much larger prompted models on short Thai social-media text.</t>
  </si>
  <si>
    <t>§III–IV, Tables I–III; zero-shot prompted and QLoRA-supervised models were evaluated on the same 3,508-text test set.</t>
  </si>
  <si>
    <t>§4.4, Tables 2–4; task predicts continuous MQM quality scores evaluated by correlation, not class labels.</t>
  </si>
  <si>
    <t>ZS: GPT-4 / FT: EmoBERTa</t>
  </si>
  <si>
    <t>Twitter/Reddit/online cancer network; emotion classification; English; n=900 EmoTrigger samples</t>
  </si>
  <si>
    <t>Few-shot GPT-4 achieved macro-F1 around 0.91–0.92 across datasets, substantially above fine-tuned EmoBERTa at 0.34–0.48.</t>
  </si>
  <si>
    <t>Direct prompted-versus-fine-tuned comparison on short social-media text shows strong prompted-LLM performance and reports substantial compute use.</t>
  </si>
  <si>
    <t>§3–4, Table 2; few-shot GPT-4 and fine-tuned EmoBERTa are compared across the same three EmoTrigger source datasets.</t>
  </si>
  <si>
    <t>ZS</t>
  </si>
  <si>
    <t>Abstract, §1.1; outcome is continuous emotion-intensity prediction rather than a classification task.</t>
  </si>
  <si>
    <t>ZS: GPT-4-0613 / FT: Llama-2-13b</t>
  </si>
  <si>
    <t>Reddit/SARC2.0 pol-bal; binary sarcasm classification; English; n=3,406 test observations</t>
  </si>
  <si>
    <t>Fine-tuned Llama-2-13b achieved about 0.83 accuracy/F1 versus 0.70 accuracy and 0.75 F1 for the strongest zero-shot GPT-4 model.</t>
  </si>
  <si>
    <t>Direct same-test comparison shows supervised fine-tuning outperforming zero-shot LLM classification on Reddit user-generated text.</t>
  </si>
  <si>
    <t>§4.2–4.4, Table 1; zero-shot and fine-tuned LLMs were evaluated on the same 3,406-observation SARC2.0 pol-bal test set.</t>
  </si>
  <si>
    <t>ZS: Claude-3-Haiku / FT: BigBird-RoBERTa</t>
  </si>
  <si>
    <t>Reddit posts; psychiatric/relational/temporal classification; English; n=1,799 corpus, 20% test split</t>
  </si>
  <si>
    <t>Prompted LLMs lead Tasks 1–2, while fine-tuned transformers are stronger on temporal-phase classification, giving mixed performance across the benchmark.</t>
  </si>
  <si>
    <t>Direct same-benchmark comparison shows task-dependent differences between prompted LLMs and supervised fine-tuned transformers on Reddit posts.</t>
  </si>
  <si>
    <t>§4–5, Tables 1–3; prompted LLMs and fine-tuned transformers were evaluated on the same stratified RSPC test partition across three classification tasks.</t>
  </si>
  <si>
    <t>ZS: GPT-4-turbo / FT: DarijaBERT</t>
  </si>
  <si>
    <t>X/Twitter tweets and YouTube comments; sentiment classification; Moroccan Arabic; MAC20% and MYC20% test splits</t>
  </si>
  <si>
    <t>Fine-tuned DarijaBERT substantially outperformed zero-shot GPT-4, reaching F1=0.877 on MAC20% and 0.856 on MYC20%.</t>
  </si>
  <si>
    <t>Direct same-test comparison shows strong gains from supervised dialect-specific fine-tuning over zero-shot GPT-4 on Moroccan Arabic social-media text.</t>
  </si>
  <si>
    <t>§3–4, Tables 8, 10, 12; zero-shot GPT-4 and fine-tuned BERT models were evaluated on the same MAC20% and MYC20% test splits.</t>
  </si>
  <si>
    <t>ZS: sentence similarity / FT: SetFit</t>
  </si>
  <si>
    <t>Telegram posts; multi-label conspiracy-narrative classification; German; n=1,099 corpus, 25% held-out test split</t>
  </si>
  <si>
    <t>Zero-shot sentence similarity achieved the highest ROC-AUC (0.86), while optimised SetFit achieved higher optimal F1 than the zero-shot classifiers.</t>
  </si>
  <si>
    <t>Direct same-test comparison shows that zero-shot methods can excel on ranking performance while supervised fine-tuning retains an advantage on thresholded F1.</t>
  </si>
  <si>
    <t>§3–4, Table 3; trained and zero-shot approaches use the same held-out test set; performance advantage depends on ROC-AUC versus optimal F1.</t>
  </si>
  <si>
    <t>ZS: Llama3-8B / FT: Llama3-8B</t>
  </si>
  <si>
    <t>X/Twitter; sensitive-content classification; English; n=2,000 test tweets</t>
  </si>
  <si>
    <t>Fine-tuned Llama3-8B achieved macro-F1 85.6 binary and 69.8 multi-label, versus 75.0 and 52.2 respectively in zero-shot mode.</t>
  </si>
  <si>
    <t>Direct same-test comparison demonstrates substantial gains from supervised task-specific fine-tuning over zero-shot classification on short social-media text.</t>
  </si>
  <si>
    <t>§4–5, Table 2; fine-tuned and zero-shot models are evaluated on the same 2,000-tweet test partition.</t>
  </si>
  <si>
    <t>§IV–VI; models called zero-shot were already task-specific emotion classifiers applied without further tuning, so R6 does not treat them as an eligible zero-shot arm.</t>
  </si>
  <si>
    <t>ZS: GPT-4 / FT: Mental-BERTlarge</t>
  </si>
  <si>
    <t>Reddit posts; depression/anxiety classification; English; n=2,876 gold test posts</t>
  </si>
  <si>
    <t>Zero-shot GPT-4 achieved F1 70.8 and macro-F1 66.7 on multi-label classification, slightly exceeding supervised Mental-BERTlarge at 70.0 and 65.2.</t>
  </si>
  <si>
    <t>Direct same-benchmark comparison shows prompted LLMs can narrowly outperform supervised domain-specific PLMs on difficult comorbid mental-health classification.</t>
  </si>
  <si>
    <t>§5–6, Table 6; ANGST is the common gold test benchmark for prompted LLMs and PLMs fine-tuned separately on ANGST-SILVER.</t>
  </si>
  <si>
    <t>§III–IV; BERT uses 186 held-out test items, while GPT-4 is scored against the annotated dataset without establishing the same test split.</t>
  </si>
  <si>
    <t>ZS: Mistral-7B / FT: RoBERTa-large</t>
  </si>
  <si>
    <t>Twitter; three-class climate-change sentiment classification; English; common 10% test split</t>
  </si>
  <si>
    <t>Fine-tuned RoBERTa-large achieved macro-F1 0.8217 versus 0.4313 for zero-shot Mistral-7B and 0.5070 for few-shot Mistral-7B.</t>
  </si>
  <si>
    <t>Direct same-data comparison strongly favours supervised fine-tuning and additionally quantifies the substantial inference-latency disadvantage of prompted small language models.</t>
  </si>
  <si>
    <t>§III–IV, Table I; fine-tuned Transformers and zero/few-shot SLMs use the same climate-tweet dataset and consistent preprocessing.</t>
  </si>
  <si>
    <t>ZS: GPT-3.5-turbo / FT: XLM-RoBERTa-large</t>
  </si>
  <si>
    <t>Twitter; binary irony detection; Dutch; n=5,566 tweets</t>
  </si>
  <si>
    <t>Fine-tuned XLM-RoBERTa-large achieved F1 0.72 versus 0.60 for zero-shot GPT-3.5-turbo on the Dutch irony benchmark.</t>
  </si>
  <si>
    <t>Same-benchmark comparison shows supervised fine-tuning retaining a clear advantage over prompting on short Dutch social-media text.</t>
  </si>
  <si>
    <t>§3.4, §5.4, Table 8; zero-shot systems are compared against the fine-tuned SOTA result on the same manually annotated Dutch tweet benchmark.</t>
  </si>
  <si>
    <t>ZS: Qwen2.5-7B / FT: Qwen2.5-7B</t>
  </si>
  <si>
    <t>Reddit/Dreaddit-SACReD; stress and stress-cause classification; English; n=715 test posts</t>
  </si>
  <si>
    <t>Fine-tuning Qwen2.5-7B raised stress-detection F1 from 62.75 to 71.90 and stress-cause F1 from 48.15 to 66.20.</t>
  </si>
  <si>
    <t>Direct same-model, same-test comparison demonstrates substantial benefit from supervised task adaptation over zero-shot inference on Reddit stress-analysis data.</t>
  </si>
  <si>
    <t>§IV–V, Table VII; zero-shot and fine-tuned Qwen2.5-7B are compared on the common SACReD test partition for both classification tasks.</t>
  </si>
  <si>
    <t>ZS: GPT-3.5-turbo / FT: BERT</t>
  </si>
  <si>
    <t>Reddit; binary misogyny classification; English; n=1,303 test posts</t>
  </si>
  <si>
    <t>Zero-shot GPT-3.5 prompt ensembles achieved misogynistic-class F1 0.53–0.54 versus 0.42–0.43 for supervised BERT baselines; best ensemble accuracy was 0.91.</t>
  </si>
  <si>
    <t>Direct same-test comparison shows zero-shot prompting outperforming supervised fine-tuning on the principal misogyny-detection F1 metric.</t>
  </si>
  <si>
    <t>§3.1, §4, Table 2; zero-shot GPT-3.5 and supervised baselines are evaluated on the same 1,303-post held-out Reddit test set.</t>
  </si>
  <si>
    <t>Text documents; IMDB, Yelp, AG-NEWS and 20-NEWS; binary and multiclass quantification</t>
  </si>
  <si>
    <t>DQN directly estimates test-set class distributions and reduces MAE by about 35% versus the best existing comparator while using about 40% fewer training samples for comparable MAE.</t>
  </si>
  <si>
    <t>Extends prevalence estimation beyond classify-and-correct pipelines with an end-to-end deep quantifier and benchmarks against established quantification methods including ACC/PACC.</t>
  </si>
  <si>
    <t>§1–2, §5–6; DQN is explicitly designed to estimate class distributions of unlabelled test sets and evaluated on four text datasets.</t>
  </si>
  <si>
    <t>Image classification; MNIST, Fashion-MNIST, CIFAR-10 and CINIC-10; federated-learning label shift</t>
  </si>
  <si>
    <t>FedCal estimates unknown test-time class priors and rescales classifier predictions using the target/source prior ratio; EM and BBSE variants are evaluated.</t>
  </si>
  <si>
    <t>Directly addresses test-time label-shift estimation and output correction for unseen federated-learning clients without labelled target data.</t>
  </si>
  <si>
    <t>§3–5; test priors are estimated from unlabelled deployment data and used to recalibrate classifier posteriors under label shift.</t>
  </si>
  <si>
    <t>Review/benchmark</t>
  </si>
  <si>
    <t>Quantification methods across classification, sentiment/social-media, biological and other domains</t>
  </si>
  <si>
    <t>Provides a unified taxonomy and tutorial review of methods for estimating class prevalence in unseen test sets, including Adjusted Count and Saerens et al.'s EM procedure.</t>
  </si>
  <si>
    <t>Foundational synthesis covering both major correction families relevant to the project: classify-and-correct approaches and EM/SLD prior adjustment.</t>
  </si>
  <si>
    <t>§1–2, §6, §8; review centres on aggregate class-distribution estimation under changing train/test distributions.</t>
  </si>
  <si>
    <t>29 UCI tabular classification datasets; simulated prior-probability shift</t>
  </si>
  <si>
    <t>LEAP predicts classifier performance under prior shift, with a required step that estimates target-set class prevalences using quantification methods such as ACC/BBSE.</t>
  </si>
  <si>
    <t>Although framed as classifier-accuracy prediction, the method explicitly performs eligible target-prior estimation as an internal component under prior probability shift.</t>
  </si>
  <si>
    <t>§4.2–5; LEAP requires estimated test-set class prevalences and directly uses Adjusted Classify &amp; Count/BBSE for this purpose.</t>
  </si>
  <si>
    <t>Theory</t>
  </si>
  <si>
    <t>Synthetic data, MNIST and CIFAR-10; label-shift estimation</t>
  </si>
  <si>
    <t>Unifies BBSE and maximum-likelihood label-shift estimation, establishes consistency conditions for MLLS, and finds MLLS can achieve 2–10× lower estimation MSE depending on shift magnitude.</t>
  </si>
  <si>
    <t>Directly analyses the two principal target-prior estimation families, including confusion-matrix/BBSE estimation and EM-based maximum-likelihood label-shift estimation.</t>
  </si>
  <si>
    <t>§1, §4, §6; primary estimand is target-domain label distribution/importance weights under label shift.</t>
  </si>
  <si>
    <t>Positive-unlabelled data; image/tabular benchmark datasets under label shift and selection bias</t>
  </si>
  <si>
    <t>Introduces an estimator of the shifted target-class prior for positive-unlabelled data and compares it with classical EM-based prior estimation and associated classifiers.</t>
  </si>
  <si>
    <t>Extends class-prior estimation and label-shift correction to the more difficult PU-learning setting with selection bias.</t>
  </si>
  <si>
    <t>§1–3; explicitly estimates the prior probability of the label-shifted target population and compares against Saerens-style EM estimation.</t>
  </si>
  <si>
    <t>Image and text data streams; CIFAR/CINIC benchmarks, iWildCam and Amazon sentiment analysis; generalized online label shift</t>
  </si>
  <si>
    <t>Agoe estimates the current label distribution and reweights the initial classifier using the current-to-source class-prior ratio while jointly learning an invariant representation.</t>
  </si>
  <si>
    <t>Extends prior-based output correction to generalized online label shift where raw class-conditional features may change but an invariant representation exists.</t>
  </si>
  <si>
    <t>§4, §6; current class-prior estimates are explicitly used to reweight classifier outputs under changing label distributions.</t>
  </si>
  <si>
    <t>Image and text classification; CelebA, Waterbirds, MultiNLI, CivilComments and CheXpert under expanded label shift</t>
  </si>
  <si>
    <t>TTLSA applies EM to unlabelled target samples to estimate shifted joint priors and reweight discriminative classifier outputs, improving robustness under relevant distribution shifts.</t>
  </si>
  <si>
    <t>Extends SLD/EM-style prior correction to joint class-and-nuisance labels and demonstrates it on both image and text benchmarks.</t>
  </si>
  <si>
    <t>Abstract, §3; TTLSA uses EM on unlabelled target data to estimate shifted priors and reweight classifier outputs; published at NeurIPS 2023.</t>
  </si>
  <si>
    <t>Synthetic Toy-10 and CIFAR-10; streaming multiclass data under constant label shift</t>
  </si>
  <si>
    <t>Proposes calibration-aware online estimation of target label proportions followed by importance-weighted classifier adaptation; it substantially reduces label-marginal estimation error versus BBSE-based online baselines.</t>
  </si>
  <si>
    <t>Directly addresses online class-prior estimation and subsequent classifier correction while analysing how calibration quality affects adaptation error.</t>
  </si>
  <si>
    <t>§4, §6; Stage 1 estimates the online target label distribution and Stage 2 adapts classifier parameters using the estimated importance weights.</t>
  </si>
  <si>
    <t>KBP and NYT distant-supervision relation-extraction sentences; real-world train/test label shift</t>
  </si>
  <si>
    <t>Label Adaptation rescales predictive probabilities for changed test-set relation distributions; proposed extensions improve F1 and reliability across multiple neural RE models.</t>
  </si>
  <si>
    <t>Applies classifier-output correction under label shift to an NLP relation-extraction setting, showing the practical effect of changed class priors on predictions.</t>
  </si>
  <si>
    <t>§3.2, §6; Label Adaptation adjusts predictive probabilities to new test label distributions; KBP and NYT provide shifted relation distributions.</t>
  </si>
  <si>
    <t>15 UCI binary datasets plus a boar-semen computer-vision application; class-prior shift</t>
  </si>
  <si>
    <t>Proposes HDx/HDy Hellinger-distance quantifiers for estimating test-set class priors; HDy significantly outperforms CC, Adjusted Count, Median Sweep and posterior-probability methods.</t>
  </si>
  <si>
    <t>Direct quantification study benchmarking a new distribution-matching estimator against both adjusted-count and EM-inspired posterior-probability correction families.</t>
  </si>
  <si>
    <t>§2–5; estimates class priors of unlabelled test sets and compares HD methods with AC and an EM-inspired posterior-probability method.</t>
  </si>
  <si>
    <t>Nine anomaly-detection datasets; active positive-unlabelled learning</t>
  </si>
  <si>
    <t>Introduces CAPE, which estimates the positive-class prior from actively acquired positive labels and unlabelled observations using propensity scores, outperforming existing estimators.</t>
  </si>
  <si>
    <t>Extends prevalence estimation to PU data where labelled positives are actively selected rather than selected completely at random.</t>
  </si>
  <si>
    <t>Abstract, §3, §5; CAPE explicitly estimates the class prior of partially labelled active-PU data and evaluates estimation MAE on nine datasets.</t>
  </si>
  <si>
    <t>Synthetic data and 12 UCI binary datasets; noisy positive-labelled plus unlabelled mixtures</t>
  </si>
  <si>
    <t>Uses direct density-ratio estimation to recover positive and negative mixture proportions in noisy positive-labelled and unlabelled samples, with improved accuracy and speed over comparators.</t>
  </si>
  <si>
    <t>Provides a distinct prevalence-estimation approach for weakly supervised data where both labelled and unlabelled sets have unknown class mixtures.</t>
  </si>
  <si>
    <t>Abstract, §6; directly estimates unknown positive/negative mixture proportions and evaluates class-prior MAE on synthetic and 12 UCI datasets.</t>
  </si>
  <si>
    <t>Simulations and LeQua2022 textual product-review quantification data; binary prevalence estimation</t>
  </si>
  <si>
    <t>Introduces Continuous Sweep, an ensemble of adjusted-count estimators; it outperforms Median Sweep and is competitive with DyS and SLD, although SLD performs better on LeQua2022.</t>
  </si>
  <si>
    <t>Extends the adjusted-count family theoretically and empirically while directly benchmarking against SLD on a text quantification task.</t>
  </si>
  <si>
    <t>§2–5; Continuous Sweep aggregates adjusted-count estimates and is compared with SLD on 5,000 LeQua2022 product-review test sets.</t>
  </si>
  <si>
    <t>Online streams; ArXiv text classification, EuroSAT, MNIST, Fashion-MNIST, CIFAR-10, CINIC-10 and SHL sensor data under online label shift</t>
  </si>
  <si>
    <t>Uses BBSE to estimate changing target label distributions from unlabelled streaming data, then constructs adaptive risk estimators and online ensemble algorithms with optimal dynamic-regret guarantees.</t>
  </si>
  <si>
    <t>Extends confusion-matrix-based prevalence estimation to non-stationary online deployment where class priors change continually rather than once.</t>
  </si>
  <si>
    <t>§3.1, Appendix B.2; BBSE estimates each online target label distribution from unlabelled data via confusion-matrix inversion for subsequent adaptation.</t>
  </si>
  <si>
    <t>Artificial and real multiclass classification problems; changed class priors between training and deployment</t>
  </si>
  <si>
    <t>Introduces the SLD/EM iterative procedure for jointly estimating unknown deployment class priors and correcting classifier posterior outputs without retraining; adjusted classifiers improve accuracy under prior shift.</t>
  </si>
  <si>
    <t>Foundational EM-based label-prior correction method directly underlying the review's SLD/EM correction family.</t>
  </si>
  <si>
    <t>Abstract, §2.3; EM estimates new a priori probabilities from unlabelled deployment data and iteratively adjusts classifier posterior outputs without refitting.</t>
  </si>
  <si>
    <t>OfficeHome and DomainNet image-domain adaptation benchmarks under simultaneous covariate and label shift</t>
  </si>
  <si>
    <t>Vision, natural-language, biological and medical benchmarks including Newsgroups-20; open-set label shift with novel target classes</t>
  </si>
  <si>
    <t>PULSE estimates the complete target label distribution, including novel-class prevalence, then learns a target classifier; it improves target accuracy by 10–25% over generic open-set domain-adaptation baselines.</t>
  </si>
  <si>
    <t>Extends class-prior estimation beyond closed-set label shift by jointly estimating shifted known-class proportions and previously unseen-class prevalence.</t>
  </si>
  <si>
    <t>§1, §6–7; primary goals explicitly include estimation of the target label distribution and novel-class prevalence from unlabelled target data.</t>
  </si>
  <si>
    <t>Digits, VisDA, Office-31 and Office-Home domain-adaptation benchmarks under generalized label shift</t>
  </si>
  <si>
    <t>UCIHAR, SleepEDF and other wearable-sensor time-series datasets; cross-user/device feature and label shift</t>
  </si>
  <si>
    <t>DWLR learns target-sample weights so that the reweighted target label distribution aligns with the source distribution while jointly adapting time- and frequency-domain representations; average performance improves by 5.85%.</t>
  </si>
  <si>
    <t>Eligible label-shift correction study because it explicitly modifies sample weighting and downstream learning to correct mismatched source/target label distributions.</t>
  </si>
  <si>
    <t>§3.1–3.3; learnable target reweighting constructs a reweighted target label distribution and minimises its divergence from the source label distribution.</t>
  </si>
  <si>
    <t>Wildlife camera-trap video/image classification under continuously changing class balance</t>
  </si>
  <si>
    <t>Predicts time-varying test class priors from temporal cues and integrates those priors with classifier outputs through a lightweight test-time prior-adaptation scheme; oracle test priors improve classification, while predicted-prior gains depend on prior-prediction accuracy.</t>
  </si>
  <si>
    <t>Direct prior-estimation and output-correction study addressing continuously changing deployment prevalence without classifier retraining.</t>
  </si>
  <si>
    <t>§3–5; temporal class-prior predictor estimates deployment priors and the prior-adaptation module adjusts standard classifier outputs at test time.</t>
  </si>
  <si>
    <t>MNIST, CIFAR-10 and CIFAR-100 under simulated Dirichlet label shift</t>
  </si>
  <si>
    <t>ELSA estimates target/source class-prior importance weights through semiparametric moment matching and linear systems, achieving lower prior-estimation MSE than competing methods across many shift settings without requiring post-prediction calibration.</t>
  </si>
  <si>
    <t>Direct class-prior-ratio estimation study that also benchmarks against the two major established families, BBSE/RLLS and MLLS/EM.</t>
  </si>
  <si>
    <t>§1–4; ELSA directly estimates label-shift importance weights and is evaluated against BBSE/RLLS and MLLS across controlled prior shifts.</t>
  </si>
  <si>
    <t>More than 170,000 short employee questionnaire comments from 14 companies; multi-label text quantification</t>
  </si>
  <si>
    <t>Introduces PCC-PAV and PCC-EPAV to improve class-count estimation by calibrating classifier posterior probabilities for quantification; PCC-EPAV significantly improves quantification quality over PCC-PAV and simpler baselines.</t>
  </si>
  <si>
    <t>Directly estimates class prevalence/counts in unlabelled text collections and therefore meets the core Strand B-ii quantification criterion.</t>
  </si>
  <si>
    <t>§2–4; objective is estimation of per-label document counts, evaluated on a large real-world short-text corpus using probabilistic quantification methods.</t>
  </si>
  <si>
    <t>31 multi-class benchmark datasets with artificially varied train/test prevalences</t>
  </si>
  <si>
    <t>Proposes FMC-SQ and FMC-MQ ensembles that fuse classifier and quantifier outputs; FMC-MQ, combining multiple quantifiers including EM, GACC and GPACC, is the best-performing approach on average.</t>
  </si>
  <si>
    <t>Direct multi-class quantification study spanning both adjusted-count and EM-based prevalence-estimation families and showing that ensemble fusion can improve prevalence estimates.</t>
  </si>
  <si>
    <t>§3–7; experiments compare and combine GACC/GPACC adjusted-count quantifiers and EMQ across 31 multi-class prevalence-shift datasets.</t>
  </si>
  <si>
    <t>CCA-LSC estimates the target-domain label distribution from pseudo-labels, derives a class-specific label-shift metric, and recalibrates target predictions; the method improves performance on both benchmark families.</t>
  </si>
  <si>
    <t>Directly satisfies B-ii because it estimates the unlabelled target label distribution and then uses the estimated prior shift to correct classifier predictions.</t>
  </si>
  <si>
    <t>§3.3–3.4; target distribution PT is approximated from pseudo-labels, converted into class-wise label-shift ratios, and used to reweight target prediction probabilities.</t>
  </si>
  <si>
    <t>Estimates target/source class-prior ratios using moment matching and a source confusion matrix, then applies those estimates as importance weights within DANN, JAN and CDAN; the weighted variants improve performance under large label-distribution mismatches.</t>
  </si>
  <si>
    <t>Directly extends confusion-matrix-based label-shift estimation to generalized label shift in representation space and uses the estimated prior ratios for adaptation.</t>
  </si>
  <si>
    <t>§3.3–3.4; target/source label-distribution importance weights are estimated from the source confusion matrix and target prediction distribution and then used to reweight learning objectives.</t>
  </si>
  <si>
    <t>Word-sense disambiguation on Brown Corpus and Wall Street Journal portions of the DSO corpus; cross-domain sense-prior shift</t>
  </si>
  <si>
    <t>Uses the Saerens EM procedure with calibrated classifier probabilities to estimate target-domain sense priors and adjust WSD predictions; better calibration produces more accurate prior estimates and significant WSD accuracy improvements.</t>
  </si>
  <si>
    <t>Direct NLP application of EM/SLD-style target-prior estimation and posterior correction under domain-dependent class-prior shift.</t>
  </si>
  <si>
    <t>§2, §6; EM estimates new-domain sense priors from unlabelled target instances and the resulting priors are used to adjust classifier predictions.</t>
  </si>
  <si>
    <t>Synthetic mixtures and 12 UCI real-world datasets, including Spambase; noisy positive-labelled and unlabelled binary data</t>
  </si>
  <si>
    <t>Introduces parametric and non-parametric class-prior estimators that transform high-dimensional PU data into a prior-preserving univariate space; AlphaMax-N is robust to positive-label noise and performs strongly across real datasets.</t>
  </si>
  <si>
    <t>Extends prevalence estimation to noisy positive-unlabelled settings where even the nominally positive sample is contaminated.</t>
  </si>
  <si>
    <t>§2, §5–6; primary objective is estimation of the positive-class prior α from noisy labelled-positive and unlabelled mixtures, followed by posterior recovery.</t>
  </si>
  <si>
    <t>Artificial data, nine benchmark datasets including Spambase, and MIMIC-III clinical records; positive-unlabelled learning</t>
  </si>
  <si>
    <t>Proposes the CD+MM logistic-regression-based estimator for class prevalence under PU sampling; it generally yields lower class-prior estimation error than competing methods and is robust to deviations from the assumed logistic model.</t>
  </si>
  <si>
    <t>Direct class-prior estimation study addressing identifiability and practical prevalence recovery from positive and unlabelled observations.</t>
  </si>
  <si>
    <t>§3, §5–6; CD+MM estimates label frequency and derives the positive-class prior, with evaluation on benchmark and clinical datasets.</t>
  </si>
  <si>
    <t>11 real-world PU benchmarks including six binary 20 Newsgroups text tasks; positive-unlabelled class-prior estimation</t>
  </si>
  <si>
    <t>TIcE estimates label frequency using decision-tree-induced high-positive subdomains and converts it to the class prior; it achieves the best average absolute prior error with low variance while being substantially faster than competing estimators.</t>
  </si>
  <si>
    <t>Provides an efficient non-parametric prevalence estimator for PU learning and demonstrates it on both conventional tabular and text-classification datasets.</t>
  </si>
  <si>
    <t>§2–4; TIcE estimates label frequency from positive/unlabelled data using decision-tree subdomains, from which the class prior is recovered.</t>
  </si>
  <si>
    <t>Binary quantification under prior-probability shift; theoretical and numerical examples</t>
  </si>
  <si>
    <t>Introduces Fisher consistency as a minimum unbiasedness criterion for class-prevalence estimators; ACC and the Saerens EM estimator are Fisher consistent under prior-probability shift, whereas CDE-Iterate is not.</t>
  </si>
  <si>
    <t>Provides a theoretical comparison of the two core correction families relevant to B-ii and establishes conditions under which their prevalence estimates can be trusted.</t>
  </si>
  <si>
    <t>§3–5; directly analyses ACC/confusion-matrix and EM class-prevalence estimators and proves both Fisher consistent under prior-probability shift.</t>
  </si>
  <si>
    <t>Adult and other UCI binary benchmark datasets under simulated changing class distributions</t>
  </si>
  <si>
    <t>CDE-EM ensemble methods estimate the test class distribution using multiple classifiers rather than a single CDE model, reducing training-distribution bias and improving classification robustness when test prevalence differs from training prevalence.</t>
  </si>
  <si>
    <t>Direct quantification study estimating changing class distributions from unlabelled deployment data and using those estimates to adapt classification under concept drift.</t>
  </si>
  <si>
    <t>§1, §3–5; proposed CDE ensemble methods explicitly estimate test-data class distributions from multiple models and are evaluated under train/test prevalence mismatch.</t>
  </si>
  <si>
    <t>Synthetic categorical and general normed-label experiments under label shift</t>
  </si>
  <si>
    <t>Develops importance-weight estimators for transferring from labelled source to unlabelled target domains, generalising classifier/confusion-matrix-based estimators to arbitrary functions and providing finite-sample confidence and generalisation bounds.</t>
  </si>
  <si>
    <t>Extends confusion-matrix/moment-based label-shift estimation theory and uses the resulting source-to-target prior ratios for importance-weighted target adaptation.</t>
  </si>
  <si>
    <t>§1, §4–5; directly estimates source-to-target importance weights under label shift, generalising prior black-box/confusion-matrix estimators and evaluating estimation error on synthetic data.</t>
  </si>
  <si>
    <t>Incomplete multi-view benchmarks including Handwritten, Sensit, Notting-Hill, CUB, YaleB and MNIST, plus schizophrenia MRI data; Tweak-One and Dirichlet label shifts</t>
  </si>
  <si>
    <t>IMLLS estimates source-to-target importance weights from learned complete representations and uses them to reweight and fine-tune the classifier; it improves both weight-estimation error and classification performance over competing incomplete-view and label-shift methods.</t>
  </si>
  <si>
    <t>Extends label-shift prior-ratio estimation to incomplete multi-view data and directly benchmarks its weighting strategy against BBSE/RLLS-style correction.</t>
  </si>
  <si>
    <t>§III–V; learned representations are used to estimate label-shift importance weights and reweight the source classifier; weight-estimation error is compared with RLLS.</t>
  </si>
  <si>
    <t>SVHN, CIFAR-10, FashionMNIST and ISIC2016 image datasets; active learning under labelled/unlabelled-pool label shift</t>
  </si>
  <si>
    <t>LSCHQ estimates the label-distribution ratio between the unlabelled pool and labelled set using confusion-matrix-based moment matching, then applies importance weighting during training and conditions sample querying on the estimated shift.</t>
  </si>
  <si>
    <t>Directly estimates deployment class-prior ratios and uses them for label-shift correction, extending confusion-matrix-based prevalence estimation into deep active learning.</t>
  </si>
  <si>
    <t>§4–5; label-shift estimation uses predicted class distributions and a confusion matrix to estimate the unlabelled-to-labelled class ratio before importance-weighted adaptation.</t>
  </si>
  <si>
    <t>53 UCI classification datasets; 29 binary and 24 multiclass; simulated prior-probability shift</t>
  </si>
  <si>
    <t>LEAP estimates test-set contingency-table entries for classifier accuracy prediction; incorporating test class-prior estimates from quantification improves CAP performance under prior shift.</t>
  </si>
  <si>
    <t>Shows that prevalence estimation can serve as an explicit intermediate component in downstream deployment assessment, with ACC/BBSE directly embedded in the method.</t>
  </si>
  <si>
    <t>§4.4, §5.3; LEAP requires test class-prior estimates; LEAPACC uses ACC/BBSE and experiments use 53 UCI datasets.</t>
  </si>
  <si>
    <t>CIFAR100-LT, ImageNet-LT and Places-LT; image recognition under varying long-tailed test distributions</t>
  </si>
  <si>
    <t>LSC learns a neural estimator of the unknown test label distribution and uses the estimate to correct pretrained-model predictions, consistently improving performance under non-uniform test priors.</t>
  </si>
  <si>
    <t>Direct label-shift prevalence estimation and classifier correction study, extending BBSE-style estimation to difficult long-tailed recognition settings.</t>
  </si>
  <si>
    <t>§3–4; GBBSE estimates the unlabelled test label distribution; experiments compare LSC with BBSE, MLLS and RLLS on three long-tailed image datasets.</t>
  </si>
  <si>
    <t>Amazon product reviews; binary and multiclass textual quantification shared-task benchmark</t>
  </si>
  <si>
    <t>LeQua 2022 establishes a dedicated benchmark for predicting class prevalences in unlabelled text, with controlled prevalence-shift test samples and quantification-specific evaluation measures.</t>
  </si>
  <si>
    <t>Provides a standardised textual benchmark for evaluating prevalence estimators directly rather than treating quantification as a by-product of document classification.</t>
  </si>
  <si>
    <t>§1–3; full shared-task article defines prevalence-estimation tasks, evaluation protocol and Amazon-review data for binary and multiclass quantification.</t>
  </si>
  <si>
    <t>Application</t>
  </si>
  <si>
    <t>Multimodal mobile-AI tasks; six human-centred datasets including natural-language understanding, speech and activity recognition</t>
  </si>
  <si>
    <t>MACRA monitors sliding-window predicted class proportions to detect label-frequency shifts and selectively shares model updates, improving accuracy while reducing communication and adaptation latency.</t>
  </si>
  <si>
    <t>Extends classify-and-count-style distribution monitoring to online personalised mobile-AI deployment and demonstrates prevalence-sensitive adaptation across multiple modalities.</t>
  </si>
  <si>
    <t>§5.2, §6; predicted class proportions in consecutive windows detect label-frequency shift; evaluation includes GLUE natural-language tasks.</t>
  </si>
  <si>
    <t>30 benchmark datasets from UCI, Kaggle, UEA/UCR and USP; multiclass label-shift adaptation</t>
  </si>
  <si>
    <t>Match enforces quantifier-estimated target prevalences while maximising prediction likelihood and significantly outperforms Bayes-update and retraining adjustments across the benchmark.</t>
  </si>
  <si>
    <t>Directly studies the second stage of label-shift correction while evaluating both adjusted-count and EM-based prevalence estimators as inputs to classifier adaptation.</t>
  </si>
  <si>
    <t>§6–7; Match uses estimated target prevalences and is evaluated with GACC, GPACC and Saerens EMQ across 30 datasets.</t>
  </si>
  <si>
    <t>MNIST, CIFAR-10, CIFAR-100 and diabetic-retinopathy images; simulated label shift</t>
  </si>
  <si>
    <t>Maximum-likelihood/EM adaptation with bias-corrected calibration generally outperforms BBSL and RLLS, showing that calibration quality is crucial for accurate target-prior estimation.</t>
  </si>
  <si>
    <t>Direct empirical comparison of EM/SLD-style prevalence correction against confusion-matrix-based BBSL/RLLS, linking calibration quality to prior-estimation accuracy.</t>
  </si>
  <si>
    <t>§3–4; estimates target priors with calibrated maximum likelihood and compares EM against BBSL/RLLS on MNIST, CIFAR and retinopathy data.</t>
  </si>
  <si>
    <t>Synthetic binary classification under supervised and unsupervised non-parametric label shift</t>
  </si>
  <si>
    <t>Shows that class-proportion estimation is a minimax-rate-optimal component of unsupervised label-shift classification and derives matching theoretical rates supported by simulations.</t>
  </si>
  <si>
    <t>Provides theoretical justification for estimating deployment prevalence as a necessary intermediate step in optimal unsupervised label-shift adaptation.</t>
  </si>
  <si>
    <t>§4–5; class-proportion estimation is a preliminary step in unsupervised label shift; distribution matching attains the minimax rate.</t>
  </si>
  <si>
    <t>CIFAR-10, CIFAR-100 and Red mini-ImageNet; image classification under label shift with source-label noise</t>
  </si>
  <si>
    <t>NLSC jointly estimates source and target label distributions after noise-robust representation learning and cleaning, substantially outperforming competing label-shift methods as source noise increases.</t>
  </si>
  <si>
    <t>Extends prevalence estimation and posterior correction to the practically important case where noisy source labels violate standard clean-source label-shift assumptions.</t>
  </si>
  <si>
    <t>§2.1, §4–6; separate heads estimate source and target label distributions; experiments compare MLLS, BBSE/RLLS and NLSC under noisy label shift.</t>
  </si>
  <si>
    <t>Synthetic and real classification sequences; non-stationary streaming data with changing class priors</t>
  </si>
  <si>
    <t>Proposes online incremental EM to continually estimate class priors from arriving unlabelled samples and adjust the classifier, outperforming batch EM when priors vary over time.</t>
  </si>
  <si>
    <t>Foundational extension of SLD/EM-style prevalence estimation and output correction from static deployment to continuously changing online class distributions.</t>
  </si>
  <si>
    <t>Abstract, §1–3; online incremental EM estimates evolving test-sequence class priors and updates classifier posteriors without retraining.</t>
  </si>
  <si>
    <t>§3–4; label-shift equations are used internally to enforce stakeholder-specified recommendation-category targets, not estimate deployment prevalence or correct a naturally changed deployment prior.</t>
  </si>
  <si>
    <t>24 UCI binary benchmark datasets; prevalence-shift quantification</t>
  </si>
  <si>
    <t>Develops nearest-neighbour quantifiers and weighting variants PWK/PWKa for estimating positive-class prevalence; adjusted methods substantially improve robustness over plain classify-and-count.</t>
  </si>
  <si>
    <t>Direct prevalence-estimation study showing that adjusted-count correction principles can be applied effectively with simple nearest-neighbour base learners.</t>
  </si>
  <si>
    <t>§2–4; binary quantification estimates test prevalence; Adjusted Count is developed as a comparator and evaluation spans 24 UCI datasets.</t>
  </si>
  <si>
    <t>Twitter geolocation stream; tweet text/location features; non-stationary class-prior shift</t>
  </si>
  <si>
    <t>LIMES extrapolates future class distributions from historical priors and applies a non-trainable bias correction to adapt the streaming classifier, outperforming baseline update strategies.</t>
  </si>
  <si>
    <t>Demonstrates prior-based output correction on large-scale social-media streams where deployment class proportions evolve over time.</t>
  </si>
  <si>
    <t>§1–3; LIMES extrapolates future class priors and applies a bias-correction term to the streaming classifier on Twitter data.</t>
  </si>
  <si>
    <t>MNIST, Fashion-MNIST, CIFAR-10 and CIFAR-100; Tweak-One and Dirichlet label shifts</t>
  </si>
  <si>
    <t>OLSA jointly estimates target/source importance weights and trains the adapted classifier in one bi-level optimisation, outperforming conventional two-step label-shift methods across most settings.</t>
  </si>
  <si>
    <t>Direct class-prior-ratio estimation and correction study that unifies weight estimation with classifier adaptation and benchmarks against both confusion-matrix and maximum-likelihood families.</t>
  </si>
  <si>
    <t>§3–4; OLSA estimates target/source importance weights from unlabelled target data and compares with BBSE/RLLS and MLLS across four datasets.</t>
  </si>
  <si>
    <t>CIFAR-10, STL10, CINIC, EuroSAT and CIFAR-10C; online and generalised online label shift</t>
  </si>
  <si>
    <t>OLS-OFU combines online label-marginal estimation/adaptation with self-supervised feature updates and consistently improves six existing online label-shift methods across datasets and shift patterns.</t>
  </si>
  <si>
    <t>Extends online prevalence-based label-shift adaptation beyond final-layer correction by updating the representation while preserving target-label-marginal estimation.</t>
  </si>
  <si>
    <t>§3–4, Algorithms 2–4; several OLS components explicitly estimate the current unlabelled test label marginal using confusion-matrix inversion/BBSE before model adaptation.</t>
  </si>
  <si>
    <t>Synthetic, MNIST, Fashion-MNIST, CIFAR, CINIC, EuroSAT, SHL and arXiv language data; dynamically changing online label distributions</t>
  </si>
  <si>
    <t>FLH-FTL tracks evolving class proportions through online regression and generally improves both classification error and label-marginal estimation over existing online label-shift methods, with optimal dynamic-regret guarantees.</t>
  </si>
  <si>
    <t>Extends prevalence estimation to continuously and unpredictably changing deployment priors and evaluates both BBSE and MLLS-style marginal estimators in online adaptation.</t>
  </si>
  <si>
    <t>§3–5, Appendix G.4; algorithms track drifting class proportions; experiments report label-marginal MSE and compare BBSE, MLLS and RLLS estimates across vision, sensor and arXiv text data.</t>
  </si>
  <si>
    <t>Digits, VisDA and Office computer-vision domain-adaptation benchmarks; simultaneous label and class-conditional shift</t>
  </si>
  <si>
    <t>MARS estimates target label proportions by combining mixture-proportion estimation with optimal-transport matching, then reweights the source loss and aligns conditional distributions; it performs better on average than competing generalized-target-shift methods.</t>
  </si>
  <si>
    <t>Directly satisfies B-ii Q1 by estimating unknown target class proportions under generalized label shift, rather than assuming them known during domain adaptation.</t>
  </si>
  <si>
    <t>Abstract, §1, §6.3; target label proportions are explicitly estimated and used as importance weights in the MARS adaptation objective.</t>
  </si>
  <si>
    <t>Random samples with misclassified binary outcomes; theoretical scenarios and an oral-health caries-prevalence application</t>
  </si>
  <si>
    <t>Derives tight identification intervals and confidence regions for true prevalence when sensitivity and specificity are unknown but two replicate proxy measurements and their kappa agreement are available.</t>
  </si>
  <si>
    <t>Extends prevalence estimation to partially identified settings where true class membership is unobserved and conventional point correction is impossible because misclassification parameters are unknown.</t>
  </si>
  <si>
    <t>Abstract, §1; directly estimates true population prevalence from imperfect proxy classifications using partial identification and kappa-based sensitivity analysis.</t>
  </si>
  <si>
    <t>Synthetic data and four UCI datasets: audit, ionosphere, diabetes and vertebral; positive-unlabelled learning</t>
  </si>
  <si>
    <t>CAPU jointly estimates the positive-class prior of the unlabelled set and trains the PU classifier through convex risk minimisation and mixture-proportion approximation; it generally achieves strong prior estimates and classification performance.</t>
  </si>
  <si>
    <t>Direct PU class-prior estimation study meeting B-ii Q1 because the unknown proportion of positives in unlabelled data is an explicit output of the method.</t>
  </si>
  <si>
    <t>§3–4; CAPU simultaneously estimates the unlabelled-set class prior and classifier parameters and evaluates absolute prior-estimation error across synthetic and UCI data.</t>
  </si>
  <si>
    <t>MNIST, Fashion-MNIST, Kuzushiji-MNIST and CIFAR-10; positive-unlabelled classification under train/test class-prior shift</t>
  </si>
  <si>
    <t>DRPU trains a prior-invariant density-ratio model and subsequently estimates unknown class priors for test-time adaptation; its proposed prior estimator outperforms KM2 in almost all tested settings.</t>
  </si>
  <si>
    <t>Combines PU classification with explicit deployment class-prior estimation, satisfying B-ii Q1 despite avoiding dependence on the prior during the classifier-training stage.</t>
  </si>
  <si>
    <t>§3.2, §5; test-time class priors are estimated from positive validation and unlabelled test samples, and prior-estimation absolute error is reported directly.</t>
  </si>
  <si>
    <t>Candles, Bank Marketing, SPAM e-mail, Wisconsin Breast Cancer and Blocks Classification; binary quantification under prior-probability shift</t>
  </si>
  <si>
    <t>Develops an approximately minimax ratio-estimator family that generalises Adjusted Count, provides confidence intervals and extensions, and is competitive with EM across five benchmark datasets.</t>
  </si>
  <si>
    <t>Provides theoretical and empirical development of prevalence estimation under prior shift while directly spanning both adjusted-count and Saerens-EM quantification families.</t>
  </si>
  <si>
    <t>§2.2–2.5; ratio estimators generalise AC; experiments compare against Saerens EM on five datasets including SPAM e-mail.</t>
  </si>
  <si>
    <t>IMDB, Kindle and Harry Potter product/book-review datasets; binary sentiment quantification</t>
  </si>
  <si>
    <t>Properly optimised CC, PCC, ACC and PACC achieve near-state-of-the-art prevalence-estimation accuracy, although SLD and HDy remain among the strongest methods.</t>
  </si>
  <si>
    <t>Reassesses foundational classify-and-count quantification and directly benchmarks adjusted-count and SLD/EM prevalence estimators on real textual sentiment data.</t>
  </si>
  <si>
    <t>§2, §4; compares optimised CC/PCC/ACC/PACC with advanced quantifiers including SLD on three sentiment-review datasets.</t>
  </si>
  <si>
    <t>14 multi-domain datasets spanning vision, NLP and tabular data, including CivilComments; 560 source-target shift pairs under relaxed label shift</t>
  </si>
  <si>
    <t>RLSbench shows that many standard domain-adaptation methods degrade substantially as target-label proportions shift; its two-step meta-algorithm pseudo-balances training data, estimates the target label marginal and reweights the final classifier, often improving accuracy by 2–10 percentage points under large shifts.</t>
  </si>
  <si>
    <t>Provides a large-scale benchmark for prevalence-aware domain adaptation and directly evaluates target-label-marginal estimation and classifier correction under relaxed label shift, including RLLS and MLLS estimators.</t>
  </si>
  <si>
    <t>§2–4, Algorithm 1; explicitly estimates the target label marginal from unlabelled target data and reweights classifier outputs; benchmark includes NLP, vision and tabular datasets and compares RLLS and MLLS estimators.</t>
  </si>
  <si>
    <t>MNIST, CIFAR-10 and SVHN; 2,500 noisy labelled source samples and 10,000 unlabelled target samples under Tweak-One and Dirichlet label shifts</t>
  </si>
  <si>
    <t>DNEM jointly estimates the noise-transition matrix and target label distribution through denoising EM, derives importance weights and reweights the classifier; it substantially outperforms conventional label-shift methods under high source-label noise.</t>
  </si>
  <si>
    <t>Extends EM/SLD-style class-prior estimation and label-shift correction to settings where source labels are themselves noisy, while directly benchmarking against BBSE/RLLS and MLLS.</t>
  </si>
  <si>
    <t>§3.3–4, Algorithm 1; EM estimates source and target label distributions, importance weights are derived from those estimates, and experiments compare DNEM with BBSE/RLLS and MLLS.</t>
  </si>
  <si>
    <t>Synthetic classification experiments and military-vehicle geophone data; class-prior change</t>
  </si>
  <si>
    <t>PE-divergence distribution matching estimates unknown test class ratios accurately and generally improves subsequent classification versus competing estimators.</t>
  </si>
  <si>
    <t>Direct prevalence-estimation method under prior shift, with explicit comparison to Saerens-style EM class-prior estimation.</t>
  </si>
  <si>
    <t>§1, §4–5; estimates unlabelled test class priors by distribution matching and compares with EM-based estimation.</t>
  </si>
  <si>
    <t>D6; the 2014 journal article explicitly states that it is an extended version of this 2012 conference paper; retain S2-0509.</t>
  </si>
  <si>
    <t>640,000 IPFIX flow records; 12 real households; IoT device identification; 2020</t>
  </si>
  <si>
    <t>Estimated deployment class prevalences enable Bayes reweighting of classifier outputs and improve robustness to naturally changing IoT-device frequencies.</t>
  </si>
  <si>
    <t>Real-world application of quantification and prior-based output correction under operational label shift.</t>
  </si>
  <si>
    <t>§4–6; estimates class distributions in unlabelled test traffic and uses them to Bayes-adjust classifier outputs after deployment.</t>
  </si>
  <si>
    <t>Synthetic and real data streams; evolving multiclass priors</t>
  </si>
  <si>
    <t>Transfer estimation borrows information from similar distributions to improve evolving class-prior estimates and classification when each current target batch is small.</t>
  </si>
  <si>
    <t>Extends prevalence estimation to streaming settings with continuously changing class distributions and limited target samples.</t>
  </si>
  <si>
    <t>Abstract, §1; estimates evolving test class priors and adjusts the classifier, covering confusion-matrix and batch-EM estimators.</t>
  </si>
  <si>
    <t>Title/abstract; five-page tutorial whose stated goal is to introduce quantification techniques, metrics and future directions; R10 treats tutorial outlines as E3.</t>
  </si>
  <si>
    <t>Unlabelled target-domain object-detection images; cross-domain class-label shift</t>
  </si>
  <si>
    <t>Estimates the target pixel-level class distribution from predicted bounding boxes and uses the resulting label-shift estimate to reweight source local features during adaptation.</t>
  </si>
  <si>
    <t>Extends explicit class-prior estimation and correction from image classification to object detection with multiple co-occurring objects.</t>
  </si>
  <si>
    <t>Abstract, §2–3; target class distribution is estimated from predicted boxes and the estimated shift reweights source features.</t>
  </si>
  <si>
    <t>Unlabelled multi-domain image datasets; latent label-shift mixture proportions</t>
  </si>
  <si>
    <t>DDFA recovers per-domain latent class proportions and adapted classifiers from unlabelled multi-domain data by domain discrimination, clustering and matrix factorisation.</t>
  </si>
  <si>
    <t>Extends prevalence estimation to a fully unsupervised setting where both class identities and their changing domain-specific prevalences are latent.</t>
  </si>
  <si>
    <t>§1–2, Algorithm 1; explicitly recovers per-domain mixture proportions p_d(y) and corresponding classifiers from unlabelled domains.</t>
  </si>
  <si>
    <t>Office-31, Office-Home and VisDA-2017; generalized label shift/domain adaptation</t>
  </si>
  <si>
    <t>Shows invariant representation learning alone is insufficient under generalized label shift and proposes KECA, which estimates class importance weights and performs joint shift correction.</t>
  </si>
  <si>
    <t>Provides theoretical and empirical support for explicit class-prior-ratio estimation as a necessary component of generalized label-shift adaptation.</t>
  </si>
  <si>
    <t>§IV–V; KECA estimates importance weights using BBSE-style label-shift estimation and evaluates prior-estimation error during adaptation.</t>
  </si>
  <si>
    <t>Abstract; CHASM evaluates multimodal LLMs on Rednote posts using visual and textual information, so the primary input is not text alone.</t>
  </si>
  <si>
    <t>ZS: ChatGPT / FT: ALBERT</t>
  </si>
  <si>
    <t>Reddit/UMD; suicide-risk classification; English; held-out test set</t>
  </si>
  <si>
    <t>Fine-tuned ALBERT achieved F1=0.869 versus 0.73 for zero-shot ChatGPT at temperature 0.1.</t>
  </si>
  <si>
    <t>Direct same-task comparison shows a substantial supervised fine-tuning advantage over prompting on social-media suicide-risk text.</t>
  </si>
  <si>
    <t>§4–5, Table 4; zero-shot ChatGPT and fine-tuned ALBERT are evaluated on the UMD Reddit suicidality test set.</t>
  </si>
  <si>
    <t>ZS: Mistral/Gemma/Llama / FT: same LLMs with LoRA</t>
  </si>
  <si>
    <t>Dark-web hacker forums; four-class cybersecurity classification; English; n=670 curated posts</t>
  </si>
  <si>
    <t>Fine-tuned models consistently outperform zero-shot and few-shot prompting across the evaluated open-source LLMs.</t>
  </si>
  <si>
    <t>Direct same-dataset comparison shows parameter-efficient supervised fine-tuning outperforming prompting on informal hacker-forum text under constrained hardware.</t>
  </si>
  <si>
    <t>§3–4; four LLMs are compared in zero-shot, few-shot and LoRA-fine-tuned forms on the same 670-post expert-labelled dataset.</t>
  </si>
  <si>
    <t>§II–III, Table II; fine-tuned baseline results come from a prior study, while current prompting uses different and often larger test populations.</t>
  </si>
  <si>
    <t>ZS: LLaMA 3.0 few-shot / FT: BERT Base</t>
  </si>
  <si>
    <t>X/Twitter; three-class AI-surveillance sentiment classification; English; n=686 test tweets</t>
  </si>
  <si>
    <t>Fine-tuned BERT achieved accuracy 0.83 versus 0.41 for prompted LLaMA 3.0, which collapsed largely to neutral predictions.</t>
  </si>
  <si>
    <t>Direct same-test comparison strongly favours supervised fine-tuning over prompting for short social-media sentiment classification.</t>
  </si>
  <si>
    <t>§III–IV; BERT is fine-tuned and LLaMA few-shot prompted, with both evaluated on the same held-out Twitter test set.</t>
  </si>
  <si>
    <t>Abstract; primary contribution is sentiment analysis for low-resource, morphologically rich Tamil/code-mixed tweets rather than the supervision-axis comparison.</t>
  </si>
  <si>
    <t>ZS: ChatGPT/GPT-4 prompted / FT: BERT/RoBERTa/DeBERTa/GPT-2</t>
  </si>
  <si>
    <t>SemEval-2014 restaurant reviews; sentiment and aspect classification; English; n=464 test reviews</t>
  </si>
  <si>
    <t>Fine-tuned transformer models generally achieve stronger classification performance and markedly shorter execution times than prompted ChatGPT/GPT-4.</t>
  </si>
  <si>
    <t>Direct same-review comparison captures both accuracy and computational-efficiency differences between supervised fine-tuning and prompting.</t>
  </si>
  <si>
    <t>§4–5, Table 2; prompted LLMs and fine-tuned transformers are evaluated on the same 464-review test split with accuracy, F1 and execution time.</t>
  </si>
  <si>
    <t>§Methods; prompt-engineered GPT-4o-mini uses a 20% test set whereas the fine-tuned GPT-4o-mini uses a different 10% test set.</t>
  </si>
  <si>
    <t>§IV, Table III; only a fine-tuned LLM result is reported alongside classical baselines; no scored zero-shot or prompted LLM arm is reported.</t>
  </si>
  <si>
    <t>ZS: pretrained SBERT projection / FT: SBERT</t>
  </si>
  <si>
    <t>Reddit/GoEmotions; multi-label emotion classification; English; common GoEmotions test split</t>
  </si>
  <si>
    <t>Fine-tuned SBERT achieves about 0.48 F1 versus at most 0.15 for the zero-shot/unsupervised projection approaches using the pretrained encoder.</t>
  </si>
  <si>
    <t>Same-dataset comparison shows a large fine-tuning advantage on short Reddit comments, independently of the paper's separate cross-domain SemEval transfer experiment.</t>
  </si>
  <si>
    <t>§5–6, Tables 1–2; pretrained projection and supervised fine-tuned SBERT approaches are evaluated on GoEmotions Reddit emotion classification.</t>
  </si>
  <si>
    <t>ZS: Llama-2-7B / FT: BERT</t>
  </si>
  <si>
    <t>CrisisLex/CrisisNLP/CrisisBench tweets; crisis classification; English; informativeness test n=12,831/7,206/31,095</t>
  </si>
  <si>
    <t>Fine-tuned BERT consistently outperforms Llama 2 in zero-shot and few-shot settings across informativeness and humanitarian crisis-tweet classification.</t>
  </si>
  <si>
    <t>Direct same-test comparison demonstrates a robust supervised fine-tuning advantage over limited-shot prompting on crisis-related social-media text.</t>
  </si>
  <si>
    <t>§3–4; fine-tuned BERT and zero/few-shot Llama 2 use the same CrisisLex, CrisisNLP and CrisisBench test partitions.</t>
  </si>
  <si>
    <t>ZS: Llama 2-7B / FT: Llama 2-7B with SFT/LoRA</t>
  </si>
  <si>
    <t>Reviews and social-media datasets; sentiment, ABSA, hate/offensive/irony classification; English; up to 500 test items/task</t>
  </si>
  <si>
    <t>Performance is task-dependent: few-shot prompting often beats SFT, while SFT improves selected subtasks when combined with few-shot prompting.</t>
  </si>
  <si>
    <t>Shows that the supervision advantage is not uniform; task structure can determine whether prompting or supervised adaptation performs better.</t>
  </si>
  <si>
    <t>Table III; the same Llama 2-7B is evaluated in zero/few-shot and SFT configurations on fixed task-specific test sets.</t>
  </si>
  <si>
    <t>ZS: 13 LLMs / FT: corresponding LLMs with LoRA</t>
  </si>
  <si>
    <t>Arabic/English/Spanish social-media tweets/posts; fake-vs-real text classification; n=4,837/8,700/22,197/971</t>
  </si>
  <si>
    <t>LoRA fine-tuning consistently improves classification performance over zero-shot inference across models, languages and all four deepfake datasets.</t>
  </si>
  <si>
    <t>Provides a broad multilingual same-task comparison showing a consistent fine-tuning advantage and explicit efficiency trade-offs for parameter-efficient adaptation.</t>
  </si>
  <si>
    <t>§III–VI; the same benchmark datasets are used for zero-shot and LoRA-fine-tuned evaluation across thirteen LLMs.</t>
  </si>
  <si>
    <t>ZS: Phi-4-mini/Qwen3-4B/Llama-3.2-1B / FT: same models with DSPy BootstrapFinetuning</t>
  </si>
  <si>
    <t>X/Twitter; entity sentiment classification; Arabic; n=600 test tweets</t>
  </si>
  <si>
    <t>Fine-tuning strongly improves Qwen in target-independent classification, but target-dependent fine-tuning underperforms its best few-shot configuration.</t>
  </si>
  <si>
    <t>Demonstrates that supervised adaptation can yield large gains on the same Arabic social-media task, but its advantage depends on task formulation.</t>
  </si>
  <si>
    <t>§III–IV; zero-shot, few-shot and bootstrap-fine-tuned configurations are evaluated on the same stratified 600-tweet test set.</t>
  </si>
  <si>
    <t>Methods; AraBERT, MARBERT and mBERT were run without training or fine-tuning on either study dataset; all comparator predictions were zero-shot.</t>
  </si>
  <si>
    <t>ZS: GPT-4/GPT-3.5/Bard / FT: Arabic BERT models</t>
  </si>
  <si>
    <t>Twitter; three-class Saudi-dialect sentiment classification; Arabic; 25% test split of 2,690 tweets</t>
  </si>
  <si>
    <t>Fine-tuned BERT achieves the highest overall F1 at 0.79, narrowly ahead of GPT-4 at 0.77 and Bard at 0.76.</t>
  </si>
  <si>
    <t>Direct same-test comparison shows prompting can approach supervised fine-tuning on dialectal social-media sentiment, but does not surpass the best fine-tuned model.</t>
  </si>
  <si>
    <t>§3–4; BERT models and prompted GPT/Bard models are evaluated against the same SDTCtest labels.</t>
  </si>
  <si>
    <t>ZS: GPT-3.5/GPT-4 / FT: RoBERTa/BERTweet/SocBERT</t>
  </si>
  <si>
    <t>Twitter; six binary health-related classification tasks; English; 20% test split, total n=774–7,470/task</t>
  </si>
  <si>
    <t>Supervised pretrained language models consistently achieve higher F1 than the GPT zero-shot classifiers, although GPT-4 often attains higher recall.</t>
  </si>
  <si>
    <t>Direct multi-task comparison shows fine-tuning retains an F1 advantage over zero-shot LLM classification on short health-related social-media posts.</t>
  </si>
  <si>
    <t>Methods/results; zero-shot GPT and supervised PLMs are evaluated against the same human-labelled held-out Twitter test data.</t>
  </si>
  <si>
    <t>ZS: GPT-4.1-nano/Phi-4/Qwen2.5/Qwen3 / FT: same model families</t>
  </si>
  <si>
    <t>30,000 English tweets; propaganda classification; fixed evaluation split includes 200-item golden test set</t>
  </si>
  <si>
    <t>Fine-tuning improves weighted F1 by approximately 0.09–0.30 across configurations; hierarchical prompting becomes most useful after adaptation.</t>
  </si>
  <si>
    <t>Strong controlled evidence that supervised adaptation improves short social-media classification and interacts with prompting structure and annotation reliability.</t>
  </si>
  <si>
    <t>§3.4–4, Table 3; zero-shot and fine-tuned models are evaluated on the same fixed tweet test sets.</t>
  </si>
  <si>
    <t>§III–IV; classification unit is the user, represented by embeddings aggregated across that user's multiple Facebook posts, not an individual short text.</t>
  </si>
  <si>
    <t>§Methodology/Fig. 1; GPT-4 prompts label training tweets; only downstream fine-tuned classifiers are scored on the common held-out test set.</t>
  </si>
  <si>
    <t>ZS: GPT-3.5/Mistral / FT: BERT-family models</t>
  </si>
  <si>
    <t>X/Twitter; climate and COVID relevance/information classification; English; climate n=1,300, COVID test n≈892</t>
  </si>
  <si>
    <t>Fine-tuned BERT-family models outperform zero/few-shot LLMs across the four reported climate/COVID task-domain combinations.</t>
  </si>
  <si>
    <t>Direct same-task comparison supports a supervised fine-tuning advantage for short social-media classification despite gains from empathy/ethics prompting.</t>
  </si>
  <si>
    <t>Table 1; zero/few-shot GPT/Mistral and fine-tuned BERT models are scored on the same climate/COVID tweet tasks.</t>
  </si>
  <si>
    <t>ZS: Llama 70B/13B/7B, GPT-3.5, GPT-J / FT: Llama 70B/13B/7B</t>
  </si>
  <si>
    <t>Twitter/Reddit social-media posts; emotion classification; SemEval, GoEmotions and 80-emotion Twitter dataset</t>
  </si>
  <si>
    <t>Fine-tuned Llama 70B is best across all three datasets; average improvement over non-fine-tuned Llama 70B is approximately 9.09%.</t>
  </si>
  <si>
    <t>Fine-tuning gives a modest but consistent advantage, while the authors explicitly note the additional expense and time required.</t>
  </si>
  <si>
    <t>Tables II–III; fine-tuned and non-fine-tuned Llama models are evaluated on the same three social-media emotion datasets.</t>
  </si>
  <si>
    <t>ZS: GPT-3.5 few-shot / FT: RoBERTa, BETO, RoBERTuito</t>
  </si>
  <si>
    <t>X/Twitter; four-emotion classification; Colombian Spanish; corpus n=1,200</t>
  </si>
  <si>
    <t>GPT-3.5 few-shot achieves the highest Micro-F1, 75.2, versus 73.4 for RoBERTa and 72.9 for RoBERTuito.</t>
  </si>
  <si>
    <t>Shows that a prompted LLM can outperform supervised fine-tuned transformers on the same low-resource-language social-media classification task.</t>
  </si>
  <si>
    <t>§4.2 and Table 2; GPT-3.5 few-shot and fine-tuned BERT-family models are evaluated on the same manually labelled tweet corpus.</t>
  </si>
  <si>
    <t>ZS: ChatGPT (gpt-3.5-turbo) / FT: BERTweet-covid</t>
  </si>
  <si>
    <t>Twitter; COVID low-income-household tweet classification; English; n=246 test tweets</t>
  </si>
  <si>
    <t>Fine-tuned BERTweet-covid outperforms zero-shot ChatGPT: weighted F1 78.71 vs 71.11 and macro-F1 75.48 vs 62.83.</t>
  </si>
  <si>
    <t>Direct same-test-set evidence shows supervised fine-tuning substantially outperforming zero-shot ChatGPT on a specialised short social-media classification task.</t>
  </si>
  <si>
    <t>§Methods, Experimental Setup, Table 2; zero-shot ChatGPT and fine-tuned BERTweet-covid classify the same 246-tweet test set.</t>
  </si>
  <si>
    <t>ZS: BLOOMZ/mT0 / FT: XLM-R, IndoBERT, mBERT</t>
  </si>
  <si>
    <t>Reddit/Twitter; binary sarcasm classification; Indonesian; Reddit n=14,116 and Twitter n=2,684 with 20% test splits</t>
  </si>
  <si>
    <t>Fine-tuned XLM-R achieves the highest F1 on both datasets: 62.74% on Reddit and 76.92% on Twitter, substantially above all zero-shot LLMs.</t>
  </si>
  <si>
    <t>Direct same-test comparison shows a strong supervised fine-tuning advantage over zero-shot multilingual LLMs for Indonesian social-media sarcasm detection.</t>
  </si>
  <si>
    <t>§III–IV, Tables 1–2; zero-shot BLOOMZ/mT0 and fine-tuned PLMs are evaluated on the same Reddit and Twitter test subsets.</t>
  </si>
  <si>
    <t>§Methods/Results; BERT is tested on 253 posts whereas ChatGPT uses 300 inference posts, so the arms do not share identical test data.</t>
  </si>
  <si>
    <t>ZS: Llama-3.1-8B-Instruct / FT: Llama-3.1-8B-Instruct</t>
  </si>
  <si>
    <t>Reddit/social media; binary self-harm classification; English; n=5,206 corpus, 20% test split</t>
  </si>
  <si>
    <t>Multitask fine-tuned Llama-3 achieves SHC F1=0.88 versus 0.74 zero-shot and 0.79 few-shot.</t>
  </si>
  <si>
    <t>Direct same-model comparison shows substantial gains from supervised adaptation on nuanced self-harm posts containing contextual language and emoji cues.</t>
  </si>
  <si>
    <t>§7–8, Table 9; same SHINES 80/20 split compares zero/few-shot with fine-tuned LLMs; Llama-3 SHC F1 rises 0.74→0.88.</t>
  </si>
  <si>
    <t>ZS: GPT-4 few-shot / FT: BERT</t>
  </si>
  <si>
    <t>Twitter/Facebook and other computational-social-science text; 27 annotation tasks; English; n=1,000 held-out items/task</t>
  </si>
  <si>
    <t>Performance is training-size dependent: GPT-4 beats BERT on 18/27 tasks with 250 BERT training labels, while BERT wins 10/14 comparable tasks with 1,000 labels.</t>
  </si>
  <si>
    <t>Shows that prompting can be competitive with supervised fine-tuning at low labelled-data budgets, but the advantage can reverse as supervised training data increase.</t>
  </si>
  <si>
    <t>Methods/Results, Fig. A4; same held-out sets; GPT-4 wins 18/27 at 250 labels, BERT wins 10/14 at 1,000.</t>
  </si>
  <si>
    <t>§5.2, Table 3; current results report zero/one/5-shot Llama-3, while the fine-tuned BERT comparator is a previous-year approach, not a same-test arm.</t>
  </si>
  <si>
    <t>ZS: GPT-4 / FT: BERT</t>
  </si>
  <si>
    <t>X/Twitter; binary political-affiliation classification; 11 countries/languages; n=500 test messages for most countries</t>
  </si>
  <si>
    <t>Zero-shot GPT-4 substantially outperforms fine-tuned BERT; in the US sample accuracy and macro-F1 are both 0.934 versus 0.808 for BERT.</t>
  </si>
  <si>
    <t>Shows that zero-shot prompting can outperform supervised fine-tuning on short social-media text requiring contextual and implicit political interpretation.</t>
  </si>
  <si>
    <t>Methods/Results, Table 1; same Twitter test sample; GPT-4 accuracy/macro-F1 0.934 versus fine-tuned BERT 0.808 in the US case.</t>
  </si>
  <si>
    <t>ZS: GPT-4o / FT: GPT-4o</t>
  </si>
  <si>
    <t>Hotel customer reviews; five-class star-rating classification; English; common held-out test set</t>
  </si>
  <si>
    <t>Fine-tuned GPT-4o achieves accuracy 0.670 and F1=0.6729 versus 0.662 accuracy and F1=0.6553 for zero-shot GPT-4o.</t>
  </si>
  <si>
    <t>Same-model comparison shows a modest supervised fine-tuning gain, while the strong zero-shot model already exceeds the separately fine-tuned BERT baseline.</t>
  </si>
  <si>
    <t>§3.3–4.2, Table 2; base and fine-tuned GPT-4o use the same test set; accuracy increases 0.662→0.670.</t>
  </si>
  <si>
    <t>§III, service pipeline; the “zero-shot” arm uses cardiffnlp/twitter-roberta-base-sentiment, already trained/fine-tuned for sentiment, so it is not an eligible zero-shot arm.</t>
  </si>
  <si>
    <t>ZS: Mistral-7B-Instruct / FT: Mistral-7B-Instruct (LoRA/QLoRA/DoRA/QDoRA)</t>
  </si>
  <si>
    <t>Reddit/Twitter/public forums; six-class mental-health classification; English; n=51,607 preprocessed posts</t>
  </si>
  <si>
    <t>DoRA achieves 87.8% accuracy versus 60.9% zero-shot and 64.3% two-shot; all four PEFT variants substantially outperform prompting.</t>
  </si>
  <si>
    <t>Direct same-model evidence shows parameter-efficient supervised adaptation strongly improves fine-grained mental-health classification on social-media text.</t>
  </si>
  <si>
    <t>§4.1–4.3, Table 3; same Mistral-7B compares zero/two-shot with PEFT; accuracy rises from 60.9/64.3% to 85.7–87.8%.</t>
  </si>
  <si>
    <t>Abstract/§1; primary contribution compares multilingual and transfer strategies across languages rather than isolating the zero-shot-versus-fine-tuning supervision axis.</t>
  </si>
  <si>
    <t>ZS: GPT-3.5/Mistral-7B / FT: XLM-T Sentiment</t>
  </si>
  <si>
    <t>Twitter; tourism sentiment; French/English/Spanish; n=2,961 corpus, 20% test</t>
  </si>
  <si>
    <t>Fine-tuned XLM-T Sentiment achieves the strongest accuracy, reaching 0.939 with 10 examples per class; zero-shot GPT-3.5 reaches 0.785.</t>
  </si>
  <si>
    <t>Shows that task-specific supervised adaptation can outperform prompting substantially, although prompted LLMs remain competitive with very little labelled target-domain data.</t>
  </si>
  <si>
    <t>§4.1–5.1, Table 8; identical tourism-tweet evaluation compares zero/few-shot LLM prompting with supervised fine-tuning; XLM-T Sentiment reaches 0.939 accuracy.</t>
  </si>
  <si>
    <t>ZS: LLaMA-2-7B-chat / FT: LLaMA-2-7B-chat</t>
  </si>
  <si>
    <t>B airline customer reviews; 10-class star-rating classification; English; n=1,200 test reviews</t>
  </si>
  <si>
    <t>Base LLaMA-2 achieves 29.92% accuracy; fine-tuning on 3,840 reviews raises accuracy to 32.83% on the same 1,200-item test set.</t>
  </si>
  <si>
    <t>Provides a direct same-model comparison showing a modest but measurable gain from supervised fine-tuning on user-generated review text.</t>
  </si>
  <si>
    <t>§4.2–4.3; base and fine-tuned LLaMA-2 are evaluated on the same 1,200 airline-review test set; accuracy rises 29.92%→32.83%.</t>
  </si>
  <si>
    <t>ZS: GPT-4 / FT: XLM-T</t>
  </si>
  <si>
    <t>Twitter; mobility-policy sentiment; Brussels; n=1,998 tweets</t>
  </si>
  <si>
    <t>GPT-4 reaches 0.66 accuracy while domain-specific fine-tuned XLM-T reaches 0.67; untuned XLM-T reaches 0.48.</t>
  </si>
  <si>
    <t>The near-tie shows that prompted GPT-4 can approach supervised domain adaptation on short policy-related tweets, while fine-tuning retains a small overall advantage.</t>
  </si>
  <si>
    <t>Abstract/Results; 1,998 Brussels tweets are evaluated with GPT-4 and domain-fine-tuned XLM-T; accuracy is 0.66 versus 0.67.</t>
  </si>
  <si>
    <t>Methods; the purported zero-shot transformer is trained on labelled Greek tweets with parameter updates, so no eligible zero-shot/prompted arm is established.</t>
  </si>
  <si>
    <t>ZS: GPT-5/LLaMA-3-8B prompted / FT: FinBERT</t>
  </si>
  <si>
    <t>Financial Twitter datasets; 3-class sentiment; English; four held-out tweet test sets</t>
  </si>
  <si>
    <t>RAG-prompted GPT-5 outperforms fine-tuned FinBERT in accuracy on all four reported datasets, including 78.46% versus 76.74% on Twitter Stock Sentiment.</t>
  </si>
  <si>
    <t>Demonstrates that carefully retrieved in-context examples can equal or exceed supervised fine-tuning under temporal and linguistic drift without modifying LLM parameters.</t>
  </si>
  <si>
    <t>Methods/Table 1; prompted and fine-tuned systems use identical held-out tweet instances; GPT-5 RAG exceeds FinBERT accuracy across all four datasets.</t>
  </si>
  <si>
    <t>ZS: Llama-2-Chat/Vicuna/WizardLM / FT: BERT-family sLLMs</t>
  </si>
  <si>
    <t>Gerrit/GitHub/GooglePlay/Jira/StackOverflow; sentiment classification; English; sampled test n=114/250/35/76/109</t>
  </si>
  <si>
    <t>Performance is mixed: prompted bLLMs dominate scarce or highly imbalanced datasets, while fine-tuned sLLMs lead on larger or more balanced datasets.</t>
  </si>
  <si>
    <t>Directly demonstrates that the supervision advantage depends on labelled-data volume and class balance rather than one approach universally dominating.</t>
  </si>
  <si>
    <t>RQ3, Table 5; prompted bLLMs and fine-tuned sLLMs predict the same sampled test items across five software-user-text datasets.</t>
  </si>
  <si>
    <t>ZS: multilingual LLM ICL / FT: XLM-R/XLM-T</t>
  </si>
  <si>
    <t>X/Twitter reply tweets; 4-class rumour stance; 9 languages; n=7,516 annotated pairs</t>
  </si>
  <si>
    <t>Fine-tuned multilingual masked-language models, including models trained with synthetic LLM data, generally outperform zero-shot ICL across the multilingual benchmark.</t>
  </si>
  <si>
    <t>Retains multilingual evidence because the empirical comparison includes prompted versus supervised fine-tuned systems rather than making cross-language transfer the sole comparison.</t>
  </si>
  <si>
    <t>Experimental setup/results; SCRum-9 benchmarks ICL and fine-tuned MLMs on the same 7,516 multilingual stance-classification tweet pairs.</t>
  </si>
  <si>
    <t>ZS: Gemini-1.5/GPT-4o / FT: GPT-3.5</t>
  </si>
  <si>
    <t>YouTube comments; 3-class sentiment; Egyptian Arabic-English code-switching; n=4,100 corpus</t>
  </si>
  <si>
    <t>Fine-tuned GPT-3.5 achieves the highest test F1 of 92.67%, exceeding the zero-shot Gemini-1.5 and GPT-4o configurations.</t>
  </si>
  <si>
    <t>Directly shows that supervised adaptation retains an advantage over zero-shot LLM inference for code-switched user-generated sentiment classification.</t>
  </si>
  <si>
    <t>Results; zero-shot Gemini/GPT and fine-tuned GPT-3.5 are evaluated on EESA; fine-tuned GPT-3.5 achieves the highest test F1, 92.67%.</t>
  </si>
  <si>
    <t>ZS: Mixtral-8x7B / FT: MarIA</t>
  </si>
  <si>
    <t>Tourism reviews; 5-class sentiment; Mexican Spanish; REST-MEX 2022/2023 evaluation sets</t>
  </si>
  <si>
    <t>Fine-tuned MarIA gives the best macro-F1 on both datasets; on REST-MEX 2023 it scores 59.37% versus 55.96% for zero-shot Mixtral.</t>
  </si>
  <si>
    <t>Same-dataset results show zero-shot ICL can approach supervised fine-tuning in an underrepresented language variety but does not surpass it overall.</t>
  </si>
  <si>
    <t>§4.1–4.2, Tables 2/4; identical REST-MEX evaluation sets compare fine-tuning and ICL; MarIA has the highest macro-F1 on both.</t>
  </si>
  <si>
    <t>ZS: GPT-4 prompt engineering / FT: IndoBERT</t>
  </si>
  <si>
    <t>Comments/reviews; 3-class sentiment; Indonesian; n=500 test entries</t>
  </si>
  <si>
    <t>GPT-4 fusion prompting achieves accuracy/F1 of 0.968/0.9680, substantially exceeding fine-tuned IndoBERT accuracy of 0.906.</t>
  </si>
  <si>
    <t>Shows that structured prompting can outperform conventional supervised fine-tuning on the same short user-generated sentiment test set.</t>
  </si>
  <si>
    <t>Methods/Tables II–IV; GPT-4 prompting and fine-tuned IndoBERT share the 500-item test set; GPT-4 fusion F1=0.9680 versus IndoBERT≈0.906.</t>
  </si>
  <si>
    <t>§4–5; primary outcome is continuous stance estimation scored mainly by Pearson correlation, rather than an eligible supervised classification comparison.</t>
  </si>
  <si>
    <t>ZS: GPT-4-turbo prompt engineering / FT: RoBERTa</t>
  </si>
  <si>
    <t>Reddit; 4-class suicide-risk classification; English; n=500 labelled posts</t>
  </si>
  <si>
    <t>GPT-4-turbo prompt engineering achieves F1=0.75, four points above the best fine-tuned transformer, RoBERTa at F1=0.71.</t>
  </si>
  <si>
    <t>Shows that carefully refined zero-shot prompting can outperform supervised fine-tuning where labelled user-generated training data are extremely limited.</t>
  </si>
  <si>
    <t>§IV, Tables 2–4; GPT-4-turbo and fine-tuned RoBERTa are evaluated on the same Reddit classification task; F1=0.75 versus 0.71.</t>
  </si>
  <si>
    <t>ZS: Llama-3-8B/Ministral-8B / FT: BERT-family encoders/LLM PEFT</t>
  </si>
  <si>
    <t>Reddit; multilabel moral-sentiment classification; English; n=16,123 comments</t>
  </si>
  <si>
    <t>Fine-tuned encoder models substantially outperform zero/few-shot LLMs on moral-foundation classification; PEFT also improves LLM performance over prompting.</t>
  </si>
  <si>
    <t>Shows that supervised adaptation remains important for subjective, fine-grained classification despite strong general-purpose LLM pretraining.</t>
  </si>
  <si>
    <t>Benchmark results; same MFRC labels compare zero/few-shot LLMs, PEFT and fine-tuned encoders; fine-tuned encoders achieve the strongest performance.</t>
  </si>
  <si>
    <t>ZS: GPT-3 davinci / FT: T5/RoBERTa/GPT-3</t>
  </si>
  <si>
    <t>Social-media text; binary sentiment; English; LongEval temporal test splits</t>
  </si>
  <si>
    <t>Fine-tuned T5 achieves the best overall test score of 0.703; prompted GPT-3 reaches 0.662 zero-shot and 0.683 few-shot.</t>
  </si>
  <si>
    <t>Same temporal benchmark shows supervised adaptation performs better overall and is more persistent under temporal shift than zero/few-shot GPT-3 prompting.</t>
  </si>
  <si>
    <t>§4–5, Table 4; zero/few-shot GPT-3 and fine-tuned models use the same LongEval temporal tests; fine-tuned T5 scores highest overall.</t>
  </si>
  <si>
    <t>ZS: TI-Prompt prompt-tuning / FT: BERT-CLS</t>
  </si>
  <si>
    <t>Twitter; threat-intelligence binary/multiclass classification; English; multiple TI tweet test sets</t>
  </si>
  <si>
    <t>TI-Prompt consistently outperforms supervised BERT-CLS in few-shot settings, including roughly a 20-point F1 advantage on SRTC at K=20.</t>
  </si>
  <si>
    <t>Shows prompt-oriented adaptation can outperform conventional supervised transformer fine-tuning when very little labelled Twitter data are available.</t>
  </si>
  <si>
    <t>§V, Tables IV–V; TI-Prompt and BERT-CLS share TI Twitter tasks; at K=20 TI-Prompt substantially exceeds BERT-CLS F1.</t>
  </si>
  <si>
    <t>Twitter/X; 4-class cultured-meat sentiment; English; n=4,595 common evaluation tweets</t>
  </si>
  <si>
    <t>Fine-tuned GPT-4o has the best overall accuracy and weighted F1; both zero-shot GPT-4o configurations nevertheless perform comparably to fine-tuned BERT.</t>
  </si>
  <si>
    <t>Direct same-model evidence shows supervised fine-tuning improves aggregate performance while detailed prompting can remain competitive without labelled training data.</t>
  </si>
  <si>
    <t>§3.1.2, Fig. 3; same annotated tweets compare zero-shot and fine-tuned GPT-4o; fine-tuning gives highest overall accuracy/weighted F1.</t>
  </si>
  <si>
    <t>Experiment 1/Table 1; zero-shot GPT/FLAN-T5 use all data while fine-tuned BERT models use sampled held-out subsets, so test items differ.</t>
  </si>
  <si>
    <t>ZS: GPT-4o/DeepSeek-R1/Qwen2.5 / FT: RoBERTa-wwm-ext/MacBERT/LERT</t>
  </si>
  <si>
    <t>Weibo; 3-class sentiment with parent-child context; Chinese; n=1,738 annotated, 15% test</t>
  </si>
  <si>
    <t>Zero-shot DeepSeek-R1 is best overall, achieving macro-F1=0.7184 versus 0.6988 for the strongest fine-tuned PLM, LERT-Large.</t>
  </si>
  <si>
    <t>Shows a zero-shot LLM can surpass supervised fine-tuning when hierarchical conversational context is supplied explicitly on social-media comments.</t>
  </si>
  <si>
    <t>§3–4, Table 2; unified test framework compares zero-shot LLMs with fine-tuned PLMs; DeepSeek-R1 macro-F1 0.7184 exceeds LERT 0.6988.</t>
  </si>
  <si>
    <t>ZS: mT0/FLAN-T5 / FT: German BERT</t>
  </si>
  <si>
    <t>Twitter; 5-class topic classification; German; n≈3,000 annotated tweets, 20% test</t>
  </si>
  <si>
    <t>Fine-tuned/domain-adapted BERT achieves macro-average 0.8983, compared with 0.7686 for zero-shot FLAN-T5 and 0.6311 for mT0.</t>
  </si>
  <si>
    <t>Shows that zero-shot foundation models can be viable without labelled training data, but supervised fine-tuning retains a substantial performance advantage.</t>
  </si>
  <si>
    <t>§4–5, Table 1; same German Twitter task compares zero-shot mT0/FLAN-T5 with fine-tuned BERT; domain-adapted BERT scores highest.</t>
  </si>
  <si>
    <t>Boar sperm-cell images; veterinary semen viability quantification</t>
  </si>
  <si>
    <t>Posterior-probability/EM quantification gives the lowest average MAE, 3.15%, versus 4.01% for Adjusted Count and 7.92% for Median Sweep.</t>
  </si>
  <si>
    <t>Directly evaluates class-prevalence estimation under changing train/test priors, including ACC-style correction and EM prior re-estimation, though in a non-text image domain.</t>
  </si>
  <si>
    <t>§2–3, Table 1; estimates damaged-cell prevalence under prior shift using AC/MS and EM-based posterior-probability re-estimation; PP gives MAE 3.15%.</t>
  </si>
  <si>
    <t>ZS: Qwen2-72B-Instruct / FT: Llama3-8B, Llama3.1-8B, Gemma2-9B</t>
  </si>
  <si>
    <t>Social-media posts; four-class suicide-risk classification; English; 500 expert-labelled posts used for direct evaluation</t>
  </si>
  <si>
    <t>Fine-tuned Gemma2-9B reaches F1=0.805 versus 0.772 for prompted Qwen2-72B-Instruct on the 500 labelled posts.</t>
  </si>
  <si>
    <t>Provides a direct prompted-versus-supervised-fine-tuned comparison on qualifying user-generated social-media text under limited-label conditions.</t>
  </si>
  <si>
    <t>§IV–V, Tables IV/VII; prompted Qwen2 and fine-tuned LLMs are evaluated on the same 500 expert-labelled posts.</t>
  </si>
  <si>
    <t>Synthetic and remote-sensing classification data under distribution shift</t>
  </si>
  <si>
    <t>The method re-estimates subclass prior probabilities from unlabelled test data and adjusts posterior classifier outputs; subclass-level adaptation improves over class-level prior adjustment.</t>
  </si>
  <si>
    <t>Extends conventional label-shift correction by estimating finer-grained latent subclass priors when class-conditional distributions also drift.</t>
  </si>
  <si>
    <t>§2–3; EM re-estimates posterior subclass probabilities and adapts classifier outputs using unlabelled test data.</t>
  </si>
  <si>
    <t>Twitter sentiment; 6,305 manually labelled tweets across positive, negative, mixed, neutral and unclassifiable categories</t>
  </si>
  <si>
    <t>ACC with supervised classifiers provides low proportion-estimation error and enables automated near-real-time sentiment prevalence estimation.</t>
  </si>
  <si>
    <t>Shows how quantification corrections can be deployed operationally for large-scale social-media analytics rather than relying on raw classification counts.</t>
  </si>
  <si>
    <t>§3.2, Tables 4–5; 6,305 tweets; CC/ACC with MNB and SVM estimate sentiment-category proportions.</t>
  </si>
  <si>
    <t>Twitter topical sentiment; test collection of approximately 3.2 million tweets</t>
  </si>
  <si>
    <t>Proposes an automated classifier-quantification method for estimating sentiment-category proportions at topic level rather than classifying individual tweets.</t>
  </si>
  <si>
    <t>Provides a direct social-media application of prevalence estimation at very large scale and motivates correction for classifier error.</t>
  </si>
  <si>
    <t>Abstract/§1; estimates topic-level sentiment proportions on ≈3.2M tweets and discusses adjusted classify-and-count correction.</t>
  </si>
  <si>
    <t>Twitter user demographics; gender and age; gender experiment uses 1,000 users × 200 tweets</t>
  </si>
  <si>
    <t>The proposed method directly estimates class ratios from aggregate word-vector distributions and often outperforms SVM classify-and-count as target class proportions shift.</t>
  </si>
  <si>
    <t>Demonstrates direct prevalence estimation from social-media text without first producing individual demographic classifications.</t>
  </si>
  <si>
    <t>§3.2–4; directly estimates p_test(y); real Twitter experiments compare ratio estimates against SVM classification.</t>
  </si>
  <si>
    <t>22 UCI benchmark datasets; binary quantification under varied class prevalence</t>
  </si>
  <si>
    <t>Introduces quantification-oriented learning that jointly rewards prevalence accuracy and reliable classification rather than optimising classification alone.</t>
  </si>
  <si>
    <t>Supports treating prevalence estimation as a distinct supervised-learning objective and includes ACC-style baselines.</t>
  </si>
  <si>
    <t>§3–4; proposes Q-measure quantifier; 22 UCI datasets evaluate against state-of-the-art quantification methods including AC.</t>
  </si>
  <si>
    <t>Marine-ecology image data; Caribbean coral surveys and plankton time-series</t>
  </si>
  <si>
    <t>Standard quantifiers are tested under realistic dataset shift; limited target fine-tuning with 25–100 labelled samples can outperform unsupervised alternatives.</t>
  </si>
  <si>
    <t>Tests quantification methods when strict label-shift assumptions fail, showing the limits of conventional prior-shift correction in real deployment data.</t>
  </si>
  <si>
    <t>§1–4; evaluates class-distribution estimation on two ecology datasets; supplementary analysis includes Saerens/EM under violated shift assumptions.</t>
  </si>
  <si>
    <t>20 binary UCI benchmark datasets under manipulated class prevalence</t>
  </si>
  <si>
    <t>Scaled Probability Average improves probability-based prevalence estimates and is generally stronger than unscaled probability averaging and several threshold-based methods.</t>
  </si>
  <si>
    <t>Provides an important probability-estimator alternative to classify-and-count and ACC-style correction for prevalence estimation.</t>
  </si>
  <si>
    <t>§III–IV, Table I; compares CC, AC, T50, SCC, PA and SPA on 20 binary UCI datasets.</t>
  </si>
  <si>
    <t>Positive-and-unlabelled benchmark data; Australian, diabetes, image and waveform datasets</t>
  </si>
  <si>
    <t>Direct Pearson-divergence partial matching estimates the unknown positive-class prior more accurately than the comparison estimator and improves downstream classification.</t>
  </si>
  <si>
    <t>Provides a direct class-prior estimator for PU data, squarely satisfying the prevalence-estimation arm of B-ii.</t>
  </si>
  <si>
    <t>§2–4, Tables 1–2; directly estimates unknown class prior from positive and unlabelled data; benchmark squared-error results favour proposed PE estimator.</t>
  </si>
  <si>
    <t>Text opinion mining; reviews, questionnaires and other opinion-bearing documents</t>
  </si>
  <si>
    <t>Argues that aggregate sentiment analysis is a distinct quantification problem and reviews methods designed to estimate class frequencies rather than optimise individual labels.</t>
  </si>
  <si>
    <t>Provides early conceptual synthesis linking sentiment analysis to prevalence estimation and the Forman quantification literature.</t>
  </si>
  <si>
    <t>“Sentiment Quantification”, pp.72–75; reviews aggregate sentiment quantification and Forman's dedicated quantification methods.</t>
  </si>
  <si>
    <t>RCV1-v2 and OHSUMED-S text corpora; thousands of prevalence-shifted binary test sets</t>
  </si>
  <si>
    <t>SVM(KLD), trained directly for quantification loss, substantially improves prevalence-estimation performance over classification-oriented and adjustment baselines on the large RCV1-v2 experiments.</t>
  </si>
  <si>
    <t>Strong evidence that directly optimising the aggregate prevalence objective can outperform treating quantification as a by-product of classification.</t>
  </si>
  <si>
    <t>§4–6; SVM(KLD) evaluated against 10 quantifiers including ACC/PACC on thousands of text test sets.</t>
  </si>
  <si>
    <t>Stanford Sentiment Treebank, Twitter, marketing survey and CIFAR-10</t>
  </si>
  <si>
    <t>Unifies major quantifiers as constrained multivariate regression and shows substantial gains over naive prevalence estimation across multiple multiclass datasets.</t>
  </si>
  <si>
    <t>Connects ACC-style methods, prior adjustment and multiclass prevalence estimation within a common framework applicable to text and social-media data.</t>
  </si>
  <si>
    <t>§4–5, Tables 2–3; compares AC and other quantifiers on Stanford/Twitter/other datasets and applies Saerens post-quantification adjustment.</t>
  </si>
  <si>
    <t>21 binary text-classification benchmark tasks</t>
  </si>
  <si>
    <t>Naive classify-and-count is systematically biased under prevalence shift; adjusted count and especially the mixture-model estimator give substantially more reliable prevalence estimates.</t>
  </si>
  <si>
    <t>Foundational empirical evidence for correcting classifier counts when deployment prevalence differs from the training distribution.</t>
  </si>
  <si>
    <t>§3–5; 21 binary text tasks compare CC, adjusted CC and mixture-model prevalence estimators under independently varied train/test prevalence.</t>
  </si>
  <si>
    <t>25 binary text-classification tasks × 10 splits; broad train/test prevalence variation</t>
  </si>
  <si>
    <t>Median Sweep gives robust prevalence estimates across severe class imbalance and large shifts between training and test prevalence.</t>
  </si>
  <si>
    <t>Develops the ACC family into threshold-sweep estimators specifically designed for stable prevalence estimation under deployment shift.</t>
  </si>
  <si>
    <t>§2–3; 25 text tasks evaluate quantification under varied prevalences; Median Sweep aggregates adjusted estimates across thresholds.</t>
  </si>
  <si>
    <t>Text-classification benchmarks and HP technical-support call logs</t>
  </si>
  <si>
    <t>Develops and evaluates prevalence and cost-quantification methods that remain useful when test prevalence differs substantially from training and positive cases are rare.</t>
  </si>
  <si>
    <t>Foundational treatment of prevalence estimation under prior shift, directly relevant to ACC-style correction and aggregate analysis of text.</t>
  </si>
  <si>
    <t>Abstract/§1; estimates positive counts/class distributions under train-test prevalence shift and applies quantification to support-log text.</t>
  </si>
  <si>
    <t>HP technical-support call logs; terse unstructured free text</t>
  </si>
  <si>
    <t>Deploys automated text categorisation with adjusted category-count estimates so changing monthly issue prevalence can be tracked despite imperfect classification.</t>
  </si>
  <si>
    <t>Demonstrates prevalence correction as a deployed industrial text-mining workflow rather than only a benchmark exercise.</t>
  </si>
  <si>
    <t>§3.3/system description; category totals may use adjusted quantification methods rather than simple classification counts.</t>
  </si>
  <si>
    <t>Twitter sentiment; SemEval2013/2014/2015, Sanders and additional sentiment datasets</t>
  </si>
  <si>
    <t>Quantification-specific SVM(KLD) usually produces substantially better sentiment-prevalence estimates than classification-oriented SVM(HL).</t>
  </si>
  <si>
    <t>Directly demonstrates on tweet sentiment that optimising individual classification and optimising aggregate prevalence are distinct objectives.</t>
  </si>
  <si>
    <t>Table 2; SVM(KLD) versus classification-oriented SVM(HL) across multiple tweet-sentiment datasets using prevalence-error metrics.</t>
  </si>
  <si>
    <t>Sentiment140; 1.6 million tweets; daily positive-sentiment prevalence</t>
  </si>
  <si>
    <t>Proper quantification algorithms track daily positive-sentiment prevalence much more accurately than ordinary classify-and-count.</t>
  </si>
  <si>
    <t>Provides an intuitive real-world demonstration that classifier accuracy does not guarantee accurate population-level sentiment estimates.</t>
  </si>
  <si>
    <t>§6/Fig.2; Sentiment140 1.6M tweets; first-day training then daily prevalence estimation using CC, AC, X, MS and Q2.</t>
  </si>
  <si>
    <t>Danish-company default-rate data; binary classification under temporal dataset shift</t>
  </si>
  <si>
    <t>The method estimates changed target class priors from unlabelled data jointly with local distribution movement, then updates the classification rule; adaptation improves classification performance.</t>
  </si>
  <si>
    <t>Extends prior-shift correction to settings where both class priors and class-conditional feature distributions can move.</t>
  </si>
  <si>
    <t>§3–4; two-step optimisation estimates changed class prior from unlabelled target data and updates classifier; Danish default-rate evaluation.</t>
  </si>
  <si>
    <t>Credit-scoring data under temporal population drift</t>
  </si>
  <si>
    <t>Estimates changed class priors from unlabelled target data by fitting mixtures of historical class-conditional distributions using least squares.</t>
  </si>
  <si>
    <t>Provides a direct class-prior estimator under verification latency and benchmarks it against Adjusted Count, Median Sweep and Saerens-style EM.</t>
  </si>
  <si>
    <t>§3–6, Table 3; class priors estimated from unlabelled data by least squares; compared with Saerens EM, Adjusted Count and Median Sweep.</t>
  </si>
  <si>
    <t>Unstructured text including blogs, congressional speeches and newspaper editorials; blog validation includes 4,303 posts</t>
  </si>
  <si>
    <t>Directly estimates population document-category proportions rather than individual labels and substantially reduces proportion error relative to aggregated SVM classification.</t>
  </si>
  <si>
    <t>Important social-science text quantification method showing that high individual classification accuracy does not guarantee accurate prevalence estimates.</t>
  </si>
  <si>
    <t>Empirical Evidence/Table 1; nonparametric estimator directly estimates document-category frequencies and is validated on 4,303 blog posts and other text corpora.</t>
  </si>
  <si>
    <t>UCI-style benchmark datasets, YouTube comments and multiclass datasets under varied target class ratios</t>
  </si>
  <si>
    <t>MMD-based estimators directly recover target class ratios; kernel learning improves robustness across changing prevalences and training sizes.</t>
  </si>
  <si>
    <t>Develops direct distribution-matching prevalence estimation and empirically contrasts it with per-instance aggregation and the Saerens EM approach.</t>
  </si>
  <si>
    <t>§2–5; estimates class-ratio vector of unlabelled data using MMD; experiments include YouTube comments and multiple benchmark datasets.</t>
  </si>
  <si>
    <t>Synthetic and benchmark binary/multiclass classification datasets under class-balance change</t>
  </si>
  <si>
    <t>Energy-distance mixture fitting estimates unknown test class priors with accuracy comparable to stronger baselines but substantially lower computation time.</t>
  </si>
  <si>
    <t>Provides a computationally efficient alternative to EM, divergence and MMD-based class-prior estimation.</t>
  </si>
  <si>
    <t>§5; estimates target class priors from labelled training and unlabelled test samples; binary and multiclass benchmark experiments.</t>
  </si>
  <si>
    <t>Verbal-autopsy symptom data; empirical analyses from China and Tanzania</t>
  </si>
  <si>
    <t>Directly estimates population cause-of-death proportions from symptom distributions without requiring individual cause classification.</t>
  </si>
  <si>
    <t>Demonstrates aggregate prevalence estimation in a high-stakes application where the population labels themselves are unavailable.</t>
  </si>
  <si>
    <t>§5–6; solves P(S)=P(S|D)P(D) directly for the population cause distribution; validated using China and Tanzania data.</t>
  </si>
  <si>
    <t>SemEval-2016 Twitter sentiment; 6,000 TRAIN, 2,000 DEV and 2,000 DEVTEST tweets</t>
  </si>
  <si>
    <t>Introduces ordinal quantification trees for directly estimating ordered sentiment-class prevalences; the system ranked first in SemEval ordinal tweet quantification.</t>
  </si>
  <si>
    <t>Extends prevalence estimation to ordered sentiment categories and provides direct social-media evidence.</t>
  </si>
  <si>
    <t>§2–3, Table 1; OQT estimates ordered sentiment prevalence on SemEval tweets and is compared with PCC, CC and ACC.</t>
  </si>
  <si>
    <t>SemEval-2016 Twitter sentiment; binary and five-point ordinal quantification</t>
  </si>
  <si>
    <t>Uses PCC for binary sentiment prevalence and an ordinal tree of probabilistic quantifiers; preliminary comparisons include ACC, PACC and EMQ.</t>
  </si>
  <si>
    <t>Shows operational application of multiple prevalence estimators, including ACC and Saerens-style EM, on short social-media text.</t>
  </si>
  <si>
    <t>§3–4, Table 1; tweet quantification compares CC, PCC, ACC, PACC, EMQ and direct quantifiers; final systems estimate sentiment prevalence.</t>
  </si>
  <si>
    <t>Adult and Bank benchmark datasets under manipulated train/test prevalence</t>
  </si>
  <si>
    <t>Decision trees optimised directly for quantification improve prevalence estimation, especially when paired with Adjusted Count post-processing.</t>
  </si>
  <si>
    <t>Shows that quantification objectives can be incorporated into model learning rather than only correcting an ordinary classifier afterwards.</t>
  </si>
  <si>
    <t>§III–V; decision-tree quantifiers estimate test prevalence; Adult/Bank experiments compare CC and Adjusted Count variants.</t>
  </si>
  <si>
    <t>Multiple benchmark and real-world binary datasets under distribution shift</t>
  </si>
  <si>
    <t>Introduces scalable stochastic algorithms that directly optimise quantification or hybrid classification-quantification objectives and outperform earlier optimisation approaches.</t>
  </si>
  <si>
    <t>Extends direct prevalence-oriented learning to computationally scalable stochastic optimisation.</t>
  </si>
  <si>
    <t>Abstract/experiments; directly optimises quantification loss and evaluates prevalence estimation across benchmark and real datasets.</t>
  </si>
  <si>
    <t>Binary benchmark quantification datasets with deliberately varied training prevalences</t>
  </si>
  <si>
    <t>Ensemble versions of quantifiers trained across expected prevalence conditions outperform their single-model counterparts under distribution change.</t>
  </si>
  <si>
    <t>Shows that anticipated prior shift can be incorporated into ensemble construction to improve prevalence estimation robustness.</t>
  </si>
  <si>
    <t>§3–5; ensemble quantifiers evaluated against CC, Adjusted Count and HDy under changing class distributions.</t>
  </si>
  <si>
    <t>Video Plankton Recorder taxonomic-classification data</t>
  </si>
  <si>
    <t>Corrects observed taxonomic counts using known classifier misclassification probabilities to estimate the true taxonomic composition of a sample.</t>
  </si>
  <si>
    <t>Early direct example of recovering population class proportions from systematically misclassified individual predictions.</t>
  </si>
  <si>
    <t>Method; estimates unknown true taxon counts from observed classified counts and classifier-error probabilities; illustrated with plankton data.</t>
  </si>
  <si>
    <t>Distribution-shift and class-balance-change literature; labelled training plus unlabelled target data</t>
  </si>
  <si>
    <t>Reviews semi-supervised adaptation for changing class priors and covariate distributions, particularly importance-weighting and class-balance estimation approaches.</t>
  </si>
  <si>
    <t>Provides a synthesis connecting class-prior estimation to adaptation under nonstationary deployment distributions.</t>
  </si>
  <si>
    <t>Advanced Review; reviews class-balance change where target class priors differ and unlabelled target inputs are available.</t>
  </si>
  <si>
    <t>Relational/network datasets with biased labelled samples</t>
  </si>
  <si>
    <t>Develops classification-based and link-based methods for estimating class prevalence in networks; Median Sweep performs best among evaluated quantifiers.</t>
  </si>
  <si>
    <t>Extends prevalence estimation to network data where ordinary random-sample and independent-instance assumptions are violated.</t>
  </si>
  <si>
    <t>§2, §6; estimates network class prevalence; experiments compare CC, adjusted/probabilistic methods, Median Sweep and link-based quantification.</t>
  </si>
  <si>
    <t>Credit-risk mixture models; stylised mortgage-risk application</t>
  </si>
  <si>
    <t>Estimates mixture weights representing current class probabilities/default prevalence and studies their exact-fit properties under prior-probability shift.</t>
  </si>
  <si>
    <t>Provides theoretical support for mixture-based class-prior estimation and its use in prevalence and cost quantification.</t>
  </si>
  <si>
    <t>§2–5; mixture component weights are estimated as target class probabilities; applied to default-rate and cost quantification.</t>
  </si>
  <si>
    <t>Binormal-model numerical experiment; theoretical binary quantification analysis</t>
  </si>
  <si>
    <t>Shows that unadjusted quantification using specially optimised classifiers has limited validity and depends strongly on calibration and similarity of training and target prevalence.</t>
  </si>
  <si>
    <t>Clarifies when direct quantification without explicit prior correction can and cannot replace adjusted methods.</t>
  </si>
  <si>
    <t>§2–4; analyses target prevalence estimation by unadjusted quantifiers and reproduces the Q-measure experiment under a controlled binormal model.</t>
  </si>
  <si>
    <t>Synthetic simulations and Waveform benchmark data under biased training/test class distributions</t>
  </si>
  <si>
    <t>Bootstrap estimation recovers the class probabilities of an unlabelled target set and uses them to adjust classifier outputs or retrain the classifier.</t>
  </si>
  <si>
    <t>An early class-prior-estimation and output-correction method for deployment populations with altered class balance.</t>
  </si>
  <si>
    <t>§2–4; bootstrap estimates PU(i) for unlabelled data, then adjusts posterior classifier outputs or retrains using estimated target priors.</t>
  </si>
  <si>
    <t>Benchmark classification datasets with target positive prevalence varied from 1% to 99%</t>
  </si>
  <si>
    <t>Class-distribution-estimation methods recover target prevalence from unlabelled data and use it to adapt the classifier; CDE-AC performs especially strongly.</t>
  </si>
  <si>
    <t>Directly links ACC-style prevalence estimation and EM-style prior correction to downstream classification under class-distribution shift.</t>
  </si>
  <si>
    <t>§2.2–6; estimates NEWCD from unlabelled data; CDE-AC uses Adjusted Count and comparisons/discussion include EM posterior correction.</t>
  </si>
  <si>
    <t>Synthetic and real-world domain-adaptation datasets under target, conditional and generalised target shift</t>
  </si>
  <si>
    <t>Estimates target-domain importance weights so reweighted source data reproduce the unlabelled target covariate distribution, including the case where class proportions change.</t>
  </si>
  <si>
    <t>Extends class-prior/importance-weight estimation beyond strict label shift to generalised target-shift settings.</t>
  </si>
  <si>
    <t>Abstract/method; target-shift framework estimates reweighting coefficients from unlabelled target data and evaluates them on synthetic and real datasets.</t>
  </si>
  <si>
    <t>Synthetic Gaussian data and Blood Transfusion benchmark data under label shift</t>
  </si>
  <si>
    <t>Introduces SELSE for estimating shifted target class proportions and proves semiparametric efficiency; experiments show it competitive with or better than established quantifiers.</t>
  </si>
  <si>
    <t>Provides a modern statistical treatment of label-shift estimation and directly benchmarks against both ACC/PACC and EMQ-family estimators.</t>
  </si>
  <si>
    <t>Ch.4; SELSE estimates target response distribution and is compared with ACC, PACC, HDy, EMQ and MLLS on synthetic and Blood Transfusion data.</t>
  </si>
  <si>
    <t>Verbal-autopsy mortality surveillance; simulations and child mortality data from Mozambique</t>
  </si>
  <si>
    <t>Develops Bayesian transfer-learning and Generalized Bayesian Quantification Learning methods to estimate target-population class prevalences and cause-specific mortality fractions while accounting for classifier misclassification and dataset shift.</t>
  </si>
  <si>
    <t>Provides a general Bayesian quantification framework that jointly estimates target prevalence and classifier error, with direct application to mortality surveillance.</t>
  </si>
  <si>
    <t>Chs.2,4–5; estimates target population class probabilities/CSMF from abundant unlabelled target observations plus limited labelled target data; GBQL includes/shrinks to CC, ACC, PA and APA under particular priors.</t>
  </si>
  <si>
    <t>Text documents, political tweets, sentiment tweets, news corpora and image datasets</t>
  </si>
  <si>
    <t>Introduces an end-to-end Deep Quantification Network that maps sets of instances directly to class-ratio estimates and compares it with classification-based and direct quantification baselines.</t>
  </si>
  <si>
    <t>Extends quantification learning to deep end-to-end prevalence estimation and demonstrates strong results across binary and multiclass text, political-document and image tasks.</t>
  </si>
  <si>
    <t>Chs.3–5; DQN directly predicts class distributions from unlabelled test sets; experiments compare CC, ACC, PCC, PACC, Hybrid and ReadMe on IMDB, AG-NEWS, 20-NEWS, political tweets and other datasets.</t>
  </si>
  <si>
    <t>CoRA, IMDb and Google+ network datasets; class-prevalence estimation over partially labelled networks</t>
  </si>
  <si>
    <t>Proposes community- and ego-network-based quantifiers that exploit homophily to estimate class distributions among unlabelled nodes; ego-network approaches generally outperform sampling and existing network quantification baselines.</t>
  </si>
  <si>
    <t>Extends quantification from independent attribute data to relational network data, directly estimating aggregate class prevalence rather than optimising individual-node classification.</t>
  </si>
  <si>
    <t>§III–VI; formalises network quantification as estimating class frequencies in unlabelled nodes, evaluates community/ego-network methods with CC and Adjusted Classify &amp; Count on CoRA, IMDb and Google+.</t>
  </si>
  <si>
    <t>Full text could not be located despite retrieval attempts; full-text eligibility could not be assessed.</t>
  </si>
  <si>
    <t>Two-page SIGIR tutorial outline describing the motivation, scope and objectives of the tutorial rather than reporting an eligible original study or full review article; excluded under R1.</t>
  </si>
  <si>
    <t xml:space="preserve">§4–5; consumer survey and focus group examined CAV data/privacy knowledge, data collection, privacy controls and trust; respondents showed substantial uncertainty about specific vehicle data-collection features. </t>
  </si>
  <si>
    <t>Respondents generally expected AVs to substantially disrupt transport-sector employment and believed governments were not prepared for the transition; perceptions varied with age, work/study field, education, income, AV knowledge and gender.</t>
  </si>
  <si>
    <t>Provides empirical public-perception evidence on the socio-economic and employment consequences of AV deployment; it does not measure privacy/data-security concerns or resolve concerns to a named CAV subsystem.</t>
  </si>
  <si>
    <t>§3–4, §6; 773 respondents across 50 countries completed a 33-question survey covering AV awareness, general trust, employment, legal and economic concerns; respondents generally anticipated substantial labour-market disruption.</t>
  </si>
  <si>
    <t>n=1,067 representative Polish residents aged 16+ plus n=155 purposively selected TSL-sector respondents; Poland; CAWI surveys, focus-group interviews and individual in-depth interviews; Nov 2021</t>
  </si>
  <si>
    <t>Overall attitudes were cautiously positive, with 55.4% reporting a positive or rather positive opinion of autonomous cars and 49.7% expecting improved travel safety, although the study found substantial uncertainty and limited trust in the technology.</t>
  </si>
  <si>
    <t>Provides nationally representative empirical evidence on AV acceptance, safety perceptions and trust in Poland; the reported concerns remain predominantly vehicle-level rather than privacy/data-security or subsystem-attributed concerns.</t>
  </si>
  <si>
    <t>§2–4; representative CAWI n=1,067 plus TSL sample n=155, with FGI/IDI also used; 55.4% expressed a positive/rather positive opinion and the authors report insufficient trust in autonomous technologies.</t>
  </si>
  <si>
    <t>n=200; 2×2 between-subjects simulated autonomous-taxi interface experiment via Wenjuanxing; participant country and collection period not stated</t>
  </si>
  <si>
    <t>Information sensitivity and anthropomorphism significantly affected technology acceptance; privacy concern was negatively associated with acceptance and significantly mediated the effect of the anthropomorphism × information-sensitivity interaction.</t>
  </si>
  <si>
    <t>Directly links specific autonomous-taxi interface and data-collection mechanisms, including biometric/emotional-data collection versus basic trip information, to privacy concern and technology acceptance.</t>
  </si>
  <si>
    <t>§IV, Tables I–V; n=200 experiment manipulated anthropomorphic versus minimal interfaces and high-sensitivity biometric/emotional-data collection versus basic trip information; privacy concern was measured and significantly mediated acceptance effects.</t>
  </si>
  <si>
    <t>Co-design workshop n=6 plus within-subject VR experiment n=23 German participants; each VR participant experienced two SAV scenarios under baseline, ‘Baymax’ and ‘RoboCop’ conditions; post-session interviews; collection period not stated</t>
  </si>
  <si>
    <t>Digital companions descriptively reduced anxiety and improved perceived security, and ‘Baymax’ was generally preferred; however, the quantitative companion and scenario effects were not statistically significant.</t>
  </si>
  <si>
    <t>Provides repeated within-participant evidence on perceived personal security and trust tied to a specific in-vehicle digital-companion/HMI mechanism; the security construct concerns passenger safety rather than privacy, data handling or cybersecurity.</t>
  </si>
  <si>
    <t>§3–5, §8; n=23 within-subject participants completed security-related measures repeatedly across baseline, ‘Baymax’ and ‘RoboCop’ conditions in two SAV scenarios; descriptive and qualitative improvements were observed but statistical effects were non-significant.</t>
  </si>
  <si>
    <t>TikTok n=30,044 cleaned comments, 2–10 Aug 2023; incident-context survey n=315 valid; main questionnaire n=2,008 valid respondents, China, 10 Dec 2023</t>
  </si>
  <si>
    <t>§3.1–3.2, Appendix A; TikTok LDA and n=2,008 survey measured privacy/data security; risk items named AI decision systems and vehicle sensors.</t>
  </si>
  <si>
    <t>n=21 women across three participatory workshops; German, Italian and Finnish participants; two Zoom workshops and one in-person workshop during COVID-19; exact collection date not stated</t>
  </si>
  <si>
    <t>§3–4; three participatory workshops, n=21 women, identified SAV security/privacy needs involving booking apps, authentication, information displays, cameras and emergency controls.</t>
  </si>
  <si>
    <t>Image data; MNIST, CIFAR10 and CIFAR100 under artificial one-shot and multi-shot label-shift scenarios</t>
  </si>
  <si>
    <t>BMDM jointly matches label and feature marginal distributions and generally improves target-prior estimation, particularly under large label shifts; MBMDM further improves performance in multi-stage settings.</t>
  </si>
  <si>
    <t>Provides a distribution-matching alternative to classifier-dependent label-shift correction and directly benchmarks against EM-based prior estimation.</t>
  </si>
  <si>
    <t>§2.2, §4.1–4.3; BMDM estimates target label proportions via label/feature matching; MNIST/CIFAR experiments benchmark EM and evaluate weight-estimation MSE.</t>
  </si>
  <si>
    <t>Synthetic Gaussian mixtures and Human Immunology Project Consortium flow-cytometry data; label-shift and contaminated-label-shift settings</t>
  </si>
  <si>
    <t>DFM unifies several target-prevalence estimators and provides improved error bounds; soft RFFM shows stronger robustness than BBSE+ and Energy-based alternatives under contamination.</t>
  </si>
  <si>
    <t>Provides a theoretically grounded prevalence-estimation framework connecting ACC/BBSE and EM-style label-shift correction while explicitly addressing robustness when exact label shift is violated.</t>
  </si>
  <si>
    <t>§1.1–4; DFM estimates target proportions; ACC and Saerens/EM are substantively covered; robustness experiments use synthetic mixtures and HIPC cytometry.</t>
  </si>
  <si>
    <t>ZS: 23 LLMs / FT: 20 corresponding fine-tuned LLMs</t>
  </si>
  <si>
    <t>Reddit; buy/sell/other Social Trading Action Detection; English; n=2,123 manually annotated posts; 5-fold cross-validation</t>
  </si>
  <si>
    <t>Fine-tuning improves F1 by 15.1 percentage points on average; fine-tuned Mistral-7B achieves the best F1 of 86.0%, although some architectures show little or negative benefit from fine-tuning.</t>
  </si>
  <si>
    <t>Strong same-corpus evidence that task-specific supervised fine-tuning materially improves classification of noisy financial user-generated text, while also showing that the gain is architecture-dependent.</t>
  </si>
  <si>
    <t>§3.2–3.4, Results; FinReddit-2K contains 2,123 manually annotated Reddit posts; 23 zero-shot and 20 fine-tuned LLMs are evaluated using the same 5-fold cross-validation protocol; fine-tuning improves F1 by +15.1% on average.</t>
  </si>
  <si>
    <t>The zero-shot Llama-3.1 and fine-tuned RoBERTa results are not based on identical test instances. RoBERTa uses held-out subsets from an 80:20 train/test split, whereas the zero-shot LLM is evaluated across substantially larger dataset populations; the confusion-matrix totals confirm different evaluation samples.</t>
  </si>
  <si>
    <t>§3.1; task is explicitly formulated as BIO sequence labelling/NER with token-level entity labels rather than document-level classification.</t>
  </si>
  <si>
    <t>ZS: GPT-4/Llama2/Llama3 / FT: BERT/BERTweet/Llama2/Llama3/Mistral</t>
  </si>
  <si>
    <t>Twitter/X; aspect-based sentiment classification towards Russia/Ukraine; Czech/Slovak, Polish and Hungarian; manually annotated language/aspect subsets with 75/25 train/test splits</t>
  </si>
  <si>
    <t>Fine-tuning substantially outperformed vanilla/in-context settings; Llama2 and Mistral were strongest overall, while GPT-4 and Llama3 performed worse; English translation often improved results.</t>
  </si>
  <si>
    <t>Direct comparison on the same testing splits shows a supervised fine-tuning advantage on short user-generated text; the multilingual setting is retained because the paper explicitly compares supervision regimes rather than using cross-language transfer as the sole primary contrast.</t>
  </si>
  <si>
    <t>§3–5; all models use the same testing split of each annotated Twitter/X sub-dataset; the paper's first stated main finding is that fine-tuning significantly outperformed in-context learning.</t>
  </si>
  <si>
    <t>Abstract/RQs; the paper is explicitly framed around adapting LLMs for low-resource Roman Urdu hate-speech detection and evaluating LoRA/PEFT in that low-resource-language setting; this is the primary contribution.</t>
  </si>
  <si>
    <t>n=130 respondents from the local community in Amman, Jordan; anonymous online survey; collection period not stated</t>
  </si>
  <si>
    <t>The survey found safety concerns in 50.72% of respondents, technology-failure concerns in 9.42%, and privacy concerns in 8.70%.</t>
  </si>
  <si>
    <t>Provides direct empirical evidence on AV/SAV public perception and adoption concerns, including privacy and cybersecurity concerns in Amman.</t>
  </si>
  <si>
    <t>§II–III; n=130 anonymous online survey; participants were asked about cybersecurity threats and system malfunctions, and 8.70% reported privacy as a concern.</t>
  </si>
  <si>
    <t>OS-1</t>
  </si>
  <si>
    <t>Lee, JooYoung; Tian, Lin; Brillantes, Angela; Mihaita, Adriana-Simona; Rizoiu, Marian-Andrei</t>
  </si>
  <si>
    <t>Long Live Fine-Tuning: Task-Specific Transformers Outperform Zero-Shot LLMs for Misinformation Response Classification on Reddit</t>
  </si>
  <si>
    <t>ZS: BART-MNLI/Llama-3/Claude/Gemini / FT: DistilBERT/RoBERTa</t>
  </si>
  <si>
    <t>Reddit; 3-class misinformation-response classification (belief/fact-check/other); English; n=900 comments; identical stratified 5-fold test partitions across all models</t>
  </si>
  <si>
    <t>Fine-tuned RoBERTa achieves macro-F1=0.62 versus 0.50 for the best zero-shot model, Claude Haiku 4.5, while also using a fraction of the per-query cost.</t>
  </si>
  <si>
    <t>Direct same-test comparison shows a clear supervised fine-tuning advantage on short user-generated misinformation discourse, especially for the difficult belief class.</t>
  </si>
  <si>
    <t>Supervisor recommendation</t>
  </si>
  <si>
    <t>§4.4 and Tables 5/8; all models reuse identical 5-fold test partitions; RoBERTa macro-F1=0.62 versus best zero-shot=0.50; compute and API costs are reported.</t>
  </si>
  <si>
    <t>R1–R12 adopted before screening</t>
  </si>
  <si>
    <t>Other sources – supervisor recommendation</t>
  </si>
  <si>
    <t>Lee et al. (2026) preprint; one record identified through supervisor recommendation and entered in the full-text Screening Log as OS-1.</t>
  </si>
  <si>
    <t>Reports sought for retrieval at full text</t>
  </si>
  <si>
    <t>364 records from database screening + 38 backward-citation records + 1 supervisor-recommended record.</t>
  </si>
  <si>
    <t>Reports not retrieved</t>
  </si>
  <si>
    <t>Four full-text records coded E6 (full text unavailable).</t>
  </si>
  <si>
    <t>Reports assessed for eligibility</t>
  </si>
  <si>
    <t>403 reports sought minus 4 not retrieved.</t>
  </si>
  <si>
    <t>Full-text exclusions – E1</t>
  </si>
  <si>
    <t>Not about CAVs / not the target technology.</t>
  </si>
  <si>
    <t>Full-text exclusions – E2</t>
  </si>
  <si>
    <t>Fails the applicable strand test. Count includes S2-0353 corrected to E2/Bi-task; S2-0307 remains E2/Bi-language.</t>
  </si>
  <si>
    <t>Full-text exclusions – E3</t>
  </si>
  <si>
    <t>No empirical content / ineligible short-form contribution under the fixed E3 rule.</t>
  </si>
  <si>
    <t>Full-text exclusions – E7</t>
  </si>
  <si>
    <t>Duplicate contribution.</t>
  </si>
  <si>
    <t>Total reports excluded after full-text assessment</t>
  </si>
  <si>
    <t>1 E1 + 28 E2 + 2 E3 + 1 E7. E6 is reported separately as not retrieved.</t>
  </si>
  <si>
    <t>Reports included after full-text assessment</t>
  </si>
  <si>
    <t>205 Strand A + 58 Strand B-i + 104 Strand B-ii.</t>
  </si>
  <si>
    <t>Included – Strand A</t>
  </si>
  <si>
    <t>Final full-text INCLUDE count for Strand A.</t>
  </si>
  <si>
    <t>Included – Strand B-i</t>
  </si>
  <si>
    <t>Final full-text INCLUDE count after S2-0353 is excluded, S2-0401 remains included, and Lee et al. (2026) is added.</t>
  </si>
  <si>
    <t>Included – Strand B-ii</t>
  </si>
  <si>
    <t>Final full-text INCLUDE count for Strand B-ii.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</si>
</sst>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1"/>
      <name val="Carlito"/>
    </font>
    <font>
      <b/>
      <sz val="16"/>
      <color rgb="FFFFFFFF"/>
      <name val="Carlito"/>
    </font>
    <font>
      <i/>
      <sz val="11"/>
      <color rgb="FF1F1F1F"/>
      <name val="Carlito"/>
    </font>
    <font>
      <b/>
      <sz val="11"/>
      <color rgb="FFFFFFFF"/>
      <name val="Carlito"/>
    </font>
    <font>
      <sz val="10"/>
      <name val="Arial Unicode MS"/>
    </font>
    <font>
      <sz val="8"/>
      <name val="Carlito"/>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20">
    <xf numFmtId="0" fontId="0" fillId="0" borderId="0" xfId="0"/>
    <xf numFmtId="0" fontId="3"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 fontId="0" fillId="0" borderId="0" xfId="0" applyNumberFormat="1" applyAlignment="1">
      <alignment vertical="top" wrapText="1"/>
    </xf>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4" borderId="0" xfId="0" applyFont="1" applyFill="1" applyAlignment="1">
      <alignment wrapText="1"/>
    </xf>
    <xf numFmtId="0" fontId="3" fillId="6" borderId="0" xfId="0" applyFont="1" applyFill="1" applyAlignment="1">
      <alignment wrapText="1"/>
    </xf>
    <xf numFmtId="0" fontId="0" fillId="0" borderId="0" xfId="0" applyAlignment="1">
      <alignment horizontal="center" vertical="center" wrapText="1"/>
    </xf>
    <xf numFmtId="14" fontId="0" fillId="0" borderId="0" xfId="0" applyNumberFormat="1"/>
    <xf numFmtId="14" fontId="0" fillId="0" borderId="0" xfId="0" applyNumberFormat="1" applyAlignment="1">
      <alignment vertical="top" wrapText="1"/>
    </xf>
    <xf numFmtId="14" fontId="0" fillId="0" borderId="0" xfId="0" applyNumberFormat="1" applyAlignment="1">
      <alignment wrapText="1"/>
    </xf>
    <xf numFmtId="9" fontId="0" fillId="0" borderId="0" xfId="0" applyNumberFormat="1" applyAlignment="1">
      <alignment wrapText="1"/>
    </xf>
    <xf numFmtId="164" fontId="0" fillId="0" borderId="0" xfId="0" applyNumberFormat="1" applyAlignment="1">
      <alignment wrapText="1"/>
    </xf>
    <xf numFmtId="0" fontId="0" fillId="0" borderId="0" xfId="0" quotePrefix="1" applyAlignment="1">
      <alignment vertical="top" wrapText="1"/>
    </xf>
    <xf numFmtId="0" fontId="2" fillId="5" borderId="0" xfId="0" applyFont="1" applyFill="1" applyAlignment="1">
      <alignment wrapText="1"/>
    </xf>
    <xf numFmtId="0" fontId="0" fillId="0" borderId="0" xfId="0"/>
    <xf numFmtId="0" fontId="1" fillId="2" borderId="0" xfId="0" applyFont="1" applyFill="1" applyAlignment="1">
      <alignment horizontal="left" vertical="center"/>
    </xf>
  </cellXfs>
  <cellStyles count="1">
    <cellStyle name="Normal" xfId="0" builtinId="0"/>
  </cellStyles>
  <dxfs count="13">
    <dxf>
      <font>
        <b/>
        <color rgb="FFC00000"/>
      </font>
      <fill>
        <patternFill patternType="solid">
          <bgColor rgb="FFFCE4D6"/>
        </patternFill>
      </fill>
    </dxf>
    <dxf>
      <font>
        <b/>
        <color rgb="FF375623"/>
      </font>
      <fill>
        <patternFill patternType="solid">
          <bgColor rgb="FFE2F0D9"/>
        </patternFill>
      </fill>
    </dxf>
    <dxf>
      <fill>
        <patternFill patternType="solid">
          <fgColor rgb="FFFCE4D6"/>
          <bgColor rgb="FFFCE4D6"/>
        </patternFill>
      </fill>
    </dxf>
    <dxf>
      <fill>
        <patternFill patternType="solid">
          <fgColor rgb="FFE2F0D9"/>
          <bgColor rgb="FFE2F0D9"/>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J20" totalsRowShown="0">
  <autoFilter ref="A2:J20" xr:uid="{00000000-0009-0000-0100-000001000000}"/>
  <tableColumns count="10">
    <tableColumn id="1" xr3:uid="{00000000-0010-0000-0000-000001000000}" name="Strand"/>
    <tableColumn id="2" xr3:uid="{00000000-0010-0000-0000-000002000000}" name="Database"/>
    <tableColumn id="3" xr3:uid="{00000000-0010-0000-0000-000003000000}" name="Date" dataDxfId="12"/>
    <tableColumn id="4" xr3:uid="{00000000-0010-0000-0000-000004000000}" name="Exact string" dataDxfId="11"/>
    <tableColumn id="5" xr3:uid="{00000000-0010-0000-0000-000005000000}" name="Filters"/>
    <tableColumn id="6" xr3:uid="{00000000-0010-0000-0000-000006000000}" name="Hits"/>
    <tableColumn id="7" xr3:uid="{00000000-0010-0000-0000-000007000000}" name="Status"/>
    <tableColumn id="8" xr3:uid="{00000000-0010-0000-0000-000008000000}" name="Known-item result" dataDxfId="10"/>
    <tableColumn id="9" xr3:uid="{00000000-0010-0000-0000-000009000000}" name="Export file" dataDxfId="9"/>
    <tableColumn id="10" xr3:uid="{00000000-0010-0000-0000-00000A000000}" name="Notes" dataDxfId="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U407" totalsRowShown="0">
  <tableColumns count="21">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00000000-0010-0000-0100-00000D000000}" name="Relation to gap"/>
    <tableColumn id="14" xr3:uid="{00000000-0010-0000-0100-00000E000000}" name="Source"/>
    <tableColumn id="15" xr3:uid="{00000000-0010-0000-0100-00000F000000}" name="Version assessed"/>
    <tableColumn id="16" xr3:uid="{00000000-0010-0000-0100-000010000000}" name="Date assessed"/>
    <tableColumn id="17" xr3:uid="{00000000-0010-0000-0100-000011000000}" name="Sub-reason"/>
    <tableColumn id="18" xr3:uid="{00000000-0010-0000-0100-000012000000}" name="Evidence"/>
    <tableColumn id="19" xr3:uid="{00000000-0010-0000-0100-000013000000}" name="Tag 1"/>
    <tableColumn id="20" xr3:uid="{00000000-0010-0000-0100-000014000000}" name="Tag 2"/>
    <tableColumn id="21" xr3:uid="{00000000-0010-0000-0100-000015000000}" name="Tag 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6:J13" totalsRowShown="0">
  <autoFilter ref="A6:J13" xr:uid="{00000000-0009-0000-0100-000003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C43" totalsRowShown="0" dataDxfId="7">
  <autoFilter ref="A1:C43" xr:uid="{00000000-0009-0000-0100-000004000000}"/>
  <tableColumns count="3">
    <tableColumn id="1" xr3:uid="{00000000-0010-0000-0300-000001000000}" name="Metric" dataDxfId="6"/>
    <tableColumn id="2" xr3:uid="{00000000-0010-0000-0300-000002000000}" name="Count" dataDxfId="5"/>
    <tableColumn id="3" xr3:uid="{00000000-0010-0000-0300-000003000000}" name="Notes" dataDxfId="4"/>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
  <sheetViews>
    <sheetView topLeftCell="A21" zoomScale="115" zoomScaleNormal="115" workbookViewId="0">
      <selection activeCell="B32" sqref="B32"/>
    </sheetView>
  </sheetViews>
  <sheetFormatPr defaultRowHeight="14.25"/>
  <cols>
    <col min="1" max="1" width="12.625" bestFit="1" customWidth="1"/>
    <col min="2" max="2" width="70.25" customWidth="1"/>
    <col min="3" max="3" width="10.125" bestFit="1" customWidth="1"/>
    <col min="4" max="4" width="46.5" customWidth="1"/>
    <col min="5" max="5" width="45.25" bestFit="1" customWidth="1"/>
    <col min="6" max="6" width="6.625" bestFit="1" customWidth="1"/>
    <col min="7" max="7" width="13.875" bestFit="1" customWidth="1"/>
    <col min="8" max="8" width="49" customWidth="1"/>
    <col min="9" max="9" width="27.375" customWidth="1"/>
    <col min="10" max="10" width="125" customWidth="1"/>
  </cols>
  <sheetData>
    <row r="1" spans="1:10">
      <c r="B1" t="s">
        <v>0</v>
      </c>
    </row>
    <row r="2" spans="1:10">
      <c r="A2" t="s">
        <v>1</v>
      </c>
      <c r="B2" t="s">
        <v>2</v>
      </c>
      <c r="C2" t="s">
        <v>3</v>
      </c>
      <c r="D2" t="s">
        <v>4</v>
      </c>
      <c r="E2" t="s">
        <v>5</v>
      </c>
      <c r="F2" t="s">
        <v>6</v>
      </c>
      <c r="G2" t="s">
        <v>7</v>
      </c>
      <c r="H2" t="s">
        <v>8</v>
      </c>
      <c r="I2" t="s">
        <v>9</v>
      </c>
      <c r="J2" t="s">
        <v>10</v>
      </c>
    </row>
    <row r="3" spans="1:10" ht="114" customHeight="1">
      <c r="A3" t="s">
        <v>11</v>
      </c>
      <c r="B3" t="s">
        <v>12</v>
      </c>
      <c r="C3" s="11">
        <v>46285</v>
      </c>
      <c r="D3" s="2"/>
      <c r="F3">
        <v>336</v>
      </c>
      <c r="G3" t="s">
        <v>13</v>
      </c>
      <c r="H3" s="2" t="s">
        <v>14</v>
      </c>
      <c r="I3" s="2" t="s">
        <v>15</v>
      </c>
      <c r="J3" s="2" t="s">
        <v>16</v>
      </c>
    </row>
    <row r="4" spans="1:10" ht="28.5" customHeight="1">
      <c r="A4" t="s">
        <v>11</v>
      </c>
      <c r="B4" t="s">
        <v>17</v>
      </c>
      <c r="C4" s="11">
        <v>46285</v>
      </c>
      <c r="D4" s="2"/>
      <c r="F4">
        <v>476</v>
      </c>
      <c r="G4" t="s">
        <v>13</v>
      </c>
      <c r="H4" s="2" t="s">
        <v>14</v>
      </c>
      <c r="I4" s="2" t="s">
        <v>18</v>
      </c>
      <c r="J4" s="2" t="s">
        <v>19</v>
      </c>
    </row>
    <row r="5" spans="1:10">
      <c r="A5" t="s">
        <v>20</v>
      </c>
      <c r="B5" t="s">
        <v>21</v>
      </c>
      <c r="C5" s="11">
        <v>46286</v>
      </c>
      <c r="D5" s="2"/>
      <c r="F5">
        <v>301</v>
      </c>
      <c r="G5" t="s">
        <v>13</v>
      </c>
      <c r="H5" s="2" t="s">
        <v>14</v>
      </c>
      <c r="I5" s="2" t="s">
        <v>22</v>
      </c>
      <c r="J5" s="2" t="s">
        <v>23</v>
      </c>
    </row>
    <row r="6" spans="1:10">
      <c r="A6" t="s">
        <v>24</v>
      </c>
      <c r="B6" t="s">
        <v>25</v>
      </c>
      <c r="C6" s="11">
        <v>46285</v>
      </c>
      <c r="D6" s="2"/>
      <c r="F6">
        <v>118</v>
      </c>
      <c r="G6" t="s">
        <v>13</v>
      </c>
      <c r="H6" s="2" t="s">
        <v>14</v>
      </c>
      <c r="I6" s="2" t="s">
        <v>26</v>
      </c>
      <c r="J6" s="2" t="s">
        <v>27</v>
      </c>
    </row>
    <row r="7" spans="1:10" ht="28.5" customHeight="1">
      <c r="A7" t="s">
        <v>20</v>
      </c>
      <c r="B7" t="s">
        <v>17</v>
      </c>
      <c r="C7" s="11">
        <v>46285</v>
      </c>
      <c r="D7" s="2"/>
      <c r="F7">
        <v>1117</v>
      </c>
      <c r="G7" t="s">
        <v>28</v>
      </c>
      <c r="H7" s="2" t="s">
        <v>29</v>
      </c>
      <c r="I7" s="2" t="s">
        <v>30</v>
      </c>
      <c r="J7" s="2" t="s">
        <v>31</v>
      </c>
    </row>
    <row r="8" spans="1:10" ht="28.5" customHeight="1">
      <c r="A8" t="s">
        <v>24</v>
      </c>
      <c r="B8" t="s">
        <v>17</v>
      </c>
      <c r="C8" s="11">
        <v>46285</v>
      </c>
      <c r="D8" s="2"/>
      <c r="F8">
        <v>2120</v>
      </c>
      <c r="G8" t="s">
        <v>28</v>
      </c>
      <c r="H8" s="2" t="s">
        <v>32</v>
      </c>
      <c r="I8" s="2" t="s">
        <v>33</v>
      </c>
      <c r="J8" s="2" t="s">
        <v>34</v>
      </c>
    </row>
    <row r="9" spans="1:10">
      <c r="A9" t="s">
        <v>24</v>
      </c>
      <c r="B9" t="s">
        <v>21</v>
      </c>
      <c r="C9" s="11">
        <v>46286</v>
      </c>
      <c r="D9" s="2"/>
      <c r="G9" t="s">
        <v>35</v>
      </c>
      <c r="H9" s="2" t="s">
        <v>36</v>
      </c>
      <c r="I9" s="2"/>
      <c r="J9" s="2" t="s">
        <v>37</v>
      </c>
    </row>
    <row r="10" spans="1:10" ht="171" customHeight="1">
      <c r="A10" t="s">
        <v>20</v>
      </c>
      <c r="B10" t="s">
        <v>17</v>
      </c>
      <c r="C10" s="11">
        <v>46285</v>
      </c>
      <c r="D10" s="2" t="s">
        <v>38</v>
      </c>
      <c r="E10" t="s">
        <v>39</v>
      </c>
      <c r="F10">
        <v>1124</v>
      </c>
      <c r="G10" t="s">
        <v>13</v>
      </c>
      <c r="H10" s="2" t="s">
        <v>40</v>
      </c>
      <c r="I10" s="2" t="s">
        <v>30</v>
      </c>
      <c r="J10" s="2" t="s">
        <v>41</v>
      </c>
    </row>
    <row r="11" spans="1:10" ht="142.5" customHeight="1">
      <c r="A11" t="s">
        <v>24</v>
      </c>
      <c r="B11" t="s">
        <v>17</v>
      </c>
      <c r="C11" s="11">
        <v>46286</v>
      </c>
      <c r="D11" s="2" t="s">
        <v>42</v>
      </c>
      <c r="E11" t="s">
        <v>43</v>
      </c>
      <c r="F11">
        <v>325</v>
      </c>
      <c r="G11" t="s">
        <v>28</v>
      </c>
      <c r="H11" s="2" t="s">
        <v>44</v>
      </c>
      <c r="I11" s="2"/>
      <c r="J11" s="2" t="s">
        <v>45</v>
      </c>
    </row>
    <row r="12" spans="1:10" ht="71.25" customHeight="1">
      <c r="A12" t="s">
        <v>46</v>
      </c>
      <c r="B12" t="s">
        <v>47</v>
      </c>
      <c r="C12" s="11">
        <v>46291</v>
      </c>
      <c r="D12" s="2"/>
      <c r="G12" t="s">
        <v>13</v>
      </c>
      <c r="H12" s="2"/>
      <c r="I12" s="2"/>
      <c r="J12" s="2" t="s">
        <v>48</v>
      </c>
    </row>
    <row r="13" spans="1:10" ht="57" customHeight="1">
      <c r="A13" t="s">
        <v>49</v>
      </c>
      <c r="B13" t="s">
        <v>50</v>
      </c>
      <c r="C13" s="11">
        <v>46291</v>
      </c>
      <c r="D13" s="2"/>
      <c r="G13" t="s">
        <v>51</v>
      </c>
      <c r="H13" s="2"/>
      <c r="I13" s="2"/>
      <c r="J13" s="2" t="s">
        <v>52</v>
      </c>
    </row>
    <row r="14" spans="1:10" ht="28.5" customHeight="1">
      <c r="A14" t="s">
        <v>53</v>
      </c>
      <c r="B14" t="s">
        <v>54</v>
      </c>
      <c r="C14" s="11">
        <v>46292</v>
      </c>
      <c r="D14" s="2"/>
      <c r="G14" t="s">
        <v>13</v>
      </c>
      <c r="H14" s="2"/>
      <c r="I14" s="2" t="s">
        <v>55</v>
      </c>
      <c r="J14" s="2" t="s">
        <v>56</v>
      </c>
    </row>
    <row r="15" spans="1:10" ht="28.5" customHeight="1">
      <c r="A15" t="s">
        <v>53</v>
      </c>
      <c r="B15" t="s">
        <v>57</v>
      </c>
      <c r="C15" s="11">
        <v>46292</v>
      </c>
      <c r="D15" s="2"/>
      <c r="G15" t="s">
        <v>13</v>
      </c>
      <c r="H15" s="2"/>
      <c r="I15" s="2"/>
      <c r="J15" s="2" t="s">
        <v>58</v>
      </c>
    </row>
    <row r="16" spans="1:10" ht="28.5" customHeight="1">
      <c r="A16" t="s">
        <v>24</v>
      </c>
      <c r="B16" t="s">
        <v>59</v>
      </c>
      <c r="C16" s="11">
        <v>46299</v>
      </c>
      <c r="D16" s="2"/>
      <c r="G16" t="s">
        <v>60</v>
      </c>
      <c r="H16" s="2"/>
      <c r="I16" s="2"/>
      <c r="J16" s="2" t="s">
        <v>61</v>
      </c>
    </row>
    <row r="17" spans="1:10" ht="28.5" customHeight="1">
      <c r="A17" t="s">
        <v>20</v>
      </c>
      <c r="B17" t="s">
        <v>62</v>
      </c>
      <c r="C17" s="11">
        <v>46299</v>
      </c>
      <c r="D17" s="2"/>
      <c r="G17" t="s">
        <v>60</v>
      </c>
      <c r="H17" s="2"/>
      <c r="I17" s="2"/>
      <c r="J17" s="2" t="s">
        <v>63</v>
      </c>
    </row>
    <row r="18" spans="1:10">
      <c r="A18" t="s">
        <v>64</v>
      </c>
      <c r="B18" t="s">
        <v>65</v>
      </c>
      <c r="C18" s="11">
        <v>46299</v>
      </c>
      <c r="D18" s="2"/>
      <c r="F18">
        <v>1</v>
      </c>
      <c r="G18" t="s">
        <v>13</v>
      </c>
      <c r="H18" s="2"/>
      <c r="I18" s="2"/>
      <c r="J18" s="2" t="s">
        <v>66</v>
      </c>
    </row>
    <row r="19" spans="1:10">
      <c r="A19" t="s">
        <v>64</v>
      </c>
      <c r="B19" t="s">
        <v>67</v>
      </c>
      <c r="C19" s="11">
        <v>46299</v>
      </c>
      <c r="D19" s="2"/>
      <c r="H19" s="2"/>
      <c r="I19" s="2"/>
      <c r="J19" s="2" t="s">
        <v>68</v>
      </c>
    </row>
    <row r="20" spans="1:10" ht="28.5" customHeight="1">
      <c r="A20" t="s">
        <v>64</v>
      </c>
      <c r="B20" t="s">
        <v>69</v>
      </c>
      <c r="C20" s="11">
        <v>46299</v>
      </c>
      <c r="D20" s="2"/>
      <c r="H20" s="2"/>
      <c r="I20" s="2"/>
      <c r="J20" s="2" t="s">
        <v>70</v>
      </c>
    </row>
    <row r="21" spans="1:10" ht="85.5" customHeight="1">
      <c r="A21" t="s">
        <v>11</v>
      </c>
      <c r="B21" t="s">
        <v>71</v>
      </c>
      <c r="C21" s="11">
        <v>46299</v>
      </c>
      <c r="D21" s="2"/>
      <c r="G21" t="s">
        <v>72</v>
      </c>
      <c r="I21" s="2"/>
      <c r="J21" s="2" t="s">
        <v>73</v>
      </c>
    </row>
    <row r="22" spans="1:10">
      <c r="A22" t="s">
        <v>53</v>
      </c>
      <c r="B22" t="s">
        <v>74</v>
      </c>
      <c r="C22" s="11">
        <v>46299</v>
      </c>
      <c r="G22" t="s">
        <v>60</v>
      </c>
      <c r="J22" t="s">
        <v>75</v>
      </c>
    </row>
    <row r="23" spans="1:10">
      <c r="A23" t="s">
        <v>76</v>
      </c>
      <c r="B23" t="s">
        <v>77</v>
      </c>
      <c r="C23" s="11">
        <v>46299</v>
      </c>
      <c r="G23" t="s">
        <v>13</v>
      </c>
      <c r="J23" t="s">
        <v>78</v>
      </c>
    </row>
    <row r="24" spans="1:10" ht="85.5">
      <c r="A24" t="s">
        <v>79</v>
      </c>
      <c r="B24" t="s">
        <v>80</v>
      </c>
      <c r="C24" s="11">
        <v>46300</v>
      </c>
      <c r="G24" t="s">
        <v>72</v>
      </c>
      <c r="J24" s="2" t="s">
        <v>81</v>
      </c>
    </row>
    <row r="25" spans="1:10" ht="42.75">
      <c r="A25" t="s">
        <v>79</v>
      </c>
      <c r="B25" t="s">
        <v>82</v>
      </c>
      <c r="C25" s="11">
        <v>46300</v>
      </c>
      <c r="G25" t="s">
        <v>83</v>
      </c>
      <c r="J25" s="2" t="s">
        <v>84</v>
      </c>
    </row>
    <row r="26" spans="1:10" ht="99.75" customHeight="1">
      <c r="C26" s="11"/>
      <c r="J26"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0"/>
  <sheetViews>
    <sheetView topLeftCell="A288" zoomScaleNormal="100" workbookViewId="0">
      <selection activeCell="J297" sqref="J297"/>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18" customWidth="1"/>
    <col min="16" max="16" width="13" customWidth="1"/>
    <col min="17" max="17" width="20" customWidth="1"/>
    <col min="18" max="18" width="60" customWidth="1"/>
    <col min="19" max="21" width="8" customWidth="1"/>
  </cols>
  <sheetData>
    <row r="1" spans="1:21" ht="27.95" customHeight="1">
      <c r="A1" s="19" t="s">
        <v>85</v>
      </c>
      <c r="B1" s="18"/>
      <c r="C1" s="18"/>
      <c r="D1" s="18"/>
      <c r="E1" s="18"/>
      <c r="F1" s="18"/>
      <c r="G1" s="18"/>
      <c r="H1" s="18"/>
      <c r="I1" s="18"/>
      <c r="J1" s="18"/>
      <c r="K1" s="18"/>
      <c r="L1" s="18"/>
    </row>
    <row r="2" spans="1:21" ht="42" customHeight="1">
      <c r="A2" s="17" t="s">
        <v>86</v>
      </c>
      <c r="B2" s="18"/>
      <c r="C2" s="18"/>
      <c r="D2" s="18"/>
      <c r="E2" s="18"/>
      <c r="F2" s="18"/>
      <c r="G2" s="18"/>
      <c r="H2" s="18"/>
      <c r="I2" s="18"/>
      <c r="J2" s="18"/>
      <c r="K2" s="18"/>
      <c r="L2" s="18"/>
    </row>
    <row r="4" spans="1:21" ht="45" customHeight="1">
      <c r="A4" s="1" t="s">
        <v>87</v>
      </c>
      <c r="B4" s="1" t="s">
        <v>1</v>
      </c>
      <c r="C4" s="1" t="s">
        <v>88</v>
      </c>
      <c r="D4" s="1" t="s">
        <v>89</v>
      </c>
      <c r="E4" s="1" t="s">
        <v>90</v>
      </c>
      <c r="F4" s="7" t="s">
        <v>91</v>
      </c>
      <c r="G4" s="7" t="s">
        <v>92</v>
      </c>
      <c r="H4" s="1" t="s">
        <v>93</v>
      </c>
      <c r="I4" s="1" t="s">
        <v>94</v>
      </c>
      <c r="J4" s="1" t="s">
        <v>95</v>
      </c>
      <c r="K4" s="1" t="s">
        <v>96</v>
      </c>
      <c r="L4" s="1" t="s">
        <v>97</v>
      </c>
      <c r="M4" t="s">
        <v>98</v>
      </c>
      <c r="N4" t="s">
        <v>99</v>
      </c>
      <c r="O4" s="1" t="s">
        <v>100</v>
      </c>
      <c r="P4" s="1" t="s">
        <v>101</v>
      </c>
      <c r="Q4" s="1" t="s">
        <v>102</v>
      </c>
      <c r="R4" s="1" t="s">
        <v>103</v>
      </c>
      <c r="S4" s="1" t="s">
        <v>104</v>
      </c>
      <c r="T4" s="1" t="s">
        <v>105</v>
      </c>
      <c r="U4" s="1" t="s">
        <v>106</v>
      </c>
    </row>
    <row r="5" spans="1:21" ht="42.75">
      <c r="A5" s="5" t="s">
        <v>107</v>
      </c>
      <c r="B5" s="5" t="s">
        <v>11</v>
      </c>
      <c r="C5" s="3" t="s">
        <v>108</v>
      </c>
      <c r="D5" s="6">
        <v>2022</v>
      </c>
      <c r="E5" s="3" t="s">
        <v>109</v>
      </c>
      <c r="F5" s="5" t="s">
        <v>110</v>
      </c>
      <c r="G5" s="10" t="s">
        <v>111</v>
      </c>
      <c r="H5" s="3" t="s">
        <v>5864</v>
      </c>
      <c r="I5" s="3"/>
      <c r="J5" s="3" t="s">
        <v>5865</v>
      </c>
      <c r="K5" s="3" t="s">
        <v>5866</v>
      </c>
      <c r="L5" s="3"/>
      <c r="O5" s="3" t="s">
        <v>5867</v>
      </c>
      <c r="P5" s="12">
        <v>46300</v>
      </c>
      <c r="Q5" s="3"/>
      <c r="R5" s="3" t="s">
        <v>5868</v>
      </c>
      <c r="S5" s="3" t="s">
        <v>5869</v>
      </c>
      <c r="T5" s="3" t="s">
        <v>5870</v>
      </c>
      <c r="U5" s="3" t="s">
        <v>5870</v>
      </c>
    </row>
    <row r="6" spans="1:21" ht="42.75">
      <c r="A6" s="5" t="s">
        <v>112</v>
      </c>
      <c r="B6" s="5" t="s">
        <v>11</v>
      </c>
      <c r="C6" s="3" t="s">
        <v>113</v>
      </c>
      <c r="D6" s="6">
        <v>2025</v>
      </c>
      <c r="E6" s="3" t="s">
        <v>114</v>
      </c>
      <c r="F6" s="5" t="s">
        <v>115</v>
      </c>
      <c r="G6" s="10" t="s">
        <v>111</v>
      </c>
      <c r="H6" s="3" t="s">
        <v>5864</v>
      </c>
      <c r="I6" s="3"/>
      <c r="J6" s="3" t="s">
        <v>5902</v>
      </c>
      <c r="K6" s="3" t="s">
        <v>5928</v>
      </c>
      <c r="L6" s="3"/>
      <c r="O6" s="3" t="s">
        <v>5867</v>
      </c>
      <c r="P6" s="12">
        <v>46300</v>
      </c>
      <c r="Q6" s="3"/>
      <c r="R6" s="3" t="s">
        <v>5929</v>
      </c>
      <c r="S6" s="3" t="s">
        <v>5870</v>
      </c>
      <c r="T6" s="3" t="s">
        <v>5869</v>
      </c>
      <c r="U6" s="3" t="s">
        <v>5869</v>
      </c>
    </row>
    <row r="7" spans="1:21" ht="57">
      <c r="A7" s="5" t="s">
        <v>116</v>
      </c>
      <c r="B7" s="5" t="s">
        <v>20</v>
      </c>
      <c r="C7" s="3" t="s">
        <v>117</v>
      </c>
      <c r="D7" s="6">
        <v>2025</v>
      </c>
      <c r="E7" s="3" t="s">
        <v>118</v>
      </c>
      <c r="F7" s="5" t="s">
        <v>119</v>
      </c>
      <c r="G7" s="10" t="s">
        <v>111</v>
      </c>
      <c r="H7" s="3" t="s">
        <v>5871</v>
      </c>
      <c r="I7" s="3" t="s">
        <v>5735</v>
      </c>
      <c r="J7" s="3"/>
      <c r="K7" s="3"/>
      <c r="L7" s="3"/>
      <c r="O7" s="3" t="s">
        <v>5872</v>
      </c>
      <c r="P7" s="12">
        <v>46300</v>
      </c>
      <c r="Q7" s="3" t="s">
        <v>5773</v>
      </c>
      <c r="R7" s="3" t="s">
        <v>5873</v>
      </c>
      <c r="S7" s="3"/>
      <c r="T7" s="3"/>
      <c r="U7" s="3"/>
    </row>
    <row r="8" spans="1:21" ht="57">
      <c r="A8" s="5" t="s">
        <v>120</v>
      </c>
      <c r="B8" s="5" t="s">
        <v>11</v>
      </c>
      <c r="C8" s="3" t="s">
        <v>121</v>
      </c>
      <c r="D8" s="6">
        <v>2023</v>
      </c>
      <c r="E8" s="3" t="s">
        <v>122</v>
      </c>
      <c r="F8" s="5" t="s">
        <v>115</v>
      </c>
      <c r="G8" s="10" t="s">
        <v>111</v>
      </c>
      <c r="H8" s="3" t="s">
        <v>5864</v>
      </c>
      <c r="I8" s="3"/>
      <c r="J8" s="3" t="s">
        <v>5874</v>
      </c>
      <c r="K8" s="3" t="s">
        <v>5875</v>
      </c>
      <c r="L8" s="3" t="s">
        <v>5876</v>
      </c>
      <c r="M8" t="s">
        <v>5877</v>
      </c>
      <c r="O8" s="3" t="s">
        <v>5867</v>
      </c>
      <c r="P8" s="12">
        <v>46300</v>
      </c>
      <c r="Q8" s="3"/>
      <c r="R8" s="3" t="s">
        <v>5878</v>
      </c>
      <c r="S8" s="3" t="s">
        <v>5869</v>
      </c>
      <c r="T8" s="3" t="s">
        <v>5870</v>
      </c>
      <c r="U8" s="3" t="s">
        <v>5870</v>
      </c>
    </row>
    <row r="9" spans="1:21" ht="42.75">
      <c r="A9" s="5" t="s">
        <v>123</v>
      </c>
      <c r="B9" s="5" t="s">
        <v>11</v>
      </c>
      <c r="C9" s="3" t="s">
        <v>124</v>
      </c>
      <c r="D9" s="6">
        <v>2023</v>
      </c>
      <c r="E9" s="3" t="s">
        <v>125</v>
      </c>
      <c r="F9" s="5" t="s">
        <v>110</v>
      </c>
      <c r="G9" s="10" t="s">
        <v>111</v>
      </c>
      <c r="H9" s="3" t="s">
        <v>5864</v>
      </c>
      <c r="I9" s="3"/>
      <c r="J9" s="3" t="s">
        <v>5879</v>
      </c>
      <c r="K9" s="3" t="s">
        <v>5880</v>
      </c>
      <c r="L9" s="3"/>
      <c r="O9" s="3" t="s">
        <v>5867</v>
      </c>
      <c r="P9" s="12">
        <v>46300</v>
      </c>
      <c r="Q9" s="3"/>
      <c r="R9" s="3" t="s">
        <v>5881</v>
      </c>
      <c r="S9" s="3" t="s">
        <v>5869</v>
      </c>
      <c r="T9" s="3" t="s">
        <v>5870</v>
      </c>
      <c r="U9" s="3" t="s">
        <v>5869</v>
      </c>
    </row>
    <row r="10" spans="1:21" ht="42.75">
      <c r="A10" s="5" t="s">
        <v>126</v>
      </c>
      <c r="B10" s="5" t="s">
        <v>11</v>
      </c>
      <c r="C10" s="3" t="s">
        <v>127</v>
      </c>
      <c r="D10" s="6">
        <v>2021</v>
      </c>
      <c r="E10" s="3" t="s">
        <v>128</v>
      </c>
      <c r="F10" s="5" t="s">
        <v>115</v>
      </c>
      <c r="G10" s="10" t="s">
        <v>111</v>
      </c>
      <c r="H10" s="3" t="s">
        <v>5864</v>
      </c>
      <c r="I10" s="3"/>
      <c r="J10" s="3" t="s">
        <v>5865</v>
      </c>
      <c r="K10" s="3" t="s">
        <v>5882</v>
      </c>
      <c r="L10" s="3"/>
      <c r="O10" s="3" t="s">
        <v>5867</v>
      </c>
      <c r="P10" s="12">
        <v>46300</v>
      </c>
      <c r="Q10" s="3"/>
      <c r="R10" s="3" t="s">
        <v>5883</v>
      </c>
      <c r="S10" s="3" t="s">
        <v>5870</v>
      </c>
      <c r="T10" s="3" t="s">
        <v>5870</v>
      </c>
      <c r="U10" s="3" t="s">
        <v>5870</v>
      </c>
    </row>
    <row r="11" spans="1:21" ht="28.5">
      <c r="A11" s="5" t="s">
        <v>129</v>
      </c>
      <c r="B11" s="5" t="s">
        <v>11</v>
      </c>
      <c r="C11" s="3" t="s">
        <v>130</v>
      </c>
      <c r="D11" s="6">
        <v>2023</v>
      </c>
      <c r="E11" s="3" t="s">
        <v>131</v>
      </c>
      <c r="F11" s="5" t="s">
        <v>110</v>
      </c>
      <c r="G11" s="10" t="s">
        <v>111</v>
      </c>
      <c r="H11" s="3" t="s">
        <v>5864</v>
      </c>
      <c r="I11" s="3"/>
      <c r="J11" s="3" t="s">
        <v>5865</v>
      </c>
      <c r="K11" s="3" t="s">
        <v>5884</v>
      </c>
      <c r="L11" s="3"/>
      <c r="O11" s="3" t="s">
        <v>1289</v>
      </c>
      <c r="P11" s="12">
        <v>46300</v>
      </c>
      <c r="Q11" s="3"/>
      <c r="R11" s="3" t="s">
        <v>5885</v>
      </c>
      <c r="S11" s="3" t="s">
        <v>5869</v>
      </c>
      <c r="T11" s="3" t="s">
        <v>5870</v>
      </c>
      <c r="U11" s="3" t="s">
        <v>5870</v>
      </c>
    </row>
    <row r="12" spans="1:21" ht="57">
      <c r="A12" s="5" t="s">
        <v>132</v>
      </c>
      <c r="B12" s="5" t="s">
        <v>11</v>
      </c>
      <c r="C12" s="3" t="s">
        <v>133</v>
      </c>
      <c r="D12" s="6">
        <v>2025</v>
      </c>
      <c r="E12" s="3" t="s">
        <v>134</v>
      </c>
      <c r="F12" s="5" t="s">
        <v>110</v>
      </c>
      <c r="G12" s="10" t="s">
        <v>111</v>
      </c>
      <c r="H12" s="3" t="s">
        <v>5864</v>
      </c>
      <c r="I12" s="3"/>
      <c r="J12" s="3" t="s">
        <v>5886</v>
      </c>
      <c r="K12" s="3" t="s">
        <v>5887</v>
      </c>
      <c r="L12" s="3"/>
      <c r="O12" s="3" t="s">
        <v>5867</v>
      </c>
      <c r="P12" s="12">
        <v>46300</v>
      </c>
      <c r="Q12" s="3"/>
      <c r="R12" s="3" t="s">
        <v>5888</v>
      </c>
      <c r="S12" s="3" t="s">
        <v>5870</v>
      </c>
      <c r="T12" s="3" t="s">
        <v>5870</v>
      </c>
      <c r="U12" s="3" t="s">
        <v>5870</v>
      </c>
    </row>
    <row r="13" spans="1:21" ht="42.75">
      <c r="A13" s="5" t="s">
        <v>135</v>
      </c>
      <c r="B13" s="5" t="s">
        <v>11</v>
      </c>
      <c r="C13" s="3" t="s">
        <v>136</v>
      </c>
      <c r="D13" s="6">
        <v>2023</v>
      </c>
      <c r="E13" s="3" t="s">
        <v>137</v>
      </c>
      <c r="F13" s="5" t="s">
        <v>110</v>
      </c>
      <c r="G13" s="10" t="s">
        <v>111</v>
      </c>
      <c r="H13" s="3" t="s">
        <v>5864</v>
      </c>
      <c r="I13" s="3"/>
      <c r="J13" s="3" t="s">
        <v>5865</v>
      </c>
      <c r="K13" s="3" t="s">
        <v>5889</v>
      </c>
      <c r="L13" s="3"/>
      <c r="O13" s="3" t="s">
        <v>5867</v>
      </c>
      <c r="P13" s="12">
        <v>46300</v>
      </c>
      <c r="Q13" s="3"/>
      <c r="R13" s="3" t="s">
        <v>5890</v>
      </c>
      <c r="S13" s="3" t="s">
        <v>5869</v>
      </c>
      <c r="T13" s="3" t="s">
        <v>5870</v>
      </c>
      <c r="U13" s="3" t="s">
        <v>5870</v>
      </c>
    </row>
    <row r="14" spans="1:21" ht="42.75">
      <c r="A14" s="5" t="s">
        <v>138</v>
      </c>
      <c r="B14" s="5" t="s">
        <v>11</v>
      </c>
      <c r="C14" s="3" t="s">
        <v>139</v>
      </c>
      <c r="D14" s="6">
        <v>2023</v>
      </c>
      <c r="E14" s="3" t="s">
        <v>140</v>
      </c>
      <c r="F14" s="5" t="s">
        <v>115</v>
      </c>
      <c r="G14" s="10" t="s">
        <v>111</v>
      </c>
      <c r="H14" s="3" t="s">
        <v>5864</v>
      </c>
      <c r="I14" s="3"/>
      <c r="J14" s="3" t="s">
        <v>5865</v>
      </c>
      <c r="K14" s="3" t="s">
        <v>5891</v>
      </c>
      <c r="L14" s="3"/>
      <c r="O14" s="3" t="s">
        <v>5867</v>
      </c>
      <c r="P14" s="12">
        <v>46300</v>
      </c>
      <c r="Q14" s="3"/>
      <c r="R14" s="3" t="s">
        <v>5892</v>
      </c>
      <c r="S14" s="3" t="s">
        <v>5870</v>
      </c>
      <c r="T14" s="3" t="s">
        <v>5870</v>
      </c>
      <c r="U14" s="3" t="s">
        <v>5870</v>
      </c>
    </row>
    <row r="15" spans="1:21" ht="28.5">
      <c r="A15" s="5" t="s">
        <v>141</v>
      </c>
      <c r="B15" s="5" t="s">
        <v>11</v>
      </c>
      <c r="C15" s="3" t="s">
        <v>142</v>
      </c>
      <c r="D15" s="6">
        <v>2025</v>
      </c>
      <c r="E15" s="3" t="s">
        <v>143</v>
      </c>
      <c r="F15" s="5" t="s">
        <v>110</v>
      </c>
      <c r="G15" s="10" t="s">
        <v>111</v>
      </c>
      <c r="H15" s="3" t="s">
        <v>5871</v>
      </c>
      <c r="I15" s="3" t="s">
        <v>5735</v>
      </c>
      <c r="J15" s="3"/>
      <c r="K15" s="3"/>
      <c r="L15" s="3"/>
      <c r="O15" s="3" t="s">
        <v>5867</v>
      </c>
      <c r="P15" s="12">
        <v>46300</v>
      </c>
      <c r="Q15" s="3" t="s">
        <v>5759</v>
      </c>
      <c r="R15" s="3" t="s">
        <v>5893</v>
      </c>
      <c r="S15" s="3"/>
      <c r="T15" s="3"/>
      <c r="U15" s="3"/>
    </row>
    <row r="16" spans="1:21" ht="42.75">
      <c r="A16" s="5" t="s">
        <v>144</v>
      </c>
      <c r="B16" s="5" t="s">
        <v>11</v>
      </c>
      <c r="C16" s="3" t="s">
        <v>145</v>
      </c>
      <c r="D16" s="6">
        <v>2024</v>
      </c>
      <c r="E16" s="3" t="s">
        <v>146</v>
      </c>
      <c r="F16" s="5" t="s">
        <v>110</v>
      </c>
      <c r="G16" s="10" t="s">
        <v>111</v>
      </c>
      <c r="H16" s="3" t="s">
        <v>5864</v>
      </c>
      <c r="I16" s="3"/>
      <c r="J16" s="3" t="s">
        <v>5865</v>
      </c>
      <c r="K16" s="3" t="s">
        <v>5894</v>
      </c>
      <c r="L16" s="3"/>
      <c r="O16" s="3" t="s">
        <v>5867</v>
      </c>
      <c r="P16" s="12">
        <v>46300</v>
      </c>
      <c r="Q16" s="3"/>
      <c r="R16" s="3" t="s">
        <v>5895</v>
      </c>
      <c r="S16" s="3" t="s">
        <v>5869</v>
      </c>
      <c r="T16" s="3" t="s">
        <v>5870</v>
      </c>
      <c r="U16" s="3" t="s">
        <v>5869</v>
      </c>
    </row>
    <row r="17" spans="1:21" ht="57">
      <c r="A17" s="5" t="s">
        <v>147</v>
      </c>
      <c r="B17" s="5" t="s">
        <v>11</v>
      </c>
      <c r="C17" s="3" t="s">
        <v>148</v>
      </c>
      <c r="D17" s="6">
        <v>2023</v>
      </c>
      <c r="E17" s="3" t="s">
        <v>149</v>
      </c>
      <c r="F17" s="5" t="s">
        <v>115</v>
      </c>
      <c r="G17" s="10" t="s">
        <v>111</v>
      </c>
      <c r="H17" s="3" t="s">
        <v>5864</v>
      </c>
      <c r="I17" s="3"/>
      <c r="J17" s="3" t="s">
        <v>5865</v>
      </c>
      <c r="K17" s="3" t="s">
        <v>5896</v>
      </c>
      <c r="L17" s="3"/>
      <c r="O17" s="3" t="s">
        <v>5867</v>
      </c>
      <c r="P17" s="12">
        <v>46300</v>
      </c>
      <c r="Q17" s="3"/>
      <c r="R17" s="3" t="s">
        <v>5897</v>
      </c>
      <c r="S17" s="3" t="s">
        <v>5869</v>
      </c>
      <c r="T17" s="3" t="s">
        <v>5870</v>
      </c>
      <c r="U17" s="3" t="s">
        <v>5870</v>
      </c>
    </row>
    <row r="18" spans="1:21" ht="28.5" customHeight="1">
      <c r="A18" s="5" t="s">
        <v>150</v>
      </c>
      <c r="B18" s="5" t="s">
        <v>11</v>
      </c>
      <c r="C18" s="3" t="s">
        <v>151</v>
      </c>
      <c r="D18" s="6">
        <v>2022</v>
      </c>
      <c r="E18" s="3" t="s">
        <v>152</v>
      </c>
      <c r="F18" s="5" t="s">
        <v>115</v>
      </c>
      <c r="G18" s="10" t="s">
        <v>111</v>
      </c>
      <c r="H18" s="3" t="s">
        <v>5864</v>
      </c>
      <c r="I18" s="3"/>
      <c r="J18" s="3" t="s">
        <v>5865</v>
      </c>
      <c r="K18" s="3" t="s">
        <v>5898</v>
      </c>
      <c r="L18" s="3"/>
      <c r="O18" s="3" t="s">
        <v>5867</v>
      </c>
      <c r="P18" s="12">
        <v>46300</v>
      </c>
      <c r="Q18" s="3"/>
      <c r="R18" s="3" t="s">
        <v>5899</v>
      </c>
      <c r="S18" s="3" t="s">
        <v>5869</v>
      </c>
      <c r="T18" s="3" t="s">
        <v>5870</v>
      </c>
      <c r="U18" s="3" t="s">
        <v>5870</v>
      </c>
    </row>
    <row r="19" spans="1:21" ht="28.5" customHeight="1">
      <c r="A19" s="5" t="s">
        <v>153</v>
      </c>
      <c r="B19" s="5" t="s">
        <v>11</v>
      </c>
      <c r="C19" s="3" t="s">
        <v>154</v>
      </c>
      <c r="D19" s="6">
        <v>2022</v>
      </c>
      <c r="E19" s="3" t="s">
        <v>155</v>
      </c>
      <c r="F19" s="5" t="s">
        <v>110</v>
      </c>
      <c r="G19" s="10" t="s">
        <v>111</v>
      </c>
      <c r="H19" s="3" t="s">
        <v>5864</v>
      </c>
      <c r="I19" s="3"/>
      <c r="J19" s="3" t="s">
        <v>5865</v>
      </c>
      <c r="K19" s="3" t="s">
        <v>5900</v>
      </c>
      <c r="L19" s="3"/>
      <c r="O19" s="3" t="s">
        <v>5867</v>
      </c>
      <c r="P19" s="12">
        <v>46300</v>
      </c>
      <c r="Q19" s="3"/>
      <c r="R19" s="3" t="s">
        <v>5901</v>
      </c>
      <c r="S19" s="3" t="s">
        <v>5869</v>
      </c>
      <c r="T19" s="3" t="s">
        <v>5870</v>
      </c>
      <c r="U19" s="3" t="s">
        <v>5870</v>
      </c>
    </row>
    <row r="20" spans="1:21" ht="42.75" customHeight="1">
      <c r="A20" s="5" t="s">
        <v>156</v>
      </c>
      <c r="B20" s="5" t="s">
        <v>11</v>
      </c>
      <c r="C20" s="3" t="s">
        <v>157</v>
      </c>
      <c r="D20" s="6">
        <v>2025</v>
      </c>
      <c r="E20" s="3" t="s">
        <v>158</v>
      </c>
      <c r="F20" s="5" t="s">
        <v>110</v>
      </c>
      <c r="G20" s="10" t="s">
        <v>111</v>
      </c>
      <c r="H20" s="3" t="s">
        <v>5864</v>
      </c>
      <c r="I20" s="3"/>
      <c r="J20" s="3" t="s">
        <v>5865</v>
      </c>
      <c r="K20" s="3" t="s">
        <v>5905</v>
      </c>
      <c r="L20" s="3"/>
      <c r="O20" s="3" t="s">
        <v>5867</v>
      </c>
      <c r="P20" s="12">
        <v>46300</v>
      </c>
      <c r="Q20" s="3"/>
      <c r="R20" s="3" t="s">
        <v>5906</v>
      </c>
      <c r="S20" s="3" t="s">
        <v>5870</v>
      </c>
      <c r="T20" s="3" t="s">
        <v>5870</v>
      </c>
      <c r="U20" s="3" t="s">
        <v>5870</v>
      </c>
    </row>
    <row r="21" spans="1:21" ht="28.5" customHeight="1">
      <c r="A21" s="5" t="s">
        <v>159</v>
      </c>
      <c r="B21" s="5" t="s">
        <v>11</v>
      </c>
      <c r="C21" s="3" t="s">
        <v>160</v>
      </c>
      <c r="D21" s="6">
        <v>2025</v>
      </c>
      <c r="E21" s="3" t="s">
        <v>161</v>
      </c>
      <c r="F21" s="5" t="s">
        <v>115</v>
      </c>
      <c r="G21" s="10" t="s">
        <v>111</v>
      </c>
      <c r="H21" s="3" t="s">
        <v>5864</v>
      </c>
      <c r="I21" s="3"/>
      <c r="J21" s="3" t="s">
        <v>5902</v>
      </c>
      <c r="K21" s="3" t="s">
        <v>5903</v>
      </c>
      <c r="L21" s="3"/>
      <c r="O21" s="3" t="s">
        <v>5867</v>
      </c>
      <c r="P21" s="12">
        <v>46300</v>
      </c>
      <c r="Q21" s="3"/>
      <c r="R21" s="3" t="s">
        <v>5904</v>
      </c>
      <c r="S21" s="3" t="s">
        <v>5869</v>
      </c>
      <c r="T21" s="3" t="s">
        <v>5870</v>
      </c>
      <c r="U21" s="3" t="s">
        <v>5870</v>
      </c>
    </row>
    <row r="22" spans="1:21" ht="42.75" customHeight="1">
      <c r="A22" s="5" t="s">
        <v>162</v>
      </c>
      <c r="B22" s="5" t="s">
        <v>11</v>
      </c>
      <c r="C22" s="3" t="s">
        <v>163</v>
      </c>
      <c r="D22" s="6">
        <v>2016</v>
      </c>
      <c r="E22" s="3" t="s">
        <v>164</v>
      </c>
      <c r="F22" s="5" t="s">
        <v>115</v>
      </c>
      <c r="G22" s="10" t="s">
        <v>111</v>
      </c>
      <c r="H22" s="3" t="s">
        <v>5864</v>
      </c>
      <c r="I22" s="3"/>
      <c r="J22" s="3" t="s">
        <v>5902</v>
      </c>
      <c r="K22" s="3" t="s">
        <v>5907</v>
      </c>
      <c r="L22" s="3"/>
      <c r="O22" s="3" t="s">
        <v>5867</v>
      </c>
      <c r="P22" s="12">
        <v>46300</v>
      </c>
      <c r="Q22" s="3"/>
      <c r="R22" s="3" t="s">
        <v>5908</v>
      </c>
      <c r="S22" s="3" t="s">
        <v>5870</v>
      </c>
      <c r="T22" s="3" t="s">
        <v>5870</v>
      </c>
      <c r="U22" s="3" t="s">
        <v>5870</v>
      </c>
    </row>
    <row r="23" spans="1:21" ht="28.5" customHeight="1">
      <c r="A23" s="5" t="s">
        <v>165</v>
      </c>
      <c r="B23" s="5" t="s">
        <v>11</v>
      </c>
      <c r="C23" s="3" t="s">
        <v>166</v>
      </c>
      <c r="D23" s="6">
        <v>2024</v>
      </c>
      <c r="E23" s="3" t="s">
        <v>167</v>
      </c>
      <c r="F23" s="5" t="s">
        <v>110</v>
      </c>
      <c r="G23" s="10" t="s">
        <v>111</v>
      </c>
      <c r="H23" s="3" t="s">
        <v>5864</v>
      </c>
      <c r="I23" s="3"/>
      <c r="J23" s="3" t="s">
        <v>5865</v>
      </c>
      <c r="K23" s="3" t="s">
        <v>5909</v>
      </c>
      <c r="L23" s="3"/>
      <c r="O23" s="3" t="s">
        <v>5867</v>
      </c>
      <c r="P23" s="12">
        <v>46300</v>
      </c>
      <c r="Q23" s="3"/>
      <c r="R23" s="3" t="s">
        <v>5910</v>
      </c>
      <c r="S23" s="3" t="s">
        <v>5870</v>
      </c>
      <c r="T23" s="3" t="s">
        <v>5869</v>
      </c>
      <c r="U23" s="3" t="s">
        <v>5870</v>
      </c>
    </row>
    <row r="24" spans="1:21" ht="28.5" customHeight="1">
      <c r="A24" s="5" t="s">
        <v>168</v>
      </c>
      <c r="B24" s="5" t="s">
        <v>11</v>
      </c>
      <c r="C24" s="3" t="s">
        <v>169</v>
      </c>
      <c r="D24" s="6">
        <v>2022</v>
      </c>
      <c r="E24" s="3" t="s">
        <v>170</v>
      </c>
      <c r="F24" s="5" t="s">
        <v>115</v>
      </c>
      <c r="G24" s="10" t="s">
        <v>111</v>
      </c>
      <c r="H24" s="3" t="s">
        <v>5864</v>
      </c>
      <c r="I24" s="3"/>
      <c r="J24" s="3" t="s">
        <v>5865</v>
      </c>
      <c r="K24" s="3" t="s">
        <v>5911</v>
      </c>
      <c r="L24" s="3"/>
      <c r="O24" s="3" t="s">
        <v>1289</v>
      </c>
      <c r="P24" s="12">
        <v>46300</v>
      </c>
      <c r="Q24" s="3"/>
      <c r="R24" s="3" t="s">
        <v>5912</v>
      </c>
      <c r="S24" s="3" t="s">
        <v>5869</v>
      </c>
      <c r="T24" s="3" t="s">
        <v>5870</v>
      </c>
      <c r="U24" s="3" t="s">
        <v>5870</v>
      </c>
    </row>
    <row r="25" spans="1:21" ht="28.5" customHeight="1">
      <c r="A25" s="5" t="s">
        <v>171</v>
      </c>
      <c r="B25" s="5" t="s">
        <v>11</v>
      </c>
      <c r="C25" s="3" t="s">
        <v>172</v>
      </c>
      <c r="D25" s="6">
        <v>2025</v>
      </c>
      <c r="E25" s="3" t="s">
        <v>173</v>
      </c>
      <c r="F25" s="5" t="s">
        <v>110</v>
      </c>
      <c r="G25" s="10" t="s">
        <v>111</v>
      </c>
      <c r="H25" s="3" t="s">
        <v>5864</v>
      </c>
      <c r="I25" s="3"/>
      <c r="J25" s="3" t="s">
        <v>5865</v>
      </c>
      <c r="K25" s="3" t="s">
        <v>5913</v>
      </c>
      <c r="L25" s="3"/>
      <c r="O25" s="3" t="s">
        <v>5867</v>
      </c>
      <c r="P25" s="12">
        <v>46300</v>
      </c>
      <c r="Q25" s="3"/>
      <c r="R25" s="3" t="s">
        <v>5914</v>
      </c>
      <c r="S25" s="3" t="s">
        <v>5869</v>
      </c>
      <c r="T25" s="3" t="s">
        <v>5870</v>
      </c>
      <c r="U25" s="3" t="s">
        <v>5870</v>
      </c>
    </row>
    <row r="26" spans="1:21" ht="42.75" customHeight="1">
      <c r="A26" s="5" t="s">
        <v>174</v>
      </c>
      <c r="B26" s="5" t="s">
        <v>11</v>
      </c>
      <c r="C26" s="3" t="s">
        <v>175</v>
      </c>
      <c r="D26" s="6">
        <v>2018</v>
      </c>
      <c r="E26" s="3" t="s">
        <v>176</v>
      </c>
      <c r="F26" s="5" t="s">
        <v>110</v>
      </c>
      <c r="G26" s="10" t="s">
        <v>111</v>
      </c>
      <c r="H26" s="3" t="s">
        <v>5864</v>
      </c>
      <c r="I26" s="3"/>
      <c r="J26" s="3" t="s">
        <v>5879</v>
      </c>
      <c r="K26" s="3" t="s">
        <v>5915</v>
      </c>
      <c r="L26" s="3"/>
      <c r="O26" s="3" t="s">
        <v>5867</v>
      </c>
      <c r="P26" s="12">
        <v>46300</v>
      </c>
      <c r="Q26" s="3"/>
      <c r="R26" s="3" t="s">
        <v>5916</v>
      </c>
      <c r="S26" s="3" t="s">
        <v>5869</v>
      </c>
      <c r="T26" s="3" t="s">
        <v>5870</v>
      </c>
      <c r="U26" s="3" t="s">
        <v>5869</v>
      </c>
    </row>
    <row r="27" spans="1:21" ht="42.75" customHeight="1">
      <c r="A27" s="5" t="s">
        <v>177</v>
      </c>
      <c r="B27" s="5" t="s">
        <v>11</v>
      </c>
      <c r="C27" s="3" t="s">
        <v>178</v>
      </c>
      <c r="D27" s="6">
        <v>2025</v>
      </c>
      <c r="E27" s="3" t="s">
        <v>179</v>
      </c>
      <c r="F27" s="5" t="s">
        <v>110</v>
      </c>
      <c r="G27" s="10" t="s">
        <v>111</v>
      </c>
      <c r="H27" s="3" t="s">
        <v>5864</v>
      </c>
      <c r="I27" s="3"/>
      <c r="J27" s="3" t="s">
        <v>5902</v>
      </c>
      <c r="K27" s="3" t="s">
        <v>5917</v>
      </c>
      <c r="L27" s="3"/>
      <c r="O27" s="3" t="s">
        <v>5867</v>
      </c>
      <c r="P27" s="12">
        <v>46300</v>
      </c>
      <c r="Q27" s="3"/>
      <c r="R27" s="3" t="s">
        <v>5918</v>
      </c>
      <c r="S27" s="3" t="s">
        <v>5869</v>
      </c>
      <c r="T27" s="3" t="s">
        <v>5870</v>
      </c>
      <c r="U27" s="3" t="s">
        <v>5870</v>
      </c>
    </row>
    <row r="28" spans="1:21" ht="42.75" customHeight="1">
      <c r="A28" s="5" t="s">
        <v>180</v>
      </c>
      <c r="B28" s="5" t="s">
        <v>11</v>
      </c>
      <c r="C28" s="3" t="s">
        <v>181</v>
      </c>
      <c r="D28" s="6">
        <v>2024</v>
      </c>
      <c r="E28" s="3" t="s">
        <v>182</v>
      </c>
      <c r="F28" s="5" t="s">
        <v>110</v>
      </c>
      <c r="G28" s="10" t="s">
        <v>111</v>
      </c>
      <c r="H28" s="3" t="s">
        <v>5864</v>
      </c>
      <c r="I28" s="3"/>
      <c r="J28" s="3" t="s">
        <v>5886</v>
      </c>
      <c r="K28" s="3" t="s">
        <v>5919</v>
      </c>
      <c r="L28" s="3"/>
      <c r="O28" s="3" t="s">
        <v>5867</v>
      </c>
      <c r="P28" s="12">
        <v>46300</v>
      </c>
      <c r="Q28" s="3"/>
      <c r="R28" s="3" t="s">
        <v>5920</v>
      </c>
      <c r="S28" s="3" t="s">
        <v>5870</v>
      </c>
      <c r="T28" s="3" t="s">
        <v>5870</v>
      </c>
      <c r="U28" s="3" t="s">
        <v>5870</v>
      </c>
    </row>
    <row r="29" spans="1:21" ht="42.75" customHeight="1">
      <c r="A29" s="5" t="s">
        <v>183</v>
      </c>
      <c r="B29" s="5" t="s">
        <v>11</v>
      </c>
      <c r="C29" s="3" t="s">
        <v>184</v>
      </c>
      <c r="D29" s="6">
        <v>2020</v>
      </c>
      <c r="E29" s="3" t="s">
        <v>185</v>
      </c>
      <c r="F29" s="5" t="s">
        <v>115</v>
      </c>
      <c r="G29" s="10" t="s">
        <v>111</v>
      </c>
      <c r="H29" s="3" t="s">
        <v>5864</v>
      </c>
      <c r="I29" s="3"/>
      <c r="J29" s="3" t="s">
        <v>5921</v>
      </c>
      <c r="K29" s="3" t="s">
        <v>5922</v>
      </c>
      <c r="L29" s="3"/>
      <c r="O29" s="3" t="s">
        <v>5867</v>
      </c>
      <c r="P29" s="12">
        <v>46300</v>
      </c>
      <c r="Q29" s="3"/>
      <c r="R29" s="3" t="s">
        <v>5923</v>
      </c>
      <c r="S29" s="3" t="s">
        <v>5869</v>
      </c>
      <c r="T29" s="3" t="s">
        <v>5870</v>
      </c>
      <c r="U29" s="3" t="s">
        <v>5869</v>
      </c>
    </row>
    <row r="30" spans="1:21" ht="42.75" customHeight="1">
      <c r="A30" s="5" t="s">
        <v>186</v>
      </c>
      <c r="B30" s="5" t="s">
        <v>11</v>
      </c>
      <c r="C30" s="3" t="s">
        <v>187</v>
      </c>
      <c r="D30" s="6">
        <v>2025</v>
      </c>
      <c r="E30" s="3" t="s">
        <v>188</v>
      </c>
      <c r="F30" s="5" t="s">
        <v>110</v>
      </c>
      <c r="G30" s="10" t="s">
        <v>111</v>
      </c>
      <c r="H30" s="3" t="s">
        <v>5864</v>
      </c>
      <c r="I30" s="3"/>
      <c r="J30" s="3" t="s">
        <v>5865</v>
      </c>
      <c r="K30" s="3" t="s">
        <v>5924</v>
      </c>
      <c r="L30" s="3"/>
      <c r="O30" s="3" t="s">
        <v>5867</v>
      </c>
      <c r="P30" s="12">
        <v>46300</v>
      </c>
      <c r="Q30" s="3"/>
      <c r="R30" s="3" t="s">
        <v>5925</v>
      </c>
      <c r="S30" s="3" t="s">
        <v>5869</v>
      </c>
      <c r="T30" s="3" t="s">
        <v>5870</v>
      </c>
      <c r="U30" s="3" t="s">
        <v>5870</v>
      </c>
    </row>
    <row r="31" spans="1:21" ht="28.5" customHeight="1">
      <c r="A31" s="5" t="s">
        <v>189</v>
      </c>
      <c r="B31" s="5" t="s">
        <v>11</v>
      </c>
      <c r="C31" s="3" t="s">
        <v>190</v>
      </c>
      <c r="D31" s="6">
        <v>2023</v>
      </c>
      <c r="E31" s="3" t="s">
        <v>191</v>
      </c>
      <c r="F31" s="5" t="s">
        <v>115</v>
      </c>
      <c r="G31" s="10" t="s">
        <v>111</v>
      </c>
      <c r="H31" s="3" t="s">
        <v>5864</v>
      </c>
      <c r="I31" s="3"/>
      <c r="J31" s="3" t="s">
        <v>5865</v>
      </c>
      <c r="K31" s="3" t="s">
        <v>5926</v>
      </c>
      <c r="L31" s="3"/>
      <c r="O31" s="3" t="s">
        <v>5867</v>
      </c>
      <c r="P31" s="12">
        <v>46300</v>
      </c>
      <c r="Q31" s="3"/>
      <c r="R31" s="3" t="s">
        <v>5927</v>
      </c>
      <c r="S31" s="3" t="s">
        <v>5869</v>
      </c>
      <c r="T31" s="3" t="s">
        <v>5870</v>
      </c>
      <c r="U31" s="3" t="s">
        <v>5870</v>
      </c>
    </row>
    <row r="32" spans="1:21" ht="42.75" customHeight="1">
      <c r="A32" s="5" t="s">
        <v>192</v>
      </c>
      <c r="B32" s="5" t="s">
        <v>11</v>
      </c>
      <c r="C32" s="3" t="s">
        <v>193</v>
      </c>
      <c r="D32" s="6">
        <v>2024</v>
      </c>
      <c r="E32" s="3" t="s">
        <v>194</v>
      </c>
      <c r="F32" s="5" t="s">
        <v>110</v>
      </c>
      <c r="G32" s="10" t="s">
        <v>111</v>
      </c>
      <c r="H32" s="3" t="s">
        <v>5864</v>
      </c>
      <c r="I32" s="3"/>
      <c r="J32" s="3" t="s">
        <v>5865</v>
      </c>
      <c r="K32" s="3" t="s">
        <v>5930</v>
      </c>
      <c r="L32" s="3"/>
      <c r="O32" s="3" t="s">
        <v>5867</v>
      </c>
      <c r="P32" s="12">
        <v>46300</v>
      </c>
      <c r="Q32" s="3"/>
      <c r="R32" s="3" t="s">
        <v>5931</v>
      </c>
      <c r="S32" s="3" t="s">
        <v>5869</v>
      </c>
      <c r="T32" s="3" t="s">
        <v>5870</v>
      </c>
      <c r="U32" s="3" t="s">
        <v>5870</v>
      </c>
    </row>
    <row r="33" spans="1:21" ht="71.25" customHeight="1">
      <c r="A33" s="5" t="s">
        <v>195</v>
      </c>
      <c r="B33" s="5" t="s">
        <v>11</v>
      </c>
      <c r="C33" s="3" t="s">
        <v>196</v>
      </c>
      <c r="D33" s="6">
        <v>2021</v>
      </c>
      <c r="E33" s="3" t="s">
        <v>197</v>
      </c>
      <c r="F33" s="5" t="s">
        <v>115</v>
      </c>
      <c r="G33" s="10" t="s">
        <v>111</v>
      </c>
      <c r="H33" s="3" t="s">
        <v>5864</v>
      </c>
      <c r="I33" s="3"/>
      <c r="J33" s="3" t="s">
        <v>5902</v>
      </c>
      <c r="K33" s="3" t="s">
        <v>5932</v>
      </c>
      <c r="L33" s="3"/>
      <c r="O33" s="3" t="s">
        <v>5867</v>
      </c>
      <c r="P33" s="12">
        <v>46300</v>
      </c>
      <c r="Q33" s="3"/>
      <c r="R33" s="3" t="s">
        <v>5933</v>
      </c>
      <c r="S33" s="3" t="s">
        <v>5869</v>
      </c>
      <c r="T33" s="3" t="s">
        <v>5869</v>
      </c>
      <c r="U33" s="3" t="s">
        <v>5870</v>
      </c>
    </row>
    <row r="34" spans="1:21" ht="42.75" customHeight="1">
      <c r="A34" s="5" t="s">
        <v>198</v>
      </c>
      <c r="B34" s="5" t="s">
        <v>11</v>
      </c>
      <c r="C34" s="3" t="s">
        <v>199</v>
      </c>
      <c r="D34" s="6">
        <v>2023</v>
      </c>
      <c r="E34" s="3" t="s">
        <v>200</v>
      </c>
      <c r="F34" s="5" t="s">
        <v>110</v>
      </c>
      <c r="G34" s="10" t="s">
        <v>111</v>
      </c>
      <c r="H34" s="3" t="s">
        <v>5864</v>
      </c>
      <c r="I34" s="3"/>
      <c r="J34" s="3" t="s">
        <v>5865</v>
      </c>
      <c r="K34" s="3" t="s">
        <v>5934</v>
      </c>
      <c r="L34" s="3"/>
      <c r="O34" s="3" t="s">
        <v>5867</v>
      </c>
      <c r="P34" s="12">
        <v>46300</v>
      </c>
      <c r="Q34" s="3"/>
      <c r="R34" s="3" t="s">
        <v>5935</v>
      </c>
      <c r="S34" s="3" t="s">
        <v>5869</v>
      </c>
      <c r="T34" s="3" t="s">
        <v>5870</v>
      </c>
      <c r="U34" s="3" t="s">
        <v>5870</v>
      </c>
    </row>
    <row r="35" spans="1:21" ht="57" customHeight="1">
      <c r="A35" s="5" t="s">
        <v>201</v>
      </c>
      <c r="B35" s="5" t="s">
        <v>11</v>
      </c>
      <c r="C35" s="3" t="s">
        <v>202</v>
      </c>
      <c r="D35" s="6">
        <v>2020</v>
      </c>
      <c r="E35" s="3" t="s">
        <v>203</v>
      </c>
      <c r="F35" s="5" t="s">
        <v>110</v>
      </c>
      <c r="G35" s="10" t="s">
        <v>111</v>
      </c>
      <c r="H35" s="3" t="s">
        <v>5864</v>
      </c>
      <c r="I35" s="3"/>
      <c r="J35" s="3" t="s">
        <v>5865</v>
      </c>
      <c r="K35" s="3" t="s">
        <v>5936</v>
      </c>
      <c r="L35" s="3"/>
      <c r="O35" s="3" t="s">
        <v>5867</v>
      </c>
      <c r="P35" s="12">
        <v>46300</v>
      </c>
      <c r="Q35" s="3"/>
      <c r="R35" s="3" t="s">
        <v>5937</v>
      </c>
      <c r="S35" s="3" t="s">
        <v>5869</v>
      </c>
      <c r="T35" s="3" t="s">
        <v>5870</v>
      </c>
      <c r="U35" s="3" t="s">
        <v>5870</v>
      </c>
    </row>
    <row r="36" spans="1:21" ht="28.5" customHeight="1">
      <c r="A36" s="5" t="s">
        <v>204</v>
      </c>
      <c r="B36" s="5" t="s">
        <v>11</v>
      </c>
      <c r="C36" s="3" t="s">
        <v>205</v>
      </c>
      <c r="D36" s="6">
        <v>2024</v>
      </c>
      <c r="E36" s="3" t="s">
        <v>206</v>
      </c>
      <c r="F36" s="5" t="s">
        <v>110</v>
      </c>
      <c r="G36" s="10" t="s">
        <v>111</v>
      </c>
      <c r="H36" s="3" t="s">
        <v>5864</v>
      </c>
      <c r="I36" s="3"/>
      <c r="J36" s="3" t="s">
        <v>5865</v>
      </c>
      <c r="K36" s="3" t="s">
        <v>5938</v>
      </c>
      <c r="L36" s="3"/>
      <c r="O36" s="3" t="s">
        <v>5867</v>
      </c>
      <c r="P36" s="12">
        <v>46300</v>
      </c>
      <c r="Q36" s="3"/>
      <c r="R36" s="3" t="s">
        <v>5939</v>
      </c>
      <c r="S36" s="3" t="s">
        <v>5869</v>
      </c>
      <c r="T36" s="3" t="s">
        <v>5870</v>
      </c>
      <c r="U36" s="3" t="s">
        <v>5870</v>
      </c>
    </row>
    <row r="37" spans="1:21" ht="57" customHeight="1">
      <c r="A37" s="5" t="s">
        <v>207</v>
      </c>
      <c r="B37" s="5" t="s">
        <v>11</v>
      </c>
      <c r="C37" s="3" t="s">
        <v>208</v>
      </c>
      <c r="D37" s="6">
        <v>2021</v>
      </c>
      <c r="E37" s="3" t="s">
        <v>209</v>
      </c>
      <c r="F37" s="5" t="s">
        <v>110</v>
      </c>
      <c r="G37" s="10" t="s">
        <v>111</v>
      </c>
      <c r="H37" s="3" t="s">
        <v>5864</v>
      </c>
      <c r="I37" s="3"/>
      <c r="J37" s="3" t="s">
        <v>5865</v>
      </c>
      <c r="K37" s="3" t="s">
        <v>5940</v>
      </c>
      <c r="L37" s="3"/>
      <c r="O37" s="3" t="s">
        <v>5867</v>
      </c>
      <c r="P37" s="12">
        <v>46300</v>
      </c>
      <c r="Q37" s="3"/>
      <c r="R37" s="3" t="s">
        <v>5941</v>
      </c>
      <c r="S37" s="3" t="s">
        <v>5870</v>
      </c>
      <c r="T37" s="3" t="s">
        <v>5870</v>
      </c>
      <c r="U37" s="3" t="s">
        <v>5870</v>
      </c>
    </row>
    <row r="38" spans="1:21" ht="28.5" customHeight="1">
      <c r="A38" s="5" t="s">
        <v>210</v>
      </c>
      <c r="B38" s="5" t="s">
        <v>11</v>
      </c>
      <c r="C38" s="3" t="s">
        <v>211</v>
      </c>
      <c r="D38" s="6">
        <v>2019</v>
      </c>
      <c r="E38" s="3" t="s">
        <v>212</v>
      </c>
      <c r="F38" s="5" t="s">
        <v>110</v>
      </c>
      <c r="G38" s="10" t="s">
        <v>111</v>
      </c>
      <c r="H38" s="3" t="s">
        <v>5864</v>
      </c>
      <c r="I38" s="3"/>
      <c r="J38" s="3" t="s">
        <v>5865</v>
      </c>
      <c r="K38" s="3" t="s">
        <v>5942</v>
      </c>
      <c r="L38" s="3"/>
      <c r="O38" s="3" t="s">
        <v>5867</v>
      </c>
      <c r="P38" s="12">
        <v>46300</v>
      </c>
      <c r="Q38" s="3"/>
      <c r="R38" s="3" t="s">
        <v>5943</v>
      </c>
      <c r="S38" s="3" t="s">
        <v>5869</v>
      </c>
      <c r="T38" s="3" t="s">
        <v>5870</v>
      </c>
      <c r="U38" s="3" t="s">
        <v>5870</v>
      </c>
    </row>
    <row r="39" spans="1:21" ht="28.5" customHeight="1">
      <c r="A39" s="5" t="s">
        <v>213</v>
      </c>
      <c r="B39" s="5" t="s">
        <v>11</v>
      </c>
      <c r="C39" s="3" t="s">
        <v>214</v>
      </c>
      <c r="D39" s="6">
        <v>2025</v>
      </c>
      <c r="E39" s="3" t="s">
        <v>215</v>
      </c>
      <c r="F39" s="5" t="s">
        <v>115</v>
      </c>
      <c r="G39" s="10" t="s">
        <v>111</v>
      </c>
      <c r="H39" s="3" t="s">
        <v>5864</v>
      </c>
      <c r="I39" s="3"/>
      <c r="J39" s="3" t="s">
        <v>5902</v>
      </c>
      <c r="K39" s="3" t="s">
        <v>5944</v>
      </c>
      <c r="L39" s="3"/>
      <c r="O39" s="3" t="s">
        <v>5867</v>
      </c>
      <c r="P39" s="12">
        <v>46300</v>
      </c>
      <c r="Q39" s="3"/>
      <c r="R39" s="3" t="s">
        <v>5945</v>
      </c>
      <c r="S39" s="3" t="s">
        <v>5869</v>
      </c>
      <c r="T39" s="3" t="s">
        <v>5870</v>
      </c>
      <c r="U39" s="3" t="s">
        <v>5870</v>
      </c>
    </row>
    <row r="40" spans="1:21" ht="57" customHeight="1">
      <c r="A40" s="5" t="s">
        <v>216</v>
      </c>
      <c r="B40" s="5" t="s">
        <v>11</v>
      </c>
      <c r="C40" s="3" t="s">
        <v>217</v>
      </c>
      <c r="D40" s="6">
        <v>2025</v>
      </c>
      <c r="E40" s="3" t="s">
        <v>218</v>
      </c>
      <c r="F40" s="5" t="s">
        <v>110</v>
      </c>
      <c r="G40" s="10" t="s">
        <v>111</v>
      </c>
      <c r="H40" s="3" t="s">
        <v>5864</v>
      </c>
      <c r="I40" s="3"/>
      <c r="J40" s="3" t="s">
        <v>5865</v>
      </c>
      <c r="K40" s="3" t="s">
        <v>5946</v>
      </c>
      <c r="L40" s="3"/>
      <c r="O40" s="3" t="s">
        <v>5867</v>
      </c>
      <c r="P40" s="12">
        <v>46300</v>
      </c>
      <c r="Q40" s="3"/>
      <c r="R40" s="3" t="s">
        <v>5947</v>
      </c>
      <c r="S40" s="3" t="s">
        <v>5869</v>
      </c>
      <c r="T40" s="3" t="s">
        <v>5870</v>
      </c>
      <c r="U40" s="3" t="s">
        <v>5870</v>
      </c>
    </row>
    <row r="41" spans="1:21" ht="42.75" customHeight="1">
      <c r="A41" s="5" t="s">
        <v>219</v>
      </c>
      <c r="B41" s="5" t="s">
        <v>11</v>
      </c>
      <c r="C41" s="3" t="s">
        <v>220</v>
      </c>
      <c r="D41" s="6">
        <v>2025</v>
      </c>
      <c r="E41" s="3" t="s">
        <v>221</v>
      </c>
      <c r="F41" s="5" t="s">
        <v>110</v>
      </c>
      <c r="G41" s="10" t="s">
        <v>111</v>
      </c>
      <c r="H41" s="3" t="s">
        <v>5864</v>
      </c>
      <c r="I41" s="3"/>
      <c r="J41" s="3" t="s">
        <v>5865</v>
      </c>
      <c r="K41" s="3" t="s">
        <v>5948</v>
      </c>
      <c r="L41" s="3"/>
      <c r="O41" s="3" t="s">
        <v>5867</v>
      </c>
      <c r="P41" s="12">
        <v>46300</v>
      </c>
      <c r="Q41" s="3"/>
      <c r="R41" s="3" t="s">
        <v>5949</v>
      </c>
      <c r="S41" s="3" t="s">
        <v>5869</v>
      </c>
      <c r="T41" s="3" t="s">
        <v>5870</v>
      </c>
      <c r="U41" s="3" t="s">
        <v>5870</v>
      </c>
    </row>
    <row r="42" spans="1:21" ht="28.5" customHeight="1">
      <c r="A42" s="5" t="s">
        <v>222</v>
      </c>
      <c r="B42" s="5" t="s">
        <v>11</v>
      </c>
      <c r="C42" s="3" t="s">
        <v>223</v>
      </c>
      <c r="D42" s="6">
        <v>2021</v>
      </c>
      <c r="E42" s="3" t="s">
        <v>224</v>
      </c>
      <c r="F42" s="5" t="s">
        <v>115</v>
      </c>
      <c r="G42" s="10" t="s">
        <v>111</v>
      </c>
      <c r="H42" s="3" t="s">
        <v>5864</v>
      </c>
      <c r="I42" s="3"/>
      <c r="J42" s="3" t="s">
        <v>5902</v>
      </c>
      <c r="K42" s="3" t="s">
        <v>5950</v>
      </c>
      <c r="L42" s="3"/>
      <c r="O42" s="3" t="s">
        <v>5867</v>
      </c>
      <c r="P42" s="12">
        <v>46300</v>
      </c>
      <c r="Q42" s="3"/>
      <c r="R42" s="3" t="s">
        <v>5951</v>
      </c>
      <c r="S42" s="3" t="s">
        <v>5869</v>
      </c>
      <c r="T42" s="3" t="s">
        <v>5870</v>
      </c>
      <c r="U42" s="3" t="s">
        <v>5869</v>
      </c>
    </row>
    <row r="43" spans="1:21" ht="42.75" customHeight="1">
      <c r="A43" s="5" t="s">
        <v>225</v>
      </c>
      <c r="B43" s="5" t="s">
        <v>11</v>
      </c>
      <c r="C43" s="3" t="s">
        <v>226</v>
      </c>
      <c r="D43" s="6">
        <v>2018</v>
      </c>
      <c r="E43" s="3" t="s">
        <v>227</v>
      </c>
      <c r="F43" s="5" t="s">
        <v>115</v>
      </c>
      <c r="G43" s="10" t="s">
        <v>111</v>
      </c>
      <c r="H43" s="3" t="s">
        <v>5864</v>
      </c>
      <c r="I43" s="3"/>
      <c r="J43" s="3" t="s">
        <v>5902</v>
      </c>
      <c r="K43" s="3" t="s">
        <v>5952</v>
      </c>
      <c r="L43" s="3"/>
      <c r="O43" s="3" t="s">
        <v>5867</v>
      </c>
      <c r="P43" s="12">
        <v>46300</v>
      </c>
      <c r="Q43" s="3"/>
      <c r="R43" s="3" t="s">
        <v>5953</v>
      </c>
      <c r="S43" s="3" t="s">
        <v>5869</v>
      </c>
      <c r="T43" s="3" t="s">
        <v>5870</v>
      </c>
      <c r="U43" s="3" t="s">
        <v>5870</v>
      </c>
    </row>
    <row r="44" spans="1:21" ht="28.5" customHeight="1">
      <c r="A44" s="5" t="s">
        <v>228</v>
      </c>
      <c r="B44" s="5" t="s">
        <v>11</v>
      </c>
      <c r="C44" s="3" t="s">
        <v>229</v>
      </c>
      <c r="D44" s="6">
        <v>2020</v>
      </c>
      <c r="E44" s="3" t="s">
        <v>230</v>
      </c>
      <c r="F44" s="5" t="s">
        <v>115</v>
      </c>
      <c r="G44" s="10" t="s">
        <v>111</v>
      </c>
      <c r="H44" s="3" t="s">
        <v>5864</v>
      </c>
      <c r="I44" s="3"/>
      <c r="J44" s="3" t="s">
        <v>5865</v>
      </c>
      <c r="K44" s="3" t="s">
        <v>5954</v>
      </c>
      <c r="L44" s="3"/>
      <c r="O44" s="3" t="s">
        <v>5867</v>
      </c>
      <c r="P44" s="12">
        <v>46300</v>
      </c>
      <c r="Q44" s="3"/>
      <c r="R44" s="3" t="s">
        <v>5955</v>
      </c>
      <c r="S44" s="3" t="s">
        <v>5869</v>
      </c>
      <c r="T44" s="3" t="s">
        <v>5870</v>
      </c>
      <c r="U44" s="3" t="s">
        <v>5870</v>
      </c>
    </row>
    <row r="45" spans="1:21" ht="28.5" customHeight="1">
      <c r="A45" s="5" t="s">
        <v>231</v>
      </c>
      <c r="B45" s="5" t="s">
        <v>11</v>
      </c>
      <c r="C45" s="3" t="s">
        <v>232</v>
      </c>
      <c r="D45" s="6">
        <v>2022</v>
      </c>
      <c r="E45" s="3" t="s">
        <v>233</v>
      </c>
      <c r="F45" s="5" t="s">
        <v>115</v>
      </c>
      <c r="G45" s="10" t="s">
        <v>111</v>
      </c>
      <c r="H45" s="3" t="s">
        <v>5864</v>
      </c>
      <c r="I45" s="3"/>
      <c r="J45" s="3" t="s">
        <v>5865</v>
      </c>
      <c r="K45" s="3" t="s">
        <v>5956</v>
      </c>
      <c r="L45" s="3"/>
      <c r="O45" s="3" t="s">
        <v>5867</v>
      </c>
      <c r="P45" s="12">
        <v>46300</v>
      </c>
      <c r="Q45" s="3"/>
      <c r="R45" s="3" t="s">
        <v>5957</v>
      </c>
      <c r="S45" s="3" t="s">
        <v>5869</v>
      </c>
      <c r="T45" s="3" t="s">
        <v>5870</v>
      </c>
      <c r="U45" s="3" t="s">
        <v>5870</v>
      </c>
    </row>
    <row r="46" spans="1:21" ht="57">
      <c r="A46" s="5" t="s">
        <v>234</v>
      </c>
      <c r="B46" s="5" t="s">
        <v>11</v>
      </c>
      <c r="C46" s="3" t="s">
        <v>130</v>
      </c>
      <c r="D46" s="6">
        <v>2023</v>
      </c>
      <c r="E46" s="3" t="s">
        <v>235</v>
      </c>
      <c r="F46" s="5" t="s">
        <v>115</v>
      </c>
      <c r="G46" s="10" t="s">
        <v>111</v>
      </c>
      <c r="H46" s="3" t="s">
        <v>5864</v>
      </c>
      <c r="I46" s="3"/>
      <c r="J46" s="3" t="s">
        <v>5865</v>
      </c>
      <c r="K46" s="3" t="s">
        <v>5958</v>
      </c>
      <c r="L46" s="3"/>
      <c r="O46" s="3" t="s">
        <v>5867</v>
      </c>
      <c r="P46" s="12">
        <v>46300</v>
      </c>
      <c r="Q46" s="3"/>
      <c r="R46" s="3" t="s">
        <v>5959</v>
      </c>
      <c r="S46" s="3" t="s">
        <v>5869</v>
      </c>
      <c r="T46" s="3" t="s">
        <v>5870</v>
      </c>
      <c r="U46" s="3" t="s">
        <v>5870</v>
      </c>
    </row>
    <row r="47" spans="1:21" ht="28.5" customHeight="1">
      <c r="A47" s="5" t="s">
        <v>236</v>
      </c>
      <c r="B47" s="5" t="s">
        <v>11</v>
      </c>
      <c r="C47" s="3" t="s">
        <v>237</v>
      </c>
      <c r="D47" s="6">
        <v>2023</v>
      </c>
      <c r="E47" s="3" t="s">
        <v>238</v>
      </c>
      <c r="F47" s="5" t="s">
        <v>115</v>
      </c>
      <c r="G47" s="10" t="s">
        <v>111</v>
      </c>
      <c r="H47" s="3" t="s">
        <v>5864</v>
      </c>
      <c r="I47" s="3"/>
      <c r="J47" s="3" t="s">
        <v>5902</v>
      </c>
      <c r="K47" s="3" t="s">
        <v>5960</v>
      </c>
      <c r="L47" s="3"/>
      <c r="O47" s="3" t="s">
        <v>5867</v>
      </c>
      <c r="P47" s="12">
        <v>46300</v>
      </c>
      <c r="Q47" s="3"/>
      <c r="R47" s="3" t="s">
        <v>5961</v>
      </c>
      <c r="S47" s="3" t="s">
        <v>5870</v>
      </c>
      <c r="T47" s="3" t="s">
        <v>5870</v>
      </c>
      <c r="U47" s="3" t="s">
        <v>5870</v>
      </c>
    </row>
    <row r="48" spans="1:21" ht="28.5" customHeight="1">
      <c r="A48" s="5" t="s">
        <v>239</v>
      </c>
      <c r="B48" s="5" t="s">
        <v>11</v>
      </c>
      <c r="C48" s="3" t="s">
        <v>240</v>
      </c>
      <c r="D48" s="6">
        <v>2021</v>
      </c>
      <c r="E48" s="3" t="s">
        <v>241</v>
      </c>
      <c r="F48" s="5" t="s">
        <v>110</v>
      </c>
      <c r="G48" s="10" t="s">
        <v>111</v>
      </c>
      <c r="H48" s="3" t="s">
        <v>5864</v>
      </c>
      <c r="I48" s="3"/>
      <c r="J48" s="3" t="s">
        <v>5865</v>
      </c>
      <c r="K48" s="3" t="s">
        <v>5962</v>
      </c>
      <c r="L48" s="3" t="s">
        <v>6997</v>
      </c>
      <c r="M48" t="s">
        <v>6998</v>
      </c>
      <c r="O48" s="3" t="s">
        <v>5867</v>
      </c>
      <c r="P48" s="12">
        <v>46305</v>
      </c>
      <c r="Q48" s="3"/>
      <c r="R48" s="3" t="s">
        <v>6999</v>
      </c>
      <c r="S48" s="3" t="s">
        <v>5870</v>
      </c>
      <c r="T48" s="3" t="s">
        <v>5870</v>
      </c>
      <c r="U48" s="3" t="s">
        <v>5870</v>
      </c>
    </row>
    <row r="49" spans="1:21" ht="42.75" customHeight="1">
      <c r="A49" s="5" t="s">
        <v>242</v>
      </c>
      <c r="B49" s="5" t="s">
        <v>11</v>
      </c>
      <c r="C49" s="3" t="s">
        <v>243</v>
      </c>
      <c r="D49" s="6">
        <v>2023</v>
      </c>
      <c r="E49" s="3" t="s">
        <v>244</v>
      </c>
      <c r="F49" s="5" t="s">
        <v>110</v>
      </c>
      <c r="G49" s="10" t="s">
        <v>111</v>
      </c>
      <c r="H49" s="3" t="s">
        <v>5864</v>
      </c>
      <c r="I49" s="3"/>
      <c r="J49" s="3" t="s">
        <v>5902</v>
      </c>
      <c r="K49" s="3" t="s">
        <v>7000</v>
      </c>
      <c r="L49" s="3" t="s">
        <v>7001</v>
      </c>
      <c r="M49" t="s">
        <v>7002</v>
      </c>
      <c r="O49" s="3" t="s">
        <v>5867</v>
      </c>
      <c r="P49" s="12">
        <v>46305</v>
      </c>
      <c r="Q49" s="3"/>
      <c r="R49" s="3" t="s">
        <v>7003</v>
      </c>
      <c r="S49" s="3" t="s">
        <v>5870</v>
      </c>
      <c r="T49" s="3" t="s">
        <v>5870</v>
      </c>
      <c r="U49" s="3" t="s">
        <v>5870</v>
      </c>
    </row>
    <row r="50" spans="1:21" ht="57" customHeight="1">
      <c r="A50" s="5" t="s">
        <v>245</v>
      </c>
      <c r="B50" s="5" t="s">
        <v>11</v>
      </c>
      <c r="C50" s="3" t="s">
        <v>246</v>
      </c>
      <c r="D50" s="6">
        <v>2021</v>
      </c>
      <c r="E50" s="3" t="s">
        <v>247</v>
      </c>
      <c r="F50" s="5" t="s">
        <v>110</v>
      </c>
      <c r="G50" s="10" t="s">
        <v>111</v>
      </c>
      <c r="H50" s="3" t="s">
        <v>5864</v>
      </c>
      <c r="I50" s="3"/>
      <c r="J50" s="3" t="s">
        <v>5865</v>
      </c>
      <c r="K50" s="3" t="s">
        <v>5966</v>
      </c>
      <c r="L50" s="3"/>
      <c r="O50" s="3" t="s">
        <v>5867</v>
      </c>
      <c r="P50" s="12">
        <v>46300</v>
      </c>
      <c r="Q50" s="3"/>
      <c r="R50" s="3" t="s">
        <v>5967</v>
      </c>
      <c r="S50" s="3" t="s">
        <v>5869</v>
      </c>
      <c r="T50" s="3" t="s">
        <v>5870</v>
      </c>
      <c r="U50" s="3" t="s">
        <v>5870</v>
      </c>
    </row>
    <row r="51" spans="1:21" ht="28.5" customHeight="1">
      <c r="A51" s="5" t="s">
        <v>248</v>
      </c>
      <c r="B51" s="5" t="s">
        <v>11</v>
      </c>
      <c r="C51" s="3" t="s">
        <v>249</v>
      </c>
      <c r="D51" s="6">
        <v>2020</v>
      </c>
      <c r="E51" s="3" t="s">
        <v>250</v>
      </c>
      <c r="F51" s="5" t="s">
        <v>110</v>
      </c>
      <c r="G51" s="10" t="s">
        <v>111</v>
      </c>
      <c r="H51" s="3" t="s">
        <v>5864</v>
      </c>
      <c r="I51" s="3"/>
      <c r="J51" s="3" t="s">
        <v>5865</v>
      </c>
      <c r="K51" s="3" t="s">
        <v>5964</v>
      </c>
      <c r="L51" s="3"/>
      <c r="O51" s="3" t="s">
        <v>5867</v>
      </c>
      <c r="P51" s="12">
        <v>46300</v>
      </c>
      <c r="Q51" s="3"/>
      <c r="R51" s="3" t="s">
        <v>5965</v>
      </c>
      <c r="S51" s="3" t="s">
        <v>5870</v>
      </c>
      <c r="T51" s="3" t="s">
        <v>5870</v>
      </c>
      <c r="U51" s="3" t="s">
        <v>5870</v>
      </c>
    </row>
    <row r="52" spans="1:21" ht="42.75" customHeight="1">
      <c r="A52" s="5" t="s">
        <v>251</v>
      </c>
      <c r="B52" s="5" t="s">
        <v>11</v>
      </c>
      <c r="C52" s="3" t="s">
        <v>252</v>
      </c>
      <c r="D52" s="6">
        <v>2025</v>
      </c>
      <c r="E52" s="3" t="s">
        <v>253</v>
      </c>
      <c r="F52" s="5" t="s">
        <v>110</v>
      </c>
      <c r="G52" s="10" t="s">
        <v>111</v>
      </c>
      <c r="H52" s="3" t="s">
        <v>5864</v>
      </c>
      <c r="I52" s="3"/>
      <c r="J52" s="3" t="s">
        <v>5886</v>
      </c>
      <c r="K52" s="3" t="s">
        <v>7004</v>
      </c>
      <c r="L52" s="3" t="s">
        <v>7005</v>
      </c>
      <c r="M52" t="s">
        <v>7006</v>
      </c>
      <c r="O52" s="3" t="s">
        <v>5867</v>
      </c>
      <c r="P52" s="12">
        <v>46305</v>
      </c>
      <c r="Q52" s="3"/>
      <c r="R52" s="3" t="s">
        <v>7007</v>
      </c>
      <c r="S52" s="3" t="s">
        <v>5869</v>
      </c>
      <c r="T52" s="3" t="s">
        <v>5870</v>
      </c>
      <c r="U52" s="3" t="s">
        <v>5869</v>
      </c>
    </row>
    <row r="53" spans="1:21" ht="28.5" customHeight="1">
      <c r="A53" s="5" t="s">
        <v>254</v>
      </c>
      <c r="B53" s="5" t="s">
        <v>11</v>
      </c>
      <c r="C53" s="3" t="s">
        <v>255</v>
      </c>
      <c r="D53" s="6">
        <v>2024</v>
      </c>
      <c r="E53" s="16" t="s">
        <v>5963</v>
      </c>
      <c r="F53" s="5" t="s">
        <v>115</v>
      </c>
      <c r="G53" s="10" t="s">
        <v>111</v>
      </c>
      <c r="H53" s="3" t="s">
        <v>5864</v>
      </c>
      <c r="I53" s="3"/>
      <c r="J53" s="3" t="s">
        <v>5902</v>
      </c>
      <c r="K53" s="3" t="s">
        <v>7008</v>
      </c>
      <c r="L53" s="3" t="s">
        <v>7009</v>
      </c>
      <c r="M53" t="s">
        <v>7010</v>
      </c>
      <c r="O53" s="3" t="s">
        <v>5867</v>
      </c>
      <c r="P53" s="12">
        <v>46305</v>
      </c>
      <c r="Q53" s="3"/>
      <c r="R53" s="3" t="s">
        <v>7011</v>
      </c>
      <c r="S53" s="3" t="s">
        <v>5870</v>
      </c>
      <c r="T53" s="3" t="s">
        <v>5869</v>
      </c>
      <c r="U53" s="3" t="s">
        <v>5869</v>
      </c>
    </row>
    <row r="54" spans="1:21" ht="28.5" customHeight="1">
      <c r="A54" s="5" t="s">
        <v>257</v>
      </c>
      <c r="B54" s="5" t="s">
        <v>11</v>
      </c>
      <c r="C54" s="3" t="s">
        <v>258</v>
      </c>
      <c r="D54" s="6">
        <v>2022</v>
      </c>
      <c r="E54" s="3" t="s">
        <v>259</v>
      </c>
      <c r="F54" s="5" t="s">
        <v>115</v>
      </c>
      <c r="G54" s="10" t="s">
        <v>111</v>
      </c>
      <c r="H54" s="3" t="s">
        <v>5864</v>
      </c>
      <c r="I54" s="3"/>
      <c r="J54" s="3" t="s">
        <v>5902</v>
      </c>
      <c r="K54" s="3" t="s">
        <v>5968</v>
      </c>
      <c r="L54" s="3"/>
      <c r="O54" s="3" t="s">
        <v>5867</v>
      </c>
      <c r="P54" s="12">
        <v>46300</v>
      </c>
      <c r="Q54" s="3"/>
      <c r="R54" s="3" t="s">
        <v>6996</v>
      </c>
      <c r="S54" s="3" t="s">
        <v>5869</v>
      </c>
      <c r="T54" s="3" t="s">
        <v>5870</v>
      </c>
      <c r="U54" s="3" t="s">
        <v>5869</v>
      </c>
    </row>
    <row r="55" spans="1:21" ht="28.5" customHeight="1">
      <c r="A55" s="5" t="s">
        <v>260</v>
      </c>
      <c r="B55" s="5" t="s">
        <v>11</v>
      </c>
      <c r="C55" s="3" t="s">
        <v>261</v>
      </c>
      <c r="D55" s="6">
        <v>2025</v>
      </c>
      <c r="E55" s="3" t="s">
        <v>262</v>
      </c>
      <c r="F55" s="5" t="s">
        <v>115</v>
      </c>
      <c r="G55" s="10" t="s">
        <v>111</v>
      </c>
      <c r="H55" s="3" t="s">
        <v>5864</v>
      </c>
      <c r="I55" s="3"/>
      <c r="J55" s="3" t="s">
        <v>5865</v>
      </c>
      <c r="K55" s="3" t="s">
        <v>5969</v>
      </c>
      <c r="L55" s="3"/>
      <c r="O55" s="3" t="s">
        <v>5867</v>
      </c>
      <c r="P55" s="12">
        <v>46300</v>
      </c>
      <c r="Q55" s="3"/>
      <c r="R55" s="3" t="s">
        <v>5970</v>
      </c>
      <c r="S55" s="3" t="s">
        <v>5870</v>
      </c>
      <c r="T55" s="3" t="s">
        <v>5870</v>
      </c>
      <c r="U55" s="3" t="s">
        <v>5870</v>
      </c>
    </row>
    <row r="56" spans="1:21" ht="42.75" customHeight="1">
      <c r="A56" s="5" t="s">
        <v>263</v>
      </c>
      <c r="B56" s="5" t="s">
        <v>11</v>
      </c>
      <c r="C56" s="3" t="s">
        <v>264</v>
      </c>
      <c r="D56" s="6">
        <v>2020</v>
      </c>
      <c r="E56" s="3" t="s">
        <v>265</v>
      </c>
      <c r="F56" s="5" t="s">
        <v>115</v>
      </c>
      <c r="G56" s="10" t="s">
        <v>111</v>
      </c>
      <c r="H56" s="3" t="s">
        <v>5864</v>
      </c>
      <c r="I56" s="3"/>
      <c r="J56" s="3" t="s">
        <v>5879</v>
      </c>
      <c r="K56" s="3" t="s">
        <v>5971</v>
      </c>
      <c r="L56" s="3"/>
      <c r="O56" s="3" t="s">
        <v>5867</v>
      </c>
      <c r="P56" s="12">
        <v>46300</v>
      </c>
      <c r="Q56" s="3"/>
      <c r="R56" s="3" t="s">
        <v>5972</v>
      </c>
      <c r="S56" s="3" t="s">
        <v>5869</v>
      </c>
      <c r="T56" s="3" t="s">
        <v>5870</v>
      </c>
      <c r="U56" s="3" t="s">
        <v>5869</v>
      </c>
    </row>
    <row r="57" spans="1:21" ht="28.5" customHeight="1">
      <c r="A57" s="5" t="s">
        <v>266</v>
      </c>
      <c r="B57" s="5" t="s">
        <v>11</v>
      </c>
      <c r="C57" s="3" t="s">
        <v>267</v>
      </c>
      <c r="D57" s="6">
        <v>2025</v>
      </c>
      <c r="E57" s="3" t="s">
        <v>268</v>
      </c>
      <c r="F57" s="5" t="s">
        <v>110</v>
      </c>
      <c r="G57" s="10" t="s">
        <v>111</v>
      </c>
      <c r="H57" s="3" t="s">
        <v>5864</v>
      </c>
      <c r="I57" s="3"/>
      <c r="J57" s="3" t="s">
        <v>5865</v>
      </c>
      <c r="K57" s="3" t="s">
        <v>5973</v>
      </c>
      <c r="L57" s="3"/>
      <c r="O57" s="3" t="s">
        <v>5867</v>
      </c>
      <c r="P57" s="12">
        <v>46300</v>
      </c>
      <c r="Q57" s="3"/>
      <c r="R57" s="3" t="s">
        <v>5974</v>
      </c>
      <c r="S57" s="3" t="s">
        <v>5870</v>
      </c>
      <c r="T57" s="3" t="s">
        <v>5870</v>
      </c>
      <c r="U57" s="3" t="s">
        <v>5870</v>
      </c>
    </row>
    <row r="58" spans="1:21" ht="42.75" customHeight="1">
      <c r="A58" s="5" t="s">
        <v>269</v>
      </c>
      <c r="B58" s="5" t="s">
        <v>11</v>
      </c>
      <c r="C58" s="3" t="s">
        <v>270</v>
      </c>
      <c r="D58" s="6">
        <v>2024</v>
      </c>
      <c r="E58" s="3" t="s">
        <v>271</v>
      </c>
      <c r="F58" s="5" t="s">
        <v>110</v>
      </c>
      <c r="G58" s="10" t="s">
        <v>111</v>
      </c>
      <c r="H58" s="3" t="s">
        <v>5864</v>
      </c>
      <c r="I58" s="3"/>
      <c r="J58" s="3" t="s">
        <v>5865</v>
      </c>
      <c r="K58" s="3" t="s">
        <v>5975</v>
      </c>
      <c r="L58" s="3"/>
      <c r="O58" s="3" t="s">
        <v>5867</v>
      </c>
      <c r="P58" s="12">
        <v>46300</v>
      </c>
      <c r="Q58" s="3"/>
      <c r="R58" s="3" t="s">
        <v>5976</v>
      </c>
      <c r="S58" s="3" t="s">
        <v>5869</v>
      </c>
      <c r="T58" s="3" t="s">
        <v>5870</v>
      </c>
      <c r="U58" s="3" t="s">
        <v>5870</v>
      </c>
    </row>
    <row r="59" spans="1:21" ht="28.5" customHeight="1">
      <c r="A59" s="5" t="s">
        <v>272</v>
      </c>
      <c r="B59" s="5" t="s">
        <v>11</v>
      </c>
      <c r="C59" s="3" t="s">
        <v>273</v>
      </c>
      <c r="D59" s="6">
        <v>2023</v>
      </c>
      <c r="E59" s="3" t="s">
        <v>274</v>
      </c>
      <c r="F59" s="5" t="s">
        <v>110</v>
      </c>
      <c r="G59" s="10" t="s">
        <v>111</v>
      </c>
      <c r="H59" s="3" t="s">
        <v>5864</v>
      </c>
      <c r="I59" s="3"/>
      <c r="J59" s="3" t="s">
        <v>5865</v>
      </c>
      <c r="K59" s="3" t="s">
        <v>5977</v>
      </c>
      <c r="L59" s="3"/>
      <c r="O59" s="3" t="s">
        <v>5867</v>
      </c>
      <c r="P59" s="12">
        <v>46300</v>
      </c>
      <c r="Q59" s="3"/>
      <c r="R59" s="3" t="s">
        <v>5978</v>
      </c>
      <c r="S59" s="3" t="s">
        <v>5869</v>
      </c>
      <c r="T59" s="3" t="s">
        <v>5869</v>
      </c>
      <c r="U59" s="3" t="s">
        <v>5870</v>
      </c>
    </row>
    <row r="60" spans="1:21" ht="99.75" customHeight="1">
      <c r="A60" s="5" t="s">
        <v>275</v>
      </c>
      <c r="B60" s="5" t="s">
        <v>11</v>
      </c>
      <c r="C60" s="3" t="s">
        <v>276</v>
      </c>
      <c r="D60" s="6">
        <v>2024</v>
      </c>
      <c r="E60" s="3" t="s">
        <v>277</v>
      </c>
      <c r="F60" s="5" t="s">
        <v>115</v>
      </c>
      <c r="G60" s="10" t="s">
        <v>111</v>
      </c>
      <c r="H60" s="3" t="s">
        <v>5864</v>
      </c>
      <c r="I60" s="3"/>
      <c r="J60" s="3" t="s">
        <v>5879</v>
      </c>
      <c r="K60" s="3" t="s">
        <v>5979</v>
      </c>
      <c r="L60" s="3"/>
      <c r="O60" s="3" t="s">
        <v>5867</v>
      </c>
      <c r="P60" s="12">
        <v>46300</v>
      </c>
      <c r="Q60" s="3"/>
      <c r="R60" s="3" t="s">
        <v>5980</v>
      </c>
      <c r="S60" s="3" t="s">
        <v>5869</v>
      </c>
      <c r="T60" s="3" t="s">
        <v>5870</v>
      </c>
      <c r="U60" s="3" t="s">
        <v>5870</v>
      </c>
    </row>
    <row r="61" spans="1:21" ht="28.5" customHeight="1">
      <c r="A61" s="5" t="s">
        <v>278</v>
      </c>
      <c r="B61" s="5" t="s">
        <v>11</v>
      </c>
      <c r="C61" s="3" t="s">
        <v>279</v>
      </c>
      <c r="D61" s="6">
        <v>2019</v>
      </c>
      <c r="E61" s="3" t="s">
        <v>280</v>
      </c>
      <c r="F61" s="5" t="s">
        <v>115</v>
      </c>
      <c r="G61" s="10" t="s">
        <v>111</v>
      </c>
      <c r="H61" s="3" t="s">
        <v>5864</v>
      </c>
      <c r="I61" s="3"/>
      <c r="J61" s="3" t="s">
        <v>5902</v>
      </c>
      <c r="K61" s="3" t="s">
        <v>5981</v>
      </c>
      <c r="L61" s="3"/>
      <c r="O61" s="3" t="s">
        <v>5867</v>
      </c>
      <c r="P61" s="12">
        <v>46300</v>
      </c>
      <c r="Q61" s="3"/>
      <c r="R61" s="3" t="s">
        <v>5982</v>
      </c>
      <c r="S61" s="3" t="s">
        <v>5869</v>
      </c>
      <c r="T61" s="3" t="s">
        <v>5870</v>
      </c>
      <c r="U61" s="3" t="s">
        <v>5869</v>
      </c>
    </row>
    <row r="62" spans="1:21" ht="28.5" customHeight="1">
      <c r="A62" s="5" t="s">
        <v>281</v>
      </c>
      <c r="B62" s="5" t="s">
        <v>11</v>
      </c>
      <c r="C62" s="3" t="s">
        <v>282</v>
      </c>
      <c r="D62" s="6">
        <v>2023</v>
      </c>
      <c r="E62" s="3" t="s">
        <v>283</v>
      </c>
      <c r="F62" s="5" t="s">
        <v>110</v>
      </c>
      <c r="G62" s="10" t="s">
        <v>111</v>
      </c>
      <c r="H62" s="3" t="s">
        <v>5864</v>
      </c>
      <c r="I62" s="3"/>
      <c r="J62" s="3" t="s">
        <v>5874</v>
      </c>
      <c r="K62" s="3" t="s">
        <v>5983</v>
      </c>
      <c r="L62" s="3"/>
      <c r="O62" s="3" t="s">
        <v>5867</v>
      </c>
      <c r="P62" s="12">
        <v>46300</v>
      </c>
      <c r="Q62" s="3"/>
      <c r="R62" s="3" t="s">
        <v>5984</v>
      </c>
      <c r="S62" s="3" t="s">
        <v>5869</v>
      </c>
      <c r="T62" s="3" t="s">
        <v>5870</v>
      </c>
      <c r="U62" s="3" t="s">
        <v>5869</v>
      </c>
    </row>
    <row r="63" spans="1:21" ht="28.5" customHeight="1">
      <c r="A63" s="5" t="s">
        <v>284</v>
      </c>
      <c r="B63" s="5" t="s">
        <v>11</v>
      </c>
      <c r="C63" s="3" t="s">
        <v>285</v>
      </c>
      <c r="D63" s="6">
        <v>2025</v>
      </c>
      <c r="E63" s="3" t="s">
        <v>286</v>
      </c>
      <c r="F63" s="5" t="s">
        <v>115</v>
      </c>
      <c r="G63" s="10" t="s">
        <v>111</v>
      </c>
      <c r="H63" s="3" t="s">
        <v>5864</v>
      </c>
      <c r="I63" s="3"/>
      <c r="J63" s="3" t="s">
        <v>5865</v>
      </c>
      <c r="K63" s="3" t="s">
        <v>5985</v>
      </c>
      <c r="L63" s="3"/>
      <c r="O63" s="3" t="s">
        <v>5867</v>
      </c>
      <c r="P63" s="12">
        <v>46300</v>
      </c>
      <c r="Q63" s="3"/>
      <c r="R63" s="3" t="s">
        <v>5986</v>
      </c>
      <c r="S63" s="3" t="s">
        <v>5870</v>
      </c>
      <c r="T63" s="3" t="s">
        <v>5870</v>
      </c>
      <c r="U63" s="3" t="s">
        <v>5870</v>
      </c>
    </row>
    <row r="64" spans="1:21" ht="28.5" customHeight="1">
      <c r="A64" s="5" t="s">
        <v>287</v>
      </c>
      <c r="B64" s="5" t="s">
        <v>11</v>
      </c>
      <c r="C64" s="3" t="s">
        <v>288</v>
      </c>
      <c r="D64" s="6">
        <v>2020</v>
      </c>
      <c r="E64" s="3" t="s">
        <v>289</v>
      </c>
      <c r="F64" s="5" t="s">
        <v>110</v>
      </c>
      <c r="G64" s="10" t="s">
        <v>111</v>
      </c>
      <c r="H64" s="3" t="s">
        <v>5864</v>
      </c>
      <c r="I64" s="3"/>
      <c r="J64" s="3" t="s">
        <v>5865</v>
      </c>
      <c r="K64" s="3" t="s">
        <v>5987</v>
      </c>
      <c r="L64" s="3"/>
      <c r="O64" s="3" t="s">
        <v>5867</v>
      </c>
      <c r="P64" s="12">
        <v>46300</v>
      </c>
      <c r="Q64" s="3"/>
      <c r="R64" s="3" t="s">
        <v>5988</v>
      </c>
      <c r="S64" s="3" t="s">
        <v>5869</v>
      </c>
      <c r="T64" s="3" t="s">
        <v>5870</v>
      </c>
      <c r="U64" s="3" t="s">
        <v>5870</v>
      </c>
    </row>
    <row r="65" spans="1:21" ht="28.5" customHeight="1">
      <c r="A65" s="5" t="s">
        <v>290</v>
      </c>
      <c r="B65" s="5" t="s">
        <v>11</v>
      </c>
      <c r="C65" s="3" t="s">
        <v>291</v>
      </c>
      <c r="D65" s="6">
        <v>2015</v>
      </c>
      <c r="E65" s="3" t="s">
        <v>292</v>
      </c>
      <c r="F65" s="5" t="s">
        <v>110</v>
      </c>
      <c r="G65" s="10" t="s">
        <v>111</v>
      </c>
      <c r="H65" s="3" t="s">
        <v>5864</v>
      </c>
      <c r="I65" s="3"/>
      <c r="J65" s="3" t="s">
        <v>5865</v>
      </c>
      <c r="K65" s="3" t="s">
        <v>5989</v>
      </c>
      <c r="L65" s="3"/>
      <c r="O65" s="3" t="s">
        <v>5867</v>
      </c>
      <c r="P65" s="12">
        <v>46300</v>
      </c>
      <c r="Q65" s="3"/>
      <c r="R65" s="3" t="s">
        <v>5990</v>
      </c>
      <c r="S65" s="3" t="s">
        <v>5869</v>
      </c>
      <c r="T65" s="3" t="s">
        <v>5870</v>
      </c>
      <c r="U65" s="3" t="s">
        <v>5869</v>
      </c>
    </row>
    <row r="66" spans="1:21" ht="42.75" customHeight="1">
      <c r="A66" s="5" t="s">
        <v>293</v>
      </c>
      <c r="B66" s="5" t="s">
        <v>11</v>
      </c>
      <c r="C66" s="3" t="s">
        <v>294</v>
      </c>
      <c r="D66" s="6">
        <v>2025</v>
      </c>
      <c r="E66" s="3" t="s">
        <v>295</v>
      </c>
      <c r="F66" s="5" t="s">
        <v>115</v>
      </c>
      <c r="G66" s="10" t="s">
        <v>111</v>
      </c>
      <c r="H66" s="3" t="s">
        <v>5864</v>
      </c>
      <c r="I66" s="3"/>
      <c r="J66" s="3" t="s">
        <v>5874</v>
      </c>
      <c r="K66" s="3" t="s">
        <v>5991</v>
      </c>
      <c r="L66" s="3"/>
      <c r="O66" s="3" t="s">
        <v>5867</v>
      </c>
      <c r="P66" s="12">
        <v>46300</v>
      </c>
      <c r="Q66" s="3"/>
      <c r="R66" s="3" t="s">
        <v>5992</v>
      </c>
      <c r="S66" s="3" t="s">
        <v>5869</v>
      </c>
      <c r="T66" s="3" t="s">
        <v>5870</v>
      </c>
      <c r="U66" s="3" t="s">
        <v>5869</v>
      </c>
    </row>
    <row r="67" spans="1:21" ht="42.75" customHeight="1">
      <c r="A67" s="5" t="s">
        <v>296</v>
      </c>
      <c r="B67" s="5" t="s">
        <v>11</v>
      </c>
      <c r="C67" s="3" t="s">
        <v>297</v>
      </c>
      <c r="D67" s="6">
        <v>2023</v>
      </c>
      <c r="E67" s="3" t="s">
        <v>298</v>
      </c>
      <c r="F67" s="5" t="s">
        <v>110</v>
      </c>
      <c r="G67" s="10" t="s">
        <v>111</v>
      </c>
      <c r="H67" s="3" t="s">
        <v>5864</v>
      </c>
      <c r="I67" s="3"/>
      <c r="J67" s="3" t="s">
        <v>5865</v>
      </c>
      <c r="K67" s="3" t="s">
        <v>5993</v>
      </c>
      <c r="L67" s="3"/>
      <c r="O67" s="3" t="s">
        <v>5867</v>
      </c>
      <c r="P67" s="12">
        <v>46300</v>
      </c>
      <c r="Q67" s="3"/>
      <c r="R67" s="3" t="s">
        <v>5994</v>
      </c>
      <c r="S67" s="3" t="s">
        <v>5870</v>
      </c>
      <c r="T67" s="3" t="s">
        <v>5870</v>
      </c>
      <c r="U67" s="3" t="s">
        <v>5870</v>
      </c>
    </row>
    <row r="68" spans="1:21" ht="85.5" customHeight="1">
      <c r="A68" s="5" t="s">
        <v>299</v>
      </c>
      <c r="B68" s="5" t="s">
        <v>11</v>
      </c>
      <c r="C68" s="3" t="s">
        <v>300</v>
      </c>
      <c r="D68" s="6">
        <v>2025</v>
      </c>
      <c r="E68" s="3" t="s">
        <v>301</v>
      </c>
      <c r="F68" s="5" t="s">
        <v>110</v>
      </c>
      <c r="G68" s="10" t="s">
        <v>111</v>
      </c>
      <c r="H68" s="3" t="s">
        <v>5864</v>
      </c>
      <c r="I68" s="3"/>
      <c r="J68" s="3" t="s">
        <v>5879</v>
      </c>
      <c r="K68" s="3" t="s">
        <v>5995</v>
      </c>
      <c r="L68" s="3"/>
      <c r="O68" s="3" t="s">
        <v>5867</v>
      </c>
      <c r="P68" s="12">
        <v>46300</v>
      </c>
      <c r="Q68" s="3"/>
      <c r="R68" s="3" t="s">
        <v>5996</v>
      </c>
      <c r="S68" s="3" t="s">
        <v>5869</v>
      </c>
      <c r="T68" s="3" t="s">
        <v>5869</v>
      </c>
      <c r="U68" s="3" t="s">
        <v>5869</v>
      </c>
    </row>
    <row r="69" spans="1:21" ht="42.75" customHeight="1">
      <c r="A69" s="5" t="s">
        <v>302</v>
      </c>
      <c r="B69" s="5" t="s">
        <v>11</v>
      </c>
      <c r="C69" s="3" t="s">
        <v>303</v>
      </c>
      <c r="D69" s="6">
        <v>2021</v>
      </c>
      <c r="E69" s="3" t="s">
        <v>304</v>
      </c>
      <c r="F69" s="5" t="s">
        <v>110</v>
      </c>
      <c r="G69" s="10" t="s">
        <v>111</v>
      </c>
      <c r="H69" s="3" t="s">
        <v>5864</v>
      </c>
      <c r="I69" s="3"/>
      <c r="J69" s="3" t="s">
        <v>5865</v>
      </c>
      <c r="K69" s="3" t="s">
        <v>5997</v>
      </c>
      <c r="L69" s="3"/>
      <c r="O69" s="3" t="s">
        <v>5867</v>
      </c>
      <c r="P69" s="12">
        <v>46300</v>
      </c>
      <c r="Q69" s="3"/>
      <c r="R69" s="3" t="s">
        <v>5998</v>
      </c>
      <c r="S69" s="3" t="s">
        <v>5870</v>
      </c>
      <c r="T69" s="3" t="s">
        <v>5870</v>
      </c>
      <c r="U69" s="3" t="s">
        <v>5870</v>
      </c>
    </row>
    <row r="70" spans="1:21" ht="28.5" customHeight="1">
      <c r="A70" s="5" t="s">
        <v>305</v>
      </c>
      <c r="B70" s="5" t="s">
        <v>11</v>
      </c>
      <c r="C70" s="3" t="s">
        <v>306</v>
      </c>
      <c r="D70" s="6">
        <v>2024</v>
      </c>
      <c r="E70" s="3" t="s">
        <v>307</v>
      </c>
      <c r="F70" s="5" t="s">
        <v>110</v>
      </c>
      <c r="G70" s="10" t="s">
        <v>111</v>
      </c>
      <c r="H70" s="3" t="s">
        <v>5864</v>
      </c>
      <c r="I70" s="3"/>
      <c r="J70" s="3" t="s">
        <v>5902</v>
      </c>
      <c r="K70" s="3" t="s">
        <v>5999</v>
      </c>
      <c r="L70" s="3"/>
      <c r="O70" s="3" t="s">
        <v>5867</v>
      </c>
      <c r="P70" s="12">
        <v>46300</v>
      </c>
      <c r="Q70" s="3"/>
      <c r="R70" s="3" t="s">
        <v>6000</v>
      </c>
      <c r="S70" s="3" t="s">
        <v>5869</v>
      </c>
      <c r="T70" s="3" t="s">
        <v>5870</v>
      </c>
      <c r="U70" s="3" t="s">
        <v>5870</v>
      </c>
    </row>
    <row r="71" spans="1:21" ht="28.5" customHeight="1">
      <c r="A71" s="5" t="s">
        <v>308</v>
      </c>
      <c r="B71" s="5" t="s">
        <v>11</v>
      </c>
      <c r="C71" s="3" t="s">
        <v>309</v>
      </c>
      <c r="D71" s="6">
        <v>2017</v>
      </c>
      <c r="E71" s="3" t="s">
        <v>310</v>
      </c>
      <c r="F71" s="5" t="s">
        <v>115</v>
      </c>
      <c r="G71" s="10" t="s">
        <v>111</v>
      </c>
      <c r="H71" s="3" t="s">
        <v>5864</v>
      </c>
      <c r="I71" s="3"/>
      <c r="J71" s="3" t="s">
        <v>5865</v>
      </c>
      <c r="K71" s="3" t="s">
        <v>6001</v>
      </c>
      <c r="L71" s="3"/>
      <c r="O71" s="3" t="s">
        <v>5867</v>
      </c>
      <c r="P71" s="12">
        <v>46300</v>
      </c>
      <c r="Q71" s="3"/>
      <c r="R71" s="3" t="s">
        <v>6002</v>
      </c>
      <c r="S71" s="3" t="s">
        <v>5869</v>
      </c>
      <c r="T71" s="3" t="s">
        <v>5869</v>
      </c>
      <c r="U71" s="3" t="s">
        <v>5869</v>
      </c>
    </row>
    <row r="72" spans="1:21" ht="28.5" customHeight="1">
      <c r="A72" s="5" t="s">
        <v>311</v>
      </c>
      <c r="B72" s="5" t="s">
        <v>11</v>
      </c>
      <c r="C72" s="3" t="s">
        <v>312</v>
      </c>
      <c r="D72" s="6">
        <v>2022</v>
      </c>
      <c r="E72" s="3" t="s">
        <v>313</v>
      </c>
      <c r="F72" s="5" t="s">
        <v>110</v>
      </c>
      <c r="G72" s="10" t="s">
        <v>111</v>
      </c>
      <c r="H72" s="3" t="s">
        <v>5864</v>
      </c>
      <c r="I72" s="3"/>
      <c r="J72" s="3" t="s">
        <v>5902</v>
      </c>
      <c r="K72" s="3" t="s">
        <v>6003</v>
      </c>
      <c r="L72" s="3"/>
      <c r="O72" s="3" t="s">
        <v>5867</v>
      </c>
      <c r="P72" s="12">
        <v>46300</v>
      </c>
      <c r="Q72" s="3"/>
      <c r="R72" s="3" t="s">
        <v>6004</v>
      </c>
      <c r="S72" s="3" t="s">
        <v>5869</v>
      </c>
      <c r="T72" s="3" t="s">
        <v>5870</v>
      </c>
      <c r="U72" s="3" t="s">
        <v>5869</v>
      </c>
    </row>
    <row r="73" spans="1:21" ht="42.75" customHeight="1">
      <c r="A73" s="5" t="s">
        <v>314</v>
      </c>
      <c r="B73" s="5" t="s">
        <v>11</v>
      </c>
      <c r="C73" s="3" t="s">
        <v>315</v>
      </c>
      <c r="D73" s="6">
        <v>2024</v>
      </c>
      <c r="E73" s="3" t="s">
        <v>316</v>
      </c>
      <c r="F73" s="5" t="s">
        <v>110</v>
      </c>
      <c r="G73" s="10" t="s">
        <v>111</v>
      </c>
      <c r="H73" s="3" t="s">
        <v>5864</v>
      </c>
      <c r="I73" s="3"/>
      <c r="J73" s="3" t="s">
        <v>5865</v>
      </c>
      <c r="K73" s="3" t="s">
        <v>6005</v>
      </c>
      <c r="L73" s="3"/>
      <c r="O73" s="3" t="s">
        <v>5867</v>
      </c>
      <c r="P73" s="12">
        <v>46300</v>
      </c>
      <c r="Q73" s="3"/>
      <c r="R73" s="3" t="s">
        <v>6006</v>
      </c>
      <c r="S73" s="3" t="s">
        <v>5869</v>
      </c>
      <c r="T73" s="3" t="s">
        <v>5870</v>
      </c>
      <c r="U73" s="3" t="s">
        <v>5869</v>
      </c>
    </row>
    <row r="74" spans="1:21" ht="42.75" customHeight="1">
      <c r="A74" s="5" t="s">
        <v>317</v>
      </c>
      <c r="B74" s="5" t="s">
        <v>11</v>
      </c>
      <c r="C74" s="3" t="s">
        <v>318</v>
      </c>
      <c r="D74" s="6">
        <v>2024</v>
      </c>
      <c r="E74" s="3" t="s">
        <v>319</v>
      </c>
      <c r="F74" s="5" t="s">
        <v>115</v>
      </c>
      <c r="G74" s="10" t="s">
        <v>111</v>
      </c>
      <c r="H74" s="3" t="s">
        <v>5864</v>
      </c>
      <c r="I74" s="3"/>
      <c r="J74" s="3" t="s">
        <v>5865</v>
      </c>
      <c r="K74" s="3" t="s">
        <v>6007</v>
      </c>
      <c r="L74" s="3"/>
      <c r="O74" s="3" t="s">
        <v>5867</v>
      </c>
      <c r="P74" s="12">
        <v>46300</v>
      </c>
      <c r="Q74" s="3"/>
      <c r="R74" s="3" t="s">
        <v>6008</v>
      </c>
      <c r="S74" s="3" t="s">
        <v>5869</v>
      </c>
      <c r="T74" s="3" t="s">
        <v>5870</v>
      </c>
      <c r="U74" s="3" t="s">
        <v>5870</v>
      </c>
    </row>
    <row r="75" spans="1:21" ht="71.25" customHeight="1">
      <c r="A75" s="5" t="s">
        <v>320</v>
      </c>
      <c r="B75" s="5" t="s">
        <v>11</v>
      </c>
      <c r="C75" s="3" t="s">
        <v>321</v>
      </c>
      <c r="D75" s="6">
        <v>2018</v>
      </c>
      <c r="E75" s="3" t="s">
        <v>322</v>
      </c>
      <c r="F75" s="5" t="s">
        <v>115</v>
      </c>
      <c r="G75" s="10" t="s">
        <v>111</v>
      </c>
      <c r="H75" s="3" t="s">
        <v>5864</v>
      </c>
      <c r="I75" s="3"/>
      <c r="J75" s="3" t="s">
        <v>5865</v>
      </c>
      <c r="K75" s="3" t="s">
        <v>6009</v>
      </c>
      <c r="L75" s="3"/>
      <c r="O75" s="3" t="s">
        <v>5867</v>
      </c>
      <c r="P75" s="12">
        <v>46300</v>
      </c>
      <c r="Q75" s="3"/>
      <c r="R75" s="3" t="s">
        <v>6010</v>
      </c>
      <c r="S75" s="3" t="s">
        <v>5869</v>
      </c>
      <c r="T75" s="3" t="s">
        <v>5870</v>
      </c>
      <c r="U75" s="3" t="s">
        <v>5870</v>
      </c>
    </row>
    <row r="76" spans="1:21" ht="42.75" customHeight="1">
      <c r="A76" s="5" t="s">
        <v>323</v>
      </c>
      <c r="B76" s="5" t="s">
        <v>11</v>
      </c>
      <c r="C76" s="3" t="s">
        <v>324</v>
      </c>
      <c r="D76" s="6">
        <v>2024</v>
      </c>
      <c r="E76" s="3" t="s">
        <v>325</v>
      </c>
      <c r="F76" s="5" t="s">
        <v>110</v>
      </c>
      <c r="G76" s="10" t="s">
        <v>111</v>
      </c>
      <c r="H76" s="3" t="s">
        <v>5864</v>
      </c>
      <c r="I76" s="3"/>
      <c r="J76" s="3" t="s">
        <v>5886</v>
      </c>
      <c r="K76" s="3" t="s">
        <v>6011</v>
      </c>
      <c r="L76" s="3"/>
      <c r="O76" s="3" t="s">
        <v>5867</v>
      </c>
      <c r="P76" s="12">
        <v>46300</v>
      </c>
      <c r="Q76" s="3"/>
      <c r="R76" s="3" t="s">
        <v>6012</v>
      </c>
      <c r="S76" s="3" t="s">
        <v>5870</v>
      </c>
      <c r="T76" s="3" t="s">
        <v>5870</v>
      </c>
      <c r="U76" s="3" t="s">
        <v>5869</v>
      </c>
    </row>
    <row r="77" spans="1:21" ht="42.75" customHeight="1">
      <c r="A77" s="5" t="s">
        <v>326</v>
      </c>
      <c r="B77" s="5" t="s">
        <v>11</v>
      </c>
      <c r="C77" s="3" t="s">
        <v>327</v>
      </c>
      <c r="D77" s="6">
        <v>2025</v>
      </c>
      <c r="E77" s="3" t="s">
        <v>328</v>
      </c>
      <c r="F77" s="5" t="s">
        <v>110</v>
      </c>
      <c r="G77" s="10" t="s">
        <v>111</v>
      </c>
      <c r="H77" s="3" t="s">
        <v>5864</v>
      </c>
      <c r="I77" s="3"/>
      <c r="J77" s="3" t="s">
        <v>5865</v>
      </c>
      <c r="K77" s="3" t="s">
        <v>6055</v>
      </c>
      <c r="L77" s="3"/>
      <c r="O77" s="3" t="s">
        <v>5867</v>
      </c>
      <c r="P77" s="12">
        <v>46300</v>
      </c>
      <c r="Q77" s="3"/>
      <c r="R77" s="3" t="s">
        <v>6056</v>
      </c>
      <c r="S77" s="3" t="s">
        <v>5869</v>
      </c>
      <c r="T77" s="3" t="s">
        <v>5870</v>
      </c>
      <c r="U77" s="3" t="s">
        <v>5870</v>
      </c>
    </row>
    <row r="78" spans="1:21" ht="28.5" customHeight="1">
      <c r="A78" s="5" t="s">
        <v>329</v>
      </c>
      <c r="B78" s="5" t="s">
        <v>11</v>
      </c>
      <c r="C78" s="3" t="s">
        <v>258</v>
      </c>
      <c r="D78" s="6">
        <v>2023</v>
      </c>
      <c r="E78" s="3" t="s">
        <v>330</v>
      </c>
      <c r="F78" s="5" t="s">
        <v>115</v>
      </c>
      <c r="G78" s="10" t="s">
        <v>111</v>
      </c>
      <c r="H78" s="3" t="s">
        <v>5864</v>
      </c>
      <c r="I78" s="3"/>
      <c r="J78" s="3" t="s">
        <v>5902</v>
      </c>
      <c r="K78" s="3" t="s">
        <v>6057</v>
      </c>
      <c r="L78" s="3"/>
      <c r="O78" s="3" t="s">
        <v>5867</v>
      </c>
      <c r="P78" s="12">
        <v>46300</v>
      </c>
      <c r="Q78" s="3"/>
      <c r="R78" s="3" t="s">
        <v>6058</v>
      </c>
      <c r="S78" s="3" t="s">
        <v>5869</v>
      </c>
      <c r="T78" s="3" t="s">
        <v>5870</v>
      </c>
      <c r="U78" s="3" t="s">
        <v>5869</v>
      </c>
    </row>
    <row r="79" spans="1:21" ht="57">
      <c r="A79" s="5" t="s">
        <v>331</v>
      </c>
      <c r="B79" s="5" t="s">
        <v>11</v>
      </c>
      <c r="C79" s="3" t="s">
        <v>332</v>
      </c>
      <c r="D79" s="6">
        <v>2020</v>
      </c>
      <c r="E79" s="3" t="s">
        <v>333</v>
      </c>
      <c r="F79" s="5" t="s">
        <v>110</v>
      </c>
      <c r="G79" s="10" t="s">
        <v>111</v>
      </c>
      <c r="H79" s="3" t="s">
        <v>5864</v>
      </c>
      <c r="I79" s="3"/>
      <c r="J79" s="3" t="s">
        <v>5865</v>
      </c>
      <c r="K79" s="3" t="s">
        <v>6059</v>
      </c>
      <c r="L79" s="3"/>
      <c r="O79" s="3" t="s">
        <v>5867</v>
      </c>
      <c r="P79" s="12">
        <v>46300</v>
      </c>
      <c r="Q79" s="3"/>
      <c r="R79" s="3" t="s">
        <v>6060</v>
      </c>
      <c r="S79" s="3" t="s">
        <v>5869</v>
      </c>
      <c r="T79" s="3" t="s">
        <v>5870</v>
      </c>
      <c r="U79" s="3" t="s">
        <v>5870</v>
      </c>
    </row>
    <row r="80" spans="1:21" ht="42.75" customHeight="1">
      <c r="A80" s="5" t="s">
        <v>334</v>
      </c>
      <c r="B80" s="5" t="s">
        <v>11</v>
      </c>
      <c r="C80" s="3" t="s">
        <v>335</v>
      </c>
      <c r="D80" s="6">
        <v>2020</v>
      </c>
      <c r="E80" s="3" t="s">
        <v>336</v>
      </c>
      <c r="F80" s="5" t="s">
        <v>110</v>
      </c>
      <c r="G80" s="10" t="s">
        <v>111</v>
      </c>
      <c r="H80" s="3" t="s">
        <v>5864</v>
      </c>
      <c r="I80" s="3"/>
      <c r="J80" s="3" t="s">
        <v>5874</v>
      </c>
      <c r="K80" s="3" t="s">
        <v>6061</v>
      </c>
      <c r="L80" s="3" t="s">
        <v>6062</v>
      </c>
      <c r="M80" t="s">
        <v>6063</v>
      </c>
      <c r="O80" s="3" t="s">
        <v>5867</v>
      </c>
      <c r="P80" s="12">
        <v>46300</v>
      </c>
      <c r="Q80" s="3"/>
      <c r="R80" s="3" t="s">
        <v>6064</v>
      </c>
      <c r="S80" s="3" t="s">
        <v>5869</v>
      </c>
      <c r="T80" s="3" t="s">
        <v>5870</v>
      </c>
      <c r="U80" s="3" t="s">
        <v>5870</v>
      </c>
    </row>
    <row r="81" spans="1:21" ht="28.5" customHeight="1">
      <c r="A81" s="5" t="s">
        <v>337</v>
      </c>
      <c r="B81" s="5" t="s">
        <v>11</v>
      </c>
      <c r="C81" s="3" t="s">
        <v>338</v>
      </c>
      <c r="D81" s="6">
        <v>2024</v>
      </c>
      <c r="E81" s="3" t="s">
        <v>339</v>
      </c>
      <c r="F81" s="5" t="s">
        <v>115</v>
      </c>
      <c r="G81" s="10" t="s">
        <v>111</v>
      </c>
      <c r="H81" s="3" t="s">
        <v>5864</v>
      </c>
      <c r="I81" s="3"/>
      <c r="J81" s="3" t="s">
        <v>5865</v>
      </c>
      <c r="K81" s="3" t="s">
        <v>6065</v>
      </c>
      <c r="L81" s="3"/>
      <c r="O81" s="3" t="s">
        <v>5867</v>
      </c>
      <c r="P81" s="12">
        <v>46300</v>
      </c>
      <c r="Q81" s="3"/>
      <c r="R81" s="3" t="s">
        <v>6066</v>
      </c>
      <c r="S81" s="3" t="s">
        <v>5869</v>
      </c>
      <c r="T81" s="3" t="s">
        <v>5870</v>
      </c>
      <c r="U81" s="3" t="s">
        <v>5870</v>
      </c>
    </row>
    <row r="82" spans="1:21" ht="42.75" customHeight="1">
      <c r="A82" s="5" t="s">
        <v>340</v>
      </c>
      <c r="B82" s="5" t="s">
        <v>11</v>
      </c>
      <c r="C82" s="3" t="s">
        <v>341</v>
      </c>
      <c r="D82" s="6">
        <v>2024</v>
      </c>
      <c r="E82" s="3" t="s">
        <v>342</v>
      </c>
      <c r="F82" s="5" t="s">
        <v>110</v>
      </c>
      <c r="G82" s="10" t="s">
        <v>111</v>
      </c>
      <c r="H82" s="3" t="s">
        <v>5864</v>
      </c>
      <c r="I82" s="3"/>
      <c r="J82" s="3" t="s">
        <v>5865</v>
      </c>
      <c r="K82" s="3" t="s">
        <v>6067</v>
      </c>
      <c r="L82" s="3"/>
      <c r="O82" s="3" t="s">
        <v>5867</v>
      </c>
      <c r="P82" s="12">
        <v>46300</v>
      </c>
      <c r="Q82" s="3"/>
      <c r="R82" s="3" t="s">
        <v>6068</v>
      </c>
      <c r="S82" s="3" t="s">
        <v>5869</v>
      </c>
      <c r="T82" s="3" t="s">
        <v>5870</v>
      </c>
      <c r="U82" s="3" t="s">
        <v>5869</v>
      </c>
    </row>
    <row r="83" spans="1:21" ht="42.75" customHeight="1">
      <c r="A83" s="5" t="s">
        <v>343</v>
      </c>
      <c r="B83" s="5" t="s">
        <v>11</v>
      </c>
      <c r="C83" s="3" t="s">
        <v>344</v>
      </c>
      <c r="D83" s="6">
        <v>2019</v>
      </c>
      <c r="E83" s="3" t="s">
        <v>345</v>
      </c>
      <c r="F83" s="5" t="s">
        <v>110</v>
      </c>
      <c r="G83" s="10" t="s">
        <v>111</v>
      </c>
      <c r="H83" s="3" t="s">
        <v>5864</v>
      </c>
      <c r="I83" s="3"/>
      <c r="J83" s="3" t="s">
        <v>5886</v>
      </c>
      <c r="K83" s="3" t="s">
        <v>6069</v>
      </c>
      <c r="L83" s="3"/>
      <c r="O83" s="3" t="s">
        <v>5867</v>
      </c>
      <c r="P83" s="12">
        <v>46300</v>
      </c>
      <c r="Q83" s="3"/>
      <c r="R83" s="3" t="s">
        <v>6070</v>
      </c>
      <c r="S83" s="3" t="s">
        <v>5870</v>
      </c>
      <c r="T83" s="3" t="s">
        <v>5869</v>
      </c>
      <c r="U83" s="3" t="s">
        <v>5869</v>
      </c>
    </row>
    <row r="84" spans="1:21" ht="42.75" customHeight="1">
      <c r="A84" s="5" t="s">
        <v>346</v>
      </c>
      <c r="B84" s="5" t="s">
        <v>11</v>
      </c>
      <c r="C84" s="3" t="s">
        <v>347</v>
      </c>
      <c r="D84" s="6">
        <v>2020</v>
      </c>
      <c r="E84" s="3" t="s">
        <v>348</v>
      </c>
      <c r="F84" s="5" t="s">
        <v>110</v>
      </c>
      <c r="G84" s="10" t="s">
        <v>111</v>
      </c>
      <c r="H84" s="3" t="s">
        <v>5864</v>
      </c>
      <c r="I84" s="3"/>
      <c r="J84" s="3" t="s">
        <v>5879</v>
      </c>
      <c r="K84" s="3" t="s">
        <v>6071</v>
      </c>
      <c r="L84" s="3"/>
      <c r="O84" s="3" t="s">
        <v>5867</v>
      </c>
      <c r="P84" s="12">
        <v>46300</v>
      </c>
      <c r="Q84" s="3"/>
      <c r="R84" s="3" t="s">
        <v>6072</v>
      </c>
      <c r="S84" s="3" t="s">
        <v>5869</v>
      </c>
      <c r="T84" s="3" t="s">
        <v>5870</v>
      </c>
      <c r="U84" s="3" t="s">
        <v>5869</v>
      </c>
    </row>
    <row r="85" spans="1:21" ht="28.5" customHeight="1">
      <c r="A85" s="5" t="s">
        <v>349</v>
      </c>
      <c r="B85" s="5" t="s">
        <v>11</v>
      </c>
      <c r="C85" s="3" t="s">
        <v>350</v>
      </c>
      <c r="D85" s="6">
        <v>2024</v>
      </c>
      <c r="E85" s="3" t="s">
        <v>351</v>
      </c>
      <c r="F85" s="5" t="s">
        <v>110</v>
      </c>
      <c r="G85" s="10" t="s">
        <v>111</v>
      </c>
      <c r="H85" s="3" t="s">
        <v>5864</v>
      </c>
      <c r="I85" s="3"/>
      <c r="J85" s="3" t="s">
        <v>5865</v>
      </c>
      <c r="K85" s="3" t="s">
        <v>6073</v>
      </c>
      <c r="L85" s="3"/>
      <c r="O85" s="3" t="s">
        <v>5867</v>
      </c>
      <c r="P85" s="12">
        <v>46300</v>
      </c>
      <c r="Q85" s="3"/>
      <c r="R85" s="3" t="s">
        <v>6074</v>
      </c>
      <c r="S85" s="3" t="s">
        <v>5869</v>
      </c>
      <c r="T85" s="3" t="s">
        <v>5870</v>
      </c>
      <c r="U85" s="3" t="s">
        <v>5869</v>
      </c>
    </row>
    <row r="86" spans="1:21" ht="42.75" customHeight="1">
      <c r="A86" s="5" t="s">
        <v>352</v>
      </c>
      <c r="B86" s="5" t="s">
        <v>11</v>
      </c>
      <c r="C86" s="3" t="s">
        <v>353</v>
      </c>
      <c r="D86" s="6">
        <v>2025</v>
      </c>
      <c r="E86" s="3" t="s">
        <v>354</v>
      </c>
      <c r="F86" s="5" t="s">
        <v>115</v>
      </c>
      <c r="G86" s="10" t="s">
        <v>111</v>
      </c>
      <c r="H86" s="3" t="s">
        <v>5864</v>
      </c>
      <c r="I86" s="3"/>
      <c r="J86" s="3" t="s">
        <v>5879</v>
      </c>
      <c r="K86" s="3" t="s">
        <v>6075</v>
      </c>
      <c r="L86" s="3"/>
      <c r="O86" s="3" t="s">
        <v>5867</v>
      </c>
      <c r="P86" s="12">
        <v>46300</v>
      </c>
      <c r="Q86" s="3"/>
      <c r="R86" s="3" t="s">
        <v>6076</v>
      </c>
      <c r="S86" s="3" t="s">
        <v>5869</v>
      </c>
      <c r="T86" s="3" t="s">
        <v>5870</v>
      </c>
      <c r="U86" s="3" t="s">
        <v>5869</v>
      </c>
    </row>
    <row r="87" spans="1:21" ht="99.75" customHeight="1">
      <c r="A87" s="5" t="s">
        <v>355</v>
      </c>
      <c r="B87" s="5" t="s">
        <v>11</v>
      </c>
      <c r="C87" s="3" t="s">
        <v>356</v>
      </c>
      <c r="D87" s="6">
        <v>2022</v>
      </c>
      <c r="E87" s="3" t="s">
        <v>357</v>
      </c>
      <c r="F87" s="5" t="s">
        <v>110</v>
      </c>
      <c r="G87" s="10" t="s">
        <v>111</v>
      </c>
      <c r="H87" s="3" t="s">
        <v>5864</v>
      </c>
      <c r="I87" s="3"/>
      <c r="J87" s="3" t="s">
        <v>5879</v>
      </c>
      <c r="K87" s="3" t="s">
        <v>6077</v>
      </c>
      <c r="L87" s="3"/>
      <c r="O87" s="3" t="s">
        <v>5867</v>
      </c>
      <c r="P87" s="12">
        <v>46300</v>
      </c>
      <c r="Q87" s="3"/>
      <c r="R87" s="3" t="s">
        <v>6078</v>
      </c>
      <c r="S87" s="3" t="s">
        <v>5869</v>
      </c>
      <c r="T87" s="3" t="s">
        <v>5869</v>
      </c>
      <c r="U87" s="3" t="s">
        <v>5869</v>
      </c>
    </row>
    <row r="88" spans="1:21" ht="28.5" customHeight="1">
      <c r="A88" s="5" t="s">
        <v>358</v>
      </c>
      <c r="B88" s="5" t="s">
        <v>11</v>
      </c>
      <c r="C88" s="3" t="s">
        <v>359</v>
      </c>
      <c r="D88" s="6">
        <v>2023</v>
      </c>
      <c r="E88" s="3" t="s">
        <v>360</v>
      </c>
      <c r="F88" s="5" t="s">
        <v>110</v>
      </c>
      <c r="G88" s="10" t="s">
        <v>111</v>
      </c>
      <c r="H88" s="3" t="s">
        <v>5864</v>
      </c>
      <c r="I88" s="3"/>
      <c r="J88" s="3" t="s">
        <v>5886</v>
      </c>
      <c r="K88" s="3" t="s">
        <v>6079</v>
      </c>
      <c r="L88" s="3"/>
      <c r="O88" s="3" t="s">
        <v>5867</v>
      </c>
      <c r="P88" s="12">
        <v>46300</v>
      </c>
      <c r="Q88" s="3"/>
      <c r="R88" s="3" t="s">
        <v>6080</v>
      </c>
      <c r="S88" s="3" t="s">
        <v>5870</v>
      </c>
      <c r="T88" s="3" t="s">
        <v>5869</v>
      </c>
      <c r="U88" s="3" t="s">
        <v>5870</v>
      </c>
    </row>
    <row r="89" spans="1:21" ht="42.75" customHeight="1">
      <c r="A89" s="5" t="s">
        <v>361</v>
      </c>
      <c r="B89" s="5" t="s">
        <v>11</v>
      </c>
      <c r="C89" s="3" t="s">
        <v>362</v>
      </c>
      <c r="D89" s="6">
        <v>2024</v>
      </c>
      <c r="E89" s="3" t="s">
        <v>363</v>
      </c>
      <c r="F89" s="5" t="s">
        <v>110</v>
      </c>
      <c r="G89" s="10" t="s">
        <v>111</v>
      </c>
      <c r="H89" s="3" t="s">
        <v>5864</v>
      </c>
      <c r="I89" s="3"/>
      <c r="J89" s="3" t="s">
        <v>5865</v>
      </c>
      <c r="K89" s="3" t="s">
        <v>6081</v>
      </c>
      <c r="L89" s="3"/>
      <c r="O89" s="3" t="s">
        <v>5867</v>
      </c>
      <c r="P89" s="12">
        <v>46300</v>
      </c>
      <c r="Q89" s="3"/>
      <c r="R89" s="3" t="s">
        <v>6082</v>
      </c>
      <c r="S89" s="3" t="s">
        <v>5869</v>
      </c>
      <c r="T89" s="3" t="s">
        <v>5870</v>
      </c>
      <c r="U89" s="3" t="s">
        <v>5870</v>
      </c>
    </row>
    <row r="90" spans="1:21" ht="42.75" customHeight="1">
      <c r="A90" s="5" t="s">
        <v>364</v>
      </c>
      <c r="B90" s="5" t="s">
        <v>11</v>
      </c>
      <c r="C90" s="3" t="s">
        <v>365</v>
      </c>
      <c r="D90" s="6">
        <v>2025</v>
      </c>
      <c r="E90" s="3" t="s">
        <v>366</v>
      </c>
      <c r="F90" s="5" t="s">
        <v>110</v>
      </c>
      <c r="G90" s="10" t="s">
        <v>111</v>
      </c>
      <c r="H90" s="3" t="s">
        <v>5864</v>
      </c>
      <c r="I90" s="3"/>
      <c r="J90" s="3" t="s">
        <v>5865</v>
      </c>
      <c r="K90" s="3" t="s">
        <v>6083</v>
      </c>
      <c r="L90" s="3"/>
      <c r="O90" s="3" t="s">
        <v>5867</v>
      </c>
      <c r="P90" s="12">
        <v>46300</v>
      </c>
      <c r="Q90" s="3"/>
      <c r="R90" s="3" t="s">
        <v>6084</v>
      </c>
      <c r="S90" s="3" t="s">
        <v>5870</v>
      </c>
      <c r="T90" s="3" t="s">
        <v>5869</v>
      </c>
      <c r="U90" s="3" t="s">
        <v>5870</v>
      </c>
    </row>
    <row r="91" spans="1:21" ht="28.5" customHeight="1">
      <c r="A91" s="5" t="s">
        <v>367</v>
      </c>
      <c r="B91" s="5" t="s">
        <v>11</v>
      </c>
      <c r="C91" s="3" t="s">
        <v>368</v>
      </c>
      <c r="D91" s="6">
        <v>2020</v>
      </c>
      <c r="E91" s="3" t="s">
        <v>369</v>
      </c>
      <c r="F91" s="5" t="s">
        <v>110</v>
      </c>
      <c r="G91" s="10" t="s">
        <v>111</v>
      </c>
      <c r="H91" s="3" t="s">
        <v>5864</v>
      </c>
      <c r="I91" s="3"/>
      <c r="J91" s="3" t="s">
        <v>5865</v>
      </c>
      <c r="K91" s="3" t="s">
        <v>6085</v>
      </c>
      <c r="L91" s="3"/>
      <c r="O91" s="3" t="s">
        <v>5867</v>
      </c>
      <c r="P91" s="12">
        <v>46300</v>
      </c>
      <c r="Q91" s="3"/>
      <c r="R91" s="3" t="s">
        <v>6086</v>
      </c>
      <c r="S91" s="3" t="s">
        <v>5869</v>
      </c>
      <c r="T91" s="3" t="s">
        <v>5870</v>
      </c>
      <c r="U91" s="3" t="s">
        <v>5869</v>
      </c>
    </row>
    <row r="92" spans="1:21" ht="42.75" customHeight="1">
      <c r="A92" s="5" t="s">
        <v>370</v>
      </c>
      <c r="B92" s="5" t="s">
        <v>11</v>
      </c>
      <c r="C92" s="3" t="s">
        <v>371</v>
      </c>
      <c r="D92" s="6">
        <v>2021</v>
      </c>
      <c r="E92" s="3" t="s">
        <v>372</v>
      </c>
      <c r="F92" s="5" t="s">
        <v>115</v>
      </c>
      <c r="G92" s="10" t="s">
        <v>111</v>
      </c>
      <c r="H92" s="3" t="s">
        <v>5864</v>
      </c>
      <c r="I92" s="3"/>
      <c r="J92" s="3" t="s">
        <v>5865</v>
      </c>
      <c r="K92" s="3" t="s">
        <v>6087</v>
      </c>
      <c r="L92" s="3"/>
      <c r="O92" s="3" t="s">
        <v>5867</v>
      </c>
      <c r="P92" s="12">
        <v>46300</v>
      </c>
      <c r="Q92" s="3"/>
      <c r="R92" s="3" t="s">
        <v>6088</v>
      </c>
      <c r="S92" s="3" t="s">
        <v>5869</v>
      </c>
      <c r="T92" s="3" t="s">
        <v>5870</v>
      </c>
      <c r="U92" s="3" t="s">
        <v>5869</v>
      </c>
    </row>
    <row r="93" spans="1:21" ht="42.75" customHeight="1">
      <c r="A93" s="5" t="s">
        <v>373</v>
      </c>
      <c r="B93" s="5" t="s">
        <v>11</v>
      </c>
      <c r="C93" s="3" t="s">
        <v>374</v>
      </c>
      <c r="D93" s="6">
        <v>2024</v>
      </c>
      <c r="E93" s="3" t="s">
        <v>375</v>
      </c>
      <c r="F93" s="5" t="s">
        <v>110</v>
      </c>
      <c r="G93" s="10" t="s">
        <v>111</v>
      </c>
      <c r="H93" s="3" t="s">
        <v>5864</v>
      </c>
      <c r="I93" s="3"/>
      <c r="J93" s="3" t="s">
        <v>5865</v>
      </c>
      <c r="K93" s="3" t="s">
        <v>6089</v>
      </c>
      <c r="L93" s="3"/>
      <c r="O93" s="3" t="s">
        <v>5867</v>
      </c>
      <c r="P93" s="12">
        <v>46300</v>
      </c>
      <c r="Q93" s="3"/>
      <c r="R93" s="3" t="s">
        <v>6090</v>
      </c>
      <c r="S93" s="3" t="s">
        <v>5869</v>
      </c>
      <c r="T93" s="3" t="s">
        <v>5870</v>
      </c>
      <c r="U93" s="3" t="s">
        <v>5869</v>
      </c>
    </row>
    <row r="94" spans="1:21" ht="57" customHeight="1">
      <c r="A94" s="5" t="s">
        <v>376</v>
      </c>
      <c r="B94" s="5" t="s">
        <v>11</v>
      </c>
      <c r="C94" s="3" t="s">
        <v>377</v>
      </c>
      <c r="D94" s="6">
        <v>2024</v>
      </c>
      <c r="E94" s="3" t="s">
        <v>378</v>
      </c>
      <c r="F94" s="5" t="s">
        <v>110</v>
      </c>
      <c r="G94" s="10" t="s">
        <v>111</v>
      </c>
      <c r="H94" s="3" t="s">
        <v>5864</v>
      </c>
      <c r="I94" s="3"/>
      <c r="J94" s="3" t="s">
        <v>5865</v>
      </c>
      <c r="K94" s="3" t="s">
        <v>6091</v>
      </c>
      <c r="L94" s="3"/>
      <c r="O94" s="3" t="s">
        <v>5867</v>
      </c>
      <c r="P94" s="12">
        <v>46300</v>
      </c>
      <c r="Q94" s="3"/>
      <c r="R94" s="3" t="s">
        <v>6092</v>
      </c>
      <c r="S94" s="3" t="s">
        <v>5869</v>
      </c>
      <c r="T94" s="3" t="s">
        <v>5870</v>
      </c>
      <c r="U94" s="3" t="s">
        <v>5870</v>
      </c>
    </row>
    <row r="95" spans="1:21" ht="42.75" customHeight="1">
      <c r="A95" s="5" t="s">
        <v>379</v>
      </c>
      <c r="B95" s="5" t="s">
        <v>11</v>
      </c>
      <c r="C95" s="3" t="s">
        <v>380</v>
      </c>
      <c r="D95" s="6">
        <v>2022</v>
      </c>
      <c r="E95" s="3" t="s">
        <v>381</v>
      </c>
      <c r="F95" s="5" t="s">
        <v>110</v>
      </c>
      <c r="G95" s="10" t="s">
        <v>111</v>
      </c>
      <c r="H95" s="3" t="s">
        <v>5864</v>
      </c>
      <c r="I95" s="3"/>
      <c r="J95" s="3" t="s">
        <v>5865</v>
      </c>
      <c r="K95" s="3" t="s">
        <v>6093</v>
      </c>
      <c r="L95" s="3"/>
      <c r="O95" s="3" t="s">
        <v>5867</v>
      </c>
      <c r="P95" s="12">
        <v>46300</v>
      </c>
      <c r="Q95" s="3"/>
      <c r="R95" s="3" t="s">
        <v>6094</v>
      </c>
      <c r="S95" s="3" t="s">
        <v>5869</v>
      </c>
      <c r="T95" s="3" t="s">
        <v>5870</v>
      </c>
      <c r="U95" s="3" t="s">
        <v>5870</v>
      </c>
    </row>
    <row r="96" spans="1:21" ht="42.75" customHeight="1">
      <c r="A96" s="5" t="s">
        <v>382</v>
      </c>
      <c r="B96" s="5" t="s">
        <v>11</v>
      </c>
      <c r="C96" s="3" t="s">
        <v>383</v>
      </c>
      <c r="D96" s="6">
        <v>2024</v>
      </c>
      <c r="E96" s="3" t="s">
        <v>384</v>
      </c>
      <c r="F96" s="5" t="s">
        <v>110</v>
      </c>
      <c r="G96" s="10" t="s">
        <v>111</v>
      </c>
      <c r="H96" s="3" t="s">
        <v>5864</v>
      </c>
      <c r="I96" s="3"/>
      <c r="J96" s="3" t="s">
        <v>5865</v>
      </c>
      <c r="K96" s="3" t="s">
        <v>6095</v>
      </c>
      <c r="L96" s="3"/>
      <c r="O96" s="3" t="s">
        <v>5867</v>
      </c>
      <c r="P96" s="12">
        <v>46300</v>
      </c>
      <c r="Q96" s="3"/>
      <c r="R96" s="3" t="s">
        <v>6096</v>
      </c>
      <c r="S96" s="3" t="s">
        <v>5870</v>
      </c>
      <c r="T96" s="3" t="s">
        <v>5870</v>
      </c>
      <c r="U96" s="3" t="s">
        <v>5869</v>
      </c>
    </row>
    <row r="97" spans="1:21" ht="42.75" customHeight="1">
      <c r="A97" s="5" t="s">
        <v>385</v>
      </c>
      <c r="B97" s="5" t="s">
        <v>11</v>
      </c>
      <c r="C97" s="3" t="s">
        <v>386</v>
      </c>
      <c r="D97" s="6">
        <v>2024</v>
      </c>
      <c r="E97" s="3" t="s">
        <v>387</v>
      </c>
      <c r="F97" s="5" t="s">
        <v>110</v>
      </c>
      <c r="G97" s="10" t="s">
        <v>111</v>
      </c>
      <c r="H97" s="3" t="s">
        <v>5864</v>
      </c>
      <c r="I97" s="3"/>
      <c r="J97" s="3" t="s">
        <v>5865</v>
      </c>
      <c r="K97" s="3" t="s">
        <v>6013</v>
      </c>
      <c r="L97" s="3"/>
      <c r="O97" s="3" t="s">
        <v>5867</v>
      </c>
      <c r="P97" s="12">
        <v>46300</v>
      </c>
      <c r="Q97" s="3"/>
      <c r="R97" s="3" t="s">
        <v>6014</v>
      </c>
      <c r="S97" s="3" t="s">
        <v>5869</v>
      </c>
      <c r="T97" s="3" t="s">
        <v>5870</v>
      </c>
      <c r="U97" s="3" t="s">
        <v>5869</v>
      </c>
    </row>
    <row r="98" spans="1:21" ht="42.75" customHeight="1">
      <c r="A98" s="5" t="s">
        <v>388</v>
      </c>
      <c r="B98" s="5" t="s">
        <v>11</v>
      </c>
      <c r="C98" s="3" t="s">
        <v>389</v>
      </c>
      <c r="D98" s="6">
        <v>2021</v>
      </c>
      <c r="E98" s="3" t="s">
        <v>390</v>
      </c>
      <c r="F98" s="5" t="s">
        <v>110</v>
      </c>
      <c r="G98" s="10" t="s">
        <v>111</v>
      </c>
      <c r="H98" s="3" t="s">
        <v>5864</v>
      </c>
      <c r="I98" s="3"/>
      <c r="J98" s="3" t="s">
        <v>5879</v>
      </c>
      <c r="K98" s="3" t="s">
        <v>6015</v>
      </c>
      <c r="L98" s="3"/>
      <c r="O98" s="3" t="s">
        <v>5867</v>
      </c>
      <c r="P98" s="12">
        <v>46300</v>
      </c>
      <c r="Q98" s="3"/>
      <c r="R98" s="3" t="s">
        <v>6016</v>
      </c>
      <c r="S98" s="3" t="s">
        <v>5869</v>
      </c>
      <c r="T98" s="3" t="s">
        <v>5870</v>
      </c>
      <c r="U98" s="3" t="s">
        <v>5869</v>
      </c>
    </row>
    <row r="99" spans="1:21" ht="42.75" customHeight="1">
      <c r="A99" s="5" t="s">
        <v>391</v>
      </c>
      <c r="B99" s="5" t="s">
        <v>11</v>
      </c>
      <c r="C99" s="3" t="s">
        <v>392</v>
      </c>
      <c r="D99" s="6">
        <v>2025</v>
      </c>
      <c r="E99" s="3" t="s">
        <v>393</v>
      </c>
      <c r="F99" s="5" t="s">
        <v>110</v>
      </c>
      <c r="G99" s="10" t="s">
        <v>111</v>
      </c>
      <c r="H99" s="3" t="s">
        <v>5864</v>
      </c>
      <c r="I99" s="3"/>
      <c r="J99" s="3" t="s">
        <v>5865</v>
      </c>
      <c r="K99" s="3" t="s">
        <v>6017</v>
      </c>
      <c r="L99" s="3"/>
      <c r="O99" s="3" t="s">
        <v>5867</v>
      </c>
      <c r="P99" s="12">
        <v>46300</v>
      </c>
      <c r="Q99" s="3"/>
      <c r="R99" s="3" t="s">
        <v>6018</v>
      </c>
      <c r="S99" s="3" t="s">
        <v>5870</v>
      </c>
      <c r="T99" s="3" t="s">
        <v>5870</v>
      </c>
      <c r="U99" s="3" t="s">
        <v>5870</v>
      </c>
    </row>
    <row r="100" spans="1:21" ht="28.5" customHeight="1">
      <c r="A100" s="5" t="s">
        <v>394</v>
      </c>
      <c r="B100" s="5" t="s">
        <v>11</v>
      </c>
      <c r="C100" s="3" t="s">
        <v>309</v>
      </c>
      <c r="D100" s="6">
        <v>2015</v>
      </c>
      <c r="E100" s="3" t="s">
        <v>395</v>
      </c>
      <c r="F100" s="5" t="s">
        <v>115</v>
      </c>
      <c r="G100" s="10" t="s">
        <v>111</v>
      </c>
      <c r="H100" s="3" t="s">
        <v>5864</v>
      </c>
      <c r="I100" s="3"/>
      <c r="J100" s="3" t="s">
        <v>5865</v>
      </c>
      <c r="K100" s="3" t="s">
        <v>6019</v>
      </c>
      <c r="L100" s="3"/>
      <c r="O100" s="3" t="s">
        <v>5867</v>
      </c>
      <c r="P100" s="12">
        <v>46300</v>
      </c>
      <c r="Q100" s="3"/>
      <c r="R100" s="3" t="s">
        <v>6020</v>
      </c>
      <c r="S100" s="3" t="s">
        <v>5869</v>
      </c>
      <c r="T100" s="3" t="s">
        <v>5870</v>
      </c>
      <c r="U100" s="3" t="s">
        <v>5869</v>
      </c>
    </row>
    <row r="101" spans="1:21" ht="57" customHeight="1">
      <c r="A101" s="5" t="s">
        <v>396</v>
      </c>
      <c r="B101" s="5" t="s">
        <v>11</v>
      </c>
      <c r="C101" s="3" t="s">
        <v>397</v>
      </c>
      <c r="D101" s="6">
        <v>2022</v>
      </c>
      <c r="E101" s="3" t="s">
        <v>398</v>
      </c>
      <c r="F101" s="5" t="s">
        <v>110</v>
      </c>
      <c r="G101" s="10" t="s">
        <v>111</v>
      </c>
      <c r="H101" s="3" t="s">
        <v>5864</v>
      </c>
      <c r="I101" s="3"/>
      <c r="J101" s="3" t="s">
        <v>5865</v>
      </c>
      <c r="K101" s="3" t="s">
        <v>6021</v>
      </c>
      <c r="L101" s="3"/>
      <c r="O101" s="3" t="s">
        <v>5867</v>
      </c>
      <c r="P101" s="12">
        <v>46300</v>
      </c>
      <c r="Q101" s="3"/>
      <c r="R101" s="3" t="s">
        <v>6022</v>
      </c>
      <c r="S101" s="3" t="s">
        <v>5870</v>
      </c>
      <c r="T101" s="3" t="s">
        <v>5870</v>
      </c>
      <c r="U101" s="3" t="s">
        <v>5870</v>
      </c>
    </row>
    <row r="102" spans="1:21" ht="28.5" customHeight="1">
      <c r="A102" s="5" t="s">
        <v>399</v>
      </c>
      <c r="B102" s="5" t="s">
        <v>11</v>
      </c>
      <c r="C102" s="3" t="s">
        <v>400</v>
      </c>
      <c r="D102" s="6">
        <v>2025</v>
      </c>
      <c r="E102" s="3" t="s">
        <v>401</v>
      </c>
      <c r="F102" s="5" t="s">
        <v>110</v>
      </c>
      <c r="G102" s="10" t="s">
        <v>111</v>
      </c>
      <c r="H102" s="3" t="s">
        <v>5864</v>
      </c>
      <c r="I102" s="3"/>
      <c r="J102" s="3" t="s">
        <v>5865</v>
      </c>
      <c r="K102" s="3" t="s">
        <v>6023</v>
      </c>
      <c r="L102" s="3"/>
      <c r="O102" s="3" t="s">
        <v>5867</v>
      </c>
      <c r="P102" s="12">
        <v>46300</v>
      </c>
      <c r="Q102" s="3"/>
      <c r="R102" s="3" t="s">
        <v>6024</v>
      </c>
      <c r="S102" s="3" t="s">
        <v>5870</v>
      </c>
      <c r="T102" s="3" t="s">
        <v>5870</v>
      </c>
      <c r="U102" s="3" t="s">
        <v>5870</v>
      </c>
    </row>
    <row r="103" spans="1:21" ht="42.75" customHeight="1">
      <c r="A103" s="5" t="s">
        <v>402</v>
      </c>
      <c r="B103" s="5" t="s">
        <v>11</v>
      </c>
      <c r="C103" s="3" t="s">
        <v>403</v>
      </c>
      <c r="D103" s="6">
        <v>2021</v>
      </c>
      <c r="E103" s="3" t="s">
        <v>404</v>
      </c>
      <c r="F103" s="5" t="s">
        <v>110</v>
      </c>
      <c r="G103" s="10" t="s">
        <v>111</v>
      </c>
      <c r="H103" s="3" t="s">
        <v>5864</v>
      </c>
      <c r="I103" s="3"/>
      <c r="J103" s="3" t="s">
        <v>5874</v>
      </c>
      <c r="K103" s="3" t="s">
        <v>6025</v>
      </c>
      <c r="L103" s="3" t="s">
        <v>6026</v>
      </c>
      <c r="M103" t="s">
        <v>6027</v>
      </c>
      <c r="O103" s="3" t="s">
        <v>5867</v>
      </c>
      <c r="P103" s="12">
        <v>46300</v>
      </c>
      <c r="Q103" s="3"/>
      <c r="R103" s="3" t="s">
        <v>6028</v>
      </c>
      <c r="S103" s="3" t="s">
        <v>5869</v>
      </c>
      <c r="T103" s="3" t="s">
        <v>5869</v>
      </c>
      <c r="U103" s="3" t="s">
        <v>5870</v>
      </c>
    </row>
    <row r="104" spans="1:21" ht="42.75" customHeight="1">
      <c r="A104" s="5" t="s">
        <v>405</v>
      </c>
      <c r="B104" s="5" t="s">
        <v>11</v>
      </c>
      <c r="C104" s="3" t="s">
        <v>406</v>
      </c>
      <c r="D104" s="6">
        <v>2019</v>
      </c>
      <c r="E104" s="3" t="s">
        <v>407</v>
      </c>
      <c r="F104" s="5" t="s">
        <v>110</v>
      </c>
      <c r="G104" s="10" t="s">
        <v>111</v>
      </c>
      <c r="H104" s="3" t="s">
        <v>5864</v>
      </c>
      <c r="I104" s="3"/>
      <c r="J104" s="3" t="s">
        <v>5865</v>
      </c>
      <c r="K104" s="3" t="s">
        <v>6029</v>
      </c>
      <c r="L104" s="3"/>
      <c r="O104" s="3" t="s">
        <v>5867</v>
      </c>
      <c r="P104" s="12">
        <v>46300</v>
      </c>
      <c r="Q104" s="3"/>
      <c r="R104" s="3" t="s">
        <v>6030</v>
      </c>
      <c r="S104" s="3" t="s">
        <v>5870</v>
      </c>
      <c r="T104" s="3" t="s">
        <v>5870</v>
      </c>
      <c r="U104" s="3" t="s">
        <v>5870</v>
      </c>
    </row>
    <row r="105" spans="1:21" ht="42.75" customHeight="1">
      <c r="A105" s="5" t="s">
        <v>408</v>
      </c>
      <c r="B105" s="5" t="s">
        <v>11</v>
      </c>
      <c r="C105" s="3" t="s">
        <v>409</v>
      </c>
      <c r="D105" s="6">
        <v>2024</v>
      </c>
      <c r="E105" s="3" t="s">
        <v>410</v>
      </c>
      <c r="F105" s="5" t="s">
        <v>115</v>
      </c>
      <c r="G105" s="10" t="s">
        <v>111</v>
      </c>
      <c r="H105" s="3" t="s">
        <v>5864</v>
      </c>
      <c r="I105" s="3"/>
      <c r="J105" s="3" t="s">
        <v>5865</v>
      </c>
      <c r="K105" s="3" t="s">
        <v>6031</v>
      </c>
      <c r="L105" s="3"/>
      <c r="O105" s="3" t="s">
        <v>5867</v>
      </c>
      <c r="P105" s="12">
        <v>46300</v>
      </c>
      <c r="Q105" s="3"/>
      <c r="R105" s="3" t="s">
        <v>6032</v>
      </c>
      <c r="S105" s="3" t="s">
        <v>5869</v>
      </c>
      <c r="T105" s="3" t="s">
        <v>5870</v>
      </c>
      <c r="U105" s="3" t="s">
        <v>5869</v>
      </c>
    </row>
    <row r="106" spans="1:21" ht="57">
      <c r="A106" s="5" t="s">
        <v>411</v>
      </c>
      <c r="B106" s="5" t="s">
        <v>11</v>
      </c>
      <c r="C106" s="3" t="s">
        <v>412</v>
      </c>
      <c r="D106" s="6">
        <v>2017</v>
      </c>
      <c r="E106" s="3" t="s">
        <v>413</v>
      </c>
      <c r="F106" s="5" t="s">
        <v>115</v>
      </c>
      <c r="G106" s="10" t="s">
        <v>111</v>
      </c>
      <c r="H106" s="3" t="s">
        <v>5864</v>
      </c>
      <c r="I106" s="3"/>
      <c r="J106" s="3" t="s">
        <v>5865</v>
      </c>
      <c r="K106" s="3" t="s">
        <v>6033</v>
      </c>
      <c r="L106" s="3"/>
      <c r="O106" s="3" t="s">
        <v>5867</v>
      </c>
      <c r="P106" s="12">
        <v>46300</v>
      </c>
      <c r="Q106" s="3"/>
      <c r="R106" s="3" t="s">
        <v>6034</v>
      </c>
      <c r="S106" s="3" t="s">
        <v>5869</v>
      </c>
      <c r="T106" s="3" t="s">
        <v>5870</v>
      </c>
      <c r="U106" s="3" t="s">
        <v>5870</v>
      </c>
    </row>
    <row r="107" spans="1:21" ht="42.75" customHeight="1">
      <c r="A107" s="5" t="s">
        <v>414</v>
      </c>
      <c r="B107" s="5" t="s">
        <v>11</v>
      </c>
      <c r="C107" s="3" t="s">
        <v>415</v>
      </c>
      <c r="D107" s="6">
        <v>2024</v>
      </c>
      <c r="E107" s="3" t="s">
        <v>416</v>
      </c>
      <c r="F107" s="5" t="s">
        <v>110</v>
      </c>
      <c r="G107" s="10" t="s">
        <v>111</v>
      </c>
      <c r="H107" s="3" t="s">
        <v>5864</v>
      </c>
      <c r="I107" s="3"/>
      <c r="J107" s="3" t="s">
        <v>5865</v>
      </c>
      <c r="K107" s="3" t="s">
        <v>6035</v>
      </c>
      <c r="L107" s="3"/>
      <c r="O107" s="3" t="s">
        <v>5867</v>
      </c>
      <c r="P107" s="12">
        <v>46300</v>
      </c>
      <c r="Q107" s="3"/>
      <c r="R107" s="3" t="s">
        <v>6036</v>
      </c>
      <c r="S107" s="3" t="s">
        <v>5870</v>
      </c>
      <c r="T107" s="3" t="s">
        <v>5870</v>
      </c>
      <c r="U107" s="3" t="s">
        <v>5870</v>
      </c>
    </row>
    <row r="108" spans="1:21" ht="42.75" customHeight="1">
      <c r="A108" s="5" t="s">
        <v>417</v>
      </c>
      <c r="B108" s="5" t="s">
        <v>11</v>
      </c>
      <c r="C108" s="3" t="s">
        <v>418</v>
      </c>
      <c r="D108" s="6">
        <v>2021</v>
      </c>
      <c r="E108" s="3" t="s">
        <v>419</v>
      </c>
      <c r="F108" s="5" t="s">
        <v>110</v>
      </c>
      <c r="G108" s="10" t="s">
        <v>111</v>
      </c>
      <c r="H108" s="3" t="s">
        <v>5864</v>
      </c>
      <c r="I108" s="3"/>
      <c r="J108" s="3" t="s">
        <v>5865</v>
      </c>
      <c r="K108" s="3" t="s">
        <v>6037</v>
      </c>
      <c r="L108" s="3"/>
      <c r="O108" s="3" t="s">
        <v>5867</v>
      </c>
      <c r="P108" s="12">
        <v>46300</v>
      </c>
      <c r="Q108" s="3"/>
      <c r="R108" s="3" t="s">
        <v>6038</v>
      </c>
      <c r="S108" s="3" t="s">
        <v>5870</v>
      </c>
      <c r="T108" s="3" t="s">
        <v>5870</v>
      </c>
      <c r="U108" s="3" t="s">
        <v>5870</v>
      </c>
    </row>
    <row r="109" spans="1:21" ht="28.5" customHeight="1">
      <c r="A109" s="5" t="s">
        <v>420</v>
      </c>
      <c r="B109" s="5" t="s">
        <v>11</v>
      </c>
      <c r="C109" s="3" t="s">
        <v>145</v>
      </c>
      <c r="D109" s="6">
        <v>2022</v>
      </c>
      <c r="E109" s="3" t="s">
        <v>421</v>
      </c>
      <c r="F109" s="5" t="s">
        <v>110</v>
      </c>
      <c r="G109" s="10" t="s">
        <v>111</v>
      </c>
      <c r="H109" s="3" t="s">
        <v>5864</v>
      </c>
      <c r="I109" s="3"/>
      <c r="J109" s="3" t="s">
        <v>5865</v>
      </c>
      <c r="K109" s="3" t="s">
        <v>6039</v>
      </c>
      <c r="L109" s="3"/>
      <c r="O109" s="3" t="s">
        <v>5867</v>
      </c>
      <c r="P109" s="12">
        <v>46300</v>
      </c>
      <c r="Q109" s="3"/>
      <c r="R109" s="3" t="s">
        <v>6040</v>
      </c>
      <c r="S109" s="3" t="s">
        <v>5869</v>
      </c>
      <c r="T109" s="3" t="s">
        <v>5870</v>
      </c>
      <c r="U109" s="3" t="s">
        <v>5869</v>
      </c>
    </row>
    <row r="110" spans="1:21" ht="42.75" customHeight="1">
      <c r="A110" s="5" t="s">
        <v>422</v>
      </c>
      <c r="B110" s="5" t="s">
        <v>11</v>
      </c>
      <c r="C110" s="3" t="s">
        <v>423</v>
      </c>
      <c r="D110" s="6">
        <v>2023</v>
      </c>
      <c r="E110" s="3" t="s">
        <v>424</v>
      </c>
      <c r="F110" s="5" t="s">
        <v>110</v>
      </c>
      <c r="G110" s="10" t="s">
        <v>111</v>
      </c>
      <c r="H110" s="3" t="s">
        <v>5864</v>
      </c>
      <c r="I110" s="3"/>
      <c r="J110" s="3" t="s">
        <v>5879</v>
      </c>
      <c r="K110" s="3" t="s">
        <v>6041</v>
      </c>
      <c r="L110" s="3"/>
      <c r="O110" s="3" t="s">
        <v>5867</v>
      </c>
      <c r="P110" s="12">
        <v>46300</v>
      </c>
      <c r="Q110" s="3"/>
      <c r="R110" s="3" t="s">
        <v>6042</v>
      </c>
      <c r="S110" s="3" t="s">
        <v>5869</v>
      </c>
      <c r="T110" s="3" t="s">
        <v>5870</v>
      </c>
      <c r="U110" s="3" t="s">
        <v>5869</v>
      </c>
    </row>
    <row r="111" spans="1:21" ht="42.75" customHeight="1">
      <c r="A111" s="5" t="s">
        <v>425</v>
      </c>
      <c r="B111" s="5" t="s">
        <v>11</v>
      </c>
      <c r="C111" s="3" t="s">
        <v>426</v>
      </c>
      <c r="D111" s="6">
        <v>2025</v>
      </c>
      <c r="E111" s="3" t="s">
        <v>427</v>
      </c>
      <c r="F111" s="5" t="s">
        <v>110</v>
      </c>
      <c r="G111" s="10" t="s">
        <v>111</v>
      </c>
      <c r="H111" s="3" t="s">
        <v>5864</v>
      </c>
      <c r="I111" s="3"/>
      <c r="J111" s="3" t="s">
        <v>5879</v>
      </c>
      <c r="K111" s="3" t="s">
        <v>6043</v>
      </c>
      <c r="L111" s="3"/>
      <c r="O111" s="3" t="s">
        <v>5867</v>
      </c>
      <c r="P111" s="12">
        <v>46300</v>
      </c>
      <c r="Q111" s="3"/>
      <c r="R111" s="3" t="s">
        <v>6044</v>
      </c>
      <c r="S111" s="3" t="s">
        <v>5870</v>
      </c>
      <c r="T111" s="3" t="s">
        <v>5870</v>
      </c>
      <c r="U111" s="3" t="s">
        <v>5870</v>
      </c>
    </row>
    <row r="112" spans="1:21" ht="42.75" customHeight="1">
      <c r="A112" s="5" t="s">
        <v>428</v>
      </c>
      <c r="B112" s="5" t="s">
        <v>11</v>
      </c>
      <c r="C112" s="3" t="s">
        <v>429</v>
      </c>
      <c r="D112" s="6">
        <v>2023</v>
      </c>
      <c r="E112" s="3" t="s">
        <v>430</v>
      </c>
      <c r="F112" s="5" t="s">
        <v>110</v>
      </c>
      <c r="G112" s="10" t="s">
        <v>111</v>
      </c>
      <c r="H112" s="3" t="s">
        <v>5864</v>
      </c>
      <c r="I112" s="3"/>
      <c r="J112" s="3" t="s">
        <v>5865</v>
      </c>
      <c r="K112" s="3" t="s">
        <v>6045</v>
      </c>
      <c r="L112" s="3"/>
      <c r="O112" s="3" t="s">
        <v>5867</v>
      </c>
      <c r="P112" s="12">
        <v>46300</v>
      </c>
      <c r="Q112" s="3"/>
      <c r="R112" s="3" t="s">
        <v>6046</v>
      </c>
      <c r="S112" s="3" t="s">
        <v>5869</v>
      </c>
      <c r="T112" s="3" t="s">
        <v>5870</v>
      </c>
      <c r="U112" s="3" t="s">
        <v>5870</v>
      </c>
    </row>
    <row r="113" spans="1:21" ht="42.75" customHeight="1">
      <c r="A113" s="5" t="s">
        <v>431</v>
      </c>
      <c r="B113" s="5" t="s">
        <v>11</v>
      </c>
      <c r="C113" s="3" t="s">
        <v>432</v>
      </c>
      <c r="D113" s="6">
        <v>2021</v>
      </c>
      <c r="E113" s="3" t="s">
        <v>433</v>
      </c>
      <c r="F113" s="5" t="s">
        <v>115</v>
      </c>
      <c r="G113" s="10" t="s">
        <v>111</v>
      </c>
      <c r="H113" s="3" t="s">
        <v>5864</v>
      </c>
      <c r="I113" s="3"/>
      <c r="J113" s="3" t="s">
        <v>5886</v>
      </c>
      <c r="K113" s="3" t="s">
        <v>6047</v>
      </c>
      <c r="L113" s="3"/>
      <c r="O113" s="3" t="s">
        <v>5867</v>
      </c>
      <c r="P113" s="12">
        <v>46300</v>
      </c>
      <c r="Q113" s="3"/>
      <c r="R113" s="3" t="s">
        <v>6048</v>
      </c>
      <c r="S113" s="3" t="s">
        <v>5869</v>
      </c>
      <c r="T113" s="3" t="s">
        <v>5870</v>
      </c>
      <c r="U113" s="3" t="s">
        <v>5869</v>
      </c>
    </row>
    <row r="114" spans="1:21" ht="42.75" customHeight="1">
      <c r="A114" s="5" t="s">
        <v>434</v>
      </c>
      <c r="B114" s="5" t="s">
        <v>11</v>
      </c>
      <c r="C114" s="3" t="s">
        <v>435</v>
      </c>
      <c r="D114" s="6">
        <v>2025</v>
      </c>
      <c r="E114" s="3" t="s">
        <v>436</v>
      </c>
      <c r="F114" s="5" t="s">
        <v>110</v>
      </c>
      <c r="G114" s="10" t="s">
        <v>111</v>
      </c>
      <c r="H114" s="3" t="s">
        <v>5864</v>
      </c>
      <c r="I114" s="3"/>
      <c r="J114" s="3" t="s">
        <v>5865</v>
      </c>
      <c r="K114" s="3" t="s">
        <v>6049</v>
      </c>
      <c r="L114" s="3"/>
      <c r="O114" s="3" t="s">
        <v>5867</v>
      </c>
      <c r="P114" s="12">
        <v>46300</v>
      </c>
      <c r="Q114" s="3"/>
      <c r="R114" s="3" t="s">
        <v>6050</v>
      </c>
      <c r="S114" s="3" t="s">
        <v>5870</v>
      </c>
      <c r="T114" s="3" t="s">
        <v>5870</v>
      </c>
      <c r="U114" s="3" t="s">
        <v>5870</v>
      </c>
    </row>
    <row r="115" spans="1:21" ht="42.75" customHeight="1">
      <c r="A115" s="5" t="s">
        <v>437</v>
      </c>
      <c r="B115" s="5" t="s">
        <v>11</v>
      </c>
      <c r="C115" s="3" t="s">
        <v>438</v>
      </c>
      <c r="D115" s="6">
        <v>2023</v>
      </c>
      <c r="E115" s="3" t="s">
        <v>439</v>
      </c>
      <c r="F115" s="5" t="s">
        <v>115</v>
      </c>
      <c r="G115" s="10" t="s">
        <v>111</v>
      </c>
      <c r="H115" s="3" t="s">
        <v>5864</v>
      </c>
      <c r="I115" s="3"/>
      <c r="J115" s="3" t="s">
        <v>5886</v>
      </c>
      <c r="K115" s="3" t="s">
        <v>6051</v>
      </c>
      <c r="L115" s="3"/>
      <c r="O115" s="3" t="s">
        <v>5867</v>
      </c>
      <c r="P115" s="12">
        <v>46300</v>
      </c>
      <c r="Q115" s="3"/>
      <c r="R115" s="3" t="s">
        <v>6052</v>
      </c>
      <c r="S115" s="3" t="s">
        <v>5870</v>
      </c>
      <c r="T115" s="3" t="s">
        <v>5869</v>
      </c>
      <c r="U115" s="3" t="s">
        <v>5869</v>
      </c>
    </row>
    <row r="116" spans="1:21" ht="28.5" customHeight="1">
      <c r="A116" s="5" t="s">
        <v>440</v>
      </c>
      <c r="B116" s="5" t="s">
        <v>11</v>
      </c>
      <c r="C116" s="3" t="s">
        <v>441</v>
      </c>
      <c r="D116" s="6">
        <v>2024</v>
      </c>
      <c r="E116" s="3" t="s">
        <v>442</v>
      </c>
      <c r="F116" s="5" t="s">
        <v>110</v>
      </c>
      <c r="G116" s="10" t="s">
        <v>111</v>
      </c>
      <c r="H116" s="3" t="s">
        <v>5864</v>
      </c>
      <c r="I116" s="3"/>
      <c r="J116" s="3" t="s">
        <v>5902</v>
      </c>
      <c r="K116" s="3" t="s">
        <v>6053</v>
      </c>
      <c r="L116" s="3"/>
      <c r="O116" s="3" t="s">
        <v>5867</v>
      </c>
      <c r="P116" s="12">
        <v>46300</v>
      </c>
      <c r="Q116" s="3"/>
      <c r="R116" s="3" t="s">
        <v>6054</v>
      </c>
      <c r="S116" s="3" t="s">
        <v>5869</v>
      </c>
      <c r="T116" s="3" t="s">
        <v>5870</v>
      </c>
      <c r="U116" s="3" t="s">
        <v>5869</v>
      </c>
    </row>
    <row r="117" spans="1:21" ht="28.5" customHeight="1">
      <c r="A117" s="5" t="s">
        <v>443</v>
      </c>
      <c r="B117" s="5" t="s">
        <v>11</v>
      </c>
      <c r="C117" s="3" t="s">
        <v>444</v>
      </c>
      <c r="D117" s="6">
        <v>2025</v>
      </c>
      <c r="E117" s="3" t="s">
        <v>445</v>
      </c>
      <c r="F117" s="5" t="s">
        <v>110</v>
      </c>
      <c r="G117" s="10" t="s">
        <v>111</v>
      </c>
      <c r="H117" s="3" t="s">
        <v>5864</v>
      </c>
      <c r="I117" s="3"/>
      <c r="J117" s="3" t="s">
        <v>5902</v>
      </c>
      <c r="K117" s="3" t="s">
        <v>6097</v>
      </c>
      <c r="L117" s="3"/>
      <c r="O117" s="3" t="s">
        <v>5867</v>
      </c>
      <c r="P117" s="12">
        <v>46300</v>
      </c>
      <c r="Q117" s="3"/>
      <c r="R117" s="3" t="s">
        <v>6098</v>
      </c>
      <c r="S117" s="3" t="s">
        <v>5869</v>
      </c>
      <c r="T117" s="3" t="s">
        <v>5870</v>
      </c>
      <c r="U117" s="3" t="s">
        <v>5869</v>
      </c>
    </row>
    <row r="118" spans="1:21" ht="42.75" customHeight="1">
      <c r="A118" s="5" t="s">
        <v>446</v>
      </c>
      <c r="B118" s="5" t="s">
        <v>11</v>
      </c>
      <c r="C118" s="3" t="s">
        <v>447</v>
      </c>
      <c r="D118" s="6">
        <v>2019</v>
      </c>
      <c r="E118" s="3" t="s">
        <v>448</v>
      </c>
      <c r="F118" s="5" t="s">
        <v>110</v>
      </c>
      <c r="G118" s="10" t="s">
        <v>111</v>
      </c>
      <c r="H118" s="3" t="s">
        <v>5864</v>
      </c>
      <c r="I118" s="3"/>
      <c r="J118" s="3" t="s">
        <v>5865</v>
      </c>
      <c r="K118" s="3" t="s">
        <v>6099</v>
      </c>
      <c r="L118" s="3"/>
      <c r="O118" s="3" t="s">
        <v>5867</v>
      </c>
      <c r="P118" s="12">
        <v>46300</v>
      </c>
      <c r="Q118" s="3"/>
      <c r="R118" s="3" t="s">
        <v>6100</v>
      </c>
      <c r="S118" s="3" t="s">
        <v>5870</v>
      </c>
      <c r="T118" s="3" t="s">
        <v>5870</v>
      </c>
      <c r="U118" s="3" t="s">
        <v>5870</v>
      </c>
    </row>
    <row r="119" spans="1:21" ht="42.75" customHeight="1">
      <c r="A119" s="5" t="s">
        <v>449</v>
      </c>
      <c r="B119" s="5" t="s">
        <v>11</v>
      </c>
      <c r="C119" s="3" t="s">
        <v>450</v>
      </c>
      <c r="D119" s="6">
        <v>2025</v>
      </c>
      <c r="E119" s="3" t="s">
        <v>451</v>
      </c>
      <c r="F119" s="5" t="s">
        <v>110</v>
      </c>
      <c r="G119" s="10" t="s">
        <v>111</v>
      </c>
      <c r="H119" s="3" t="s">
        <v>5864</v>
      </c>
      <c r="I119" s="3"/>
      <c r="J119" s="3" t="s">
        <v>5865</v>
      </c>
      <c r="K119" s="3" t="s">
        <v>6101</v>
      </c>
      <c r="L119" s="3"/>
      <c r="O119" s="3" t="s">
        <v>5867</v>
      </c>
      <c r="P119" s="12">
        <v>46300</v>
      </c>
      <c r="Q119" s="3"/>
      <c r="R119" s="3" t="s">
        <v>6102</v>
      </c>
      <c r="S119" s="3" t="s">
        <v>5870</v>
      </c>
      <c r="T119" s="3" t="s">
        <v>5870</v>
      </c>
      <c r="U119" s="3" t="s">
        <v>5870</v>
      </c>
    </row>
    <row r="120" spans="1:21" ht="28.5" customHeight="1">
      <c r="A120" s="5" t="s">
        <v>452</v>
      </c>
      <c r="B120" s="5" t="s">
        <v>11</v>
      </c>
      <c r="C120" s="3" t="s">
        <v>453</v>
      </c>
      <c r="D120" s="6">
        <v>2020</v>
      </c>
      <c r="E120" s="3" t="s">
        <v>454</v>
      </c>
      <c r="F120" s="5" t="s">
        <v>110</v>
      </c>
      <c r="G120" s="10" t="s">
        <v>111</v>
      </c>
      <c r="H120" s="3" t="s">
        <v>5864</v>
      </c>
      <c r="I120" s="3"/>
      <c r="J120" s="3" t="s">
        <v>5902</v>
      </c>
      <c r="K120" s="3" t="s">
        <v>6103</v>
      </c>
      <c r="L120" s="3"/>
      <c r="O120" s="3" t="s">
        <v>5867</v>
      </c>
      <c r="P120" s="12">
        <v>46300</v>
      </c>
      <c r="Q120" s="3"/>
      <c r="R120" s="3" t="s">
        <v>6104</v>
      </c>
      <c r="S120" s="3" t="s">
        <v>5869</v>
      </c>
      <c r="T120" s="3" t="s">
        <v>5870</v>
      </c>
      <c r="U120" s="3" t="s">
        <v>5869</v>
      </c>
    </row>
    <row r="121" spans="1:21" ht="42.75" customHeight="1">
      <c r="A121" s="5" t="s">
        <v>455</v>
      </c>
      <c r="B121" s="5" t="s">
        <v>11</v>
      </c>
      <c r="C121" s="3" t="s">
        <v>456</v>
      </c>
      <c r="D121" s="6">
        <v>2025</v>
      </c>
      <c r="E121" s="3" t="s">
        <v>457</v>
      </c>
      <c r="F121" s="5" t="s">
        <v>115</v>
      </c>
      <c r="G121" s="10" t="s">
        <v>111</v>
      </c>
      <c r="H121" s="3" t="s">
        <v>5871</v>
      </c>
      <c r="I121" s="3" t="s">
        <v>5733</v>
      </c>
      <c r="J121" s="3"/>
      <c r="K121" s="3"/>
      <c r="L121" s="3"/>
      <c r="O121" s="3" t="s">
        <v>5867</v>
      </c>
      <c r="P121" s="12">
        <v>46300</v>
      </c>
      <c r="Q121" s="3"/>
      <c r="R121" s="3" t="s">
        <v>6105</v>
      </c>
      <c r="S121" s="3"/>
      <c r="T121" s="3"/>
      <c r="U121" s="3"/>
    </row>
    <row r="122" spans="1:21" ht="42.75" customHeight="1">
      <c r="A122" s="5" t="s">
        <v>458</v>
      </c>
      <c r="B122" s="5" t="s">
        <v>11</v>
      </c>
      <c r="C122" s="3" t="s">
        <v>459</v>
      </c>
      <c r="D122" s="6">
        <v>2025</v>
      </c>
      <c r="E122" s="3" t="s">
        <v>460</v>
      </c>
      <c r="F122" s="5" t="s">
        <v>110</v>
      </c>
      <c r="G122" s="10" t="s">
        <v>111</v>
      </c>
      <c r="H122" s="3" t="s">
        <v>5864</v>
      </c>
      <c r="I122" s="3"/>
      <c r="J122" s="3" t="s">
        <v>5921</v>
      </c>
      <c r="K122" s="3" t="s">
        <v>6106</v>
      </c>
      <c r="L122" s="3"/>
      <c r="O122" s="3" t="s">
        <v>5867</v>
      </c>
      <c r="P122" s="12">
        <v>46300</v>
      </c>
      <c r="Q122" s="3"/>
      <c r="R122" s="3" t="s">
        <v>6107</v>
      </c>
      <c r="S122" s="3" t="s">
        <v>5870</v>
      </c>
      <c r="T122" s="3" t="s">
        <v>5870</v>
      </c>
      <c r="U122" s="3" t="s">
        <v>5870</v>
      </c>
    </row>
    <row r="123" spans="1:21" ht="42.75" customHeight="1">
      <c r="A123" s="5" t="s">
        <v>461</v>
      </c>
      <c r="B123" s="5" t="s">
        <v>11</v>
      </c>
      <c r="C123" s="3" t="s">
        <v>462</v>
      </c>
      <c r="D123" s="6">
        <v>2021</v>
      </c>
      <c r="E123" s="3" t="s">
        <v>463</v>
      </c>
      <c r="F123" s="5" t="s">
        <v>115</v>
      </c>
      <c r="G123" s="10" t="s">
        <v>111</v>
      </c>
      <c r="H123" s="3" t="s">
        <v>5864</v>
      </c>
      <c r="I123" s="3"/>
      <c r="J123" s="3" t="s">
        <v>5879</v>
      </c>
      <c r="K123" s="3" t="s">
        <v>6108</v>
      </c>
      <c r="L123" s="3"/>
      <c r="O123" s="3" t="s">
        <v>5867</v>
      </c>
      <c r="P123" s="12">
        <v>46300</v>
      </c>
      <c r="Q123" s="3"/>
      <c r="R123" s="3" t="s">
        <v>6109</v>
      </c>
      <c r="S123" s="3" t="s">
        <v>5870</v>
      </c>
      <c r="T123" s="3" t="s">
        <v>5870</v>
      </c>
      <c r="U123" s="3" t="s">
        <v>5870</v>
      </c>
    </row>
    <row r="124" spans="1:21" ht="28.5" customHeight="1">
      <c r="A124" s="5" t="s">
        <v>464</v>
      </c>
      <c r="B124" s="5" t="s">
        <v>11</v>
      </c>
      <c r="C124" s="3" t="s">
        <v>145</v>
      </c>
      <c r="D124" s="6">
        <v>2022</v>
      </c>
      <c r="E124" s="3" t="s">
        <v>465</v>
      </c>
      <c r="F124" s="5" t="s">
        <v>110</v>
      </c>
      <c r="G124" s="10" t="s">
        <v>111</v>
      </c>
      <c r="H124" s="3" t="s">
        <v>5864</v>
      </c>
      <c r="I124" s="3"/>
      <c r="J124" s="3" t="s">
        <v>5865</v>
      </c>
      <c r="K124" s="3" t="s">
        <v>6110</v>
      </c>
      <c r="L124" s="3"/>
      <c r="O124" s="3" t="s">
        <v>5867</v>
      </c>
      <c r="P124" s="12">
        <v>46300</v>
      </c>
      <c r="Q124" s="3"/>
      <c r="R124" s="3" t="s">
        <v>6111</v>
      </c>
      <c r="S124" s="3" t="s">
        <v>5869</v>
      </c>
      <c r="T124" s="3" t="s">
        <v>5870</v>
      </c>
      <c r="U124" s="3" t="s">
        <v>5869</v>
      </c>
    </row>
    <row r="125" spans="1:21" ht="42.75" customHeight="1">
      <c r="A125" s="5" t="s">
        <v>466</v>
      </c>
      <c r="B125" s="5" t="s">
        <v>11</v>
      </c>
      <c r="C125" s="3" t="s">
        <v>467</v>
      </c>
      <c r="D125" s="6">
        <v>2021</v>
      </c>
      <c r="E125" s="3" t="s">
        <v>468</v>
      </c>
      <c r="F125" s="5" t="s">
        <v>115</v>
      </c>
      <c r="G125" s="10" t="s">
        <v>111</v>
      </c>
      <c r="H125" s="3" t="s">
        <v>5864</v>
      </c>
      <c r="I125" s="3"/>
      <c r="J125" s="3" t="s">
        <v>5886</v>
      </c>
      <c r="K125" s="3" t="s">
        <v>6112</v>
      </c>
      <c r="L125" s="3"/>
      <c r="O125" s="3" t="s">
        <v>5867</v>
      </c>
      <c r="P125" s="12">
        <v>46300</v>
      </c>
      <c r="Q125" s="3"/>
      <c r="R125" s="3" t="s">
        <v>6113</v>
      </c>
      <c r="S125" s="3" t="s">
        <v>5870</v>
      </c>
      <c r="T125" s="3" t="s">
        <v>5869</v>
      </c>
      <c r="U125" s="3" t="s">
        <v>5870</v>
      </c>
    </row>
    <row r="126" spans="1:21" ht="28.5" customHeight="1">
      <c r="A126" s="5" t="s">
        <v>469</v>
      </c>
      <c r="B126" s="5" t="s">
        <v>11</v>
      </c>
      <c r="C126" s="3" t="s">
        <v>470</v>
      </c>
      <c r="D126" s="6">
        <v>2022</v>
      </c>
      <c r="E126" s="3" t="s">
        <v>471</v>
      </c>
      <c r="F126" s="5" t="s">
        <v>115</v>
      </c>
      <c r="G126" s="10" t="s">
        <v>111</v>
      </c>
      <c r="H126" s="3" t="s">
        <v>5864</v>
      </c>
      <c r="I126" s="3"/>
      <c r="J126" s="3" t="s">
        <v>5865</v>
      </c>
      <c r="K126" s="3" t="s">
        <v>6114</v>
      </c>
      <c r="L126" s="3"/>
      <c r="O126" s="3" t="s">
        <v>5867</v>
      </c>
      <c r="P126" s="12">
        <v>46300</v>
      </c>
      <c r="Q126" s="3"/>
      <c r="R126" s="3" t="s">
        <v>6115</v>
      </c>
      <c r="S126" s="3" t="s">
        <v>5869</v>
      </c>
      <c r="T126" s="3" t="s">
        <v>5870</v>
      </c>
      <c r="U126" s="3" t="s">
        <v>5870</v>
      </c>
    </row>
    <row r="127" spans="1:21" ht="28.5" customHeight="1">
      <c r="A127" s="5" t="s">
        <v>472</v>
      </c>
      <c r="B127" s="5" t="s">
        <v>11</v>
      </c>
      <c r="C127" s="3" t="s">
        <v>473</v>
      </c>
      <c r="D127" s="6">
        <v>2022</v>
      </c>
      <c r="E127" s="3" t="s">
        <v>474</v>
      </c>
      <c r="F127" s="5" t="s">
        <v>110</v>
      </c>
      <c r="G127" s="10" t="s">
        <v>111</v>
      </c>
      <c r="H127" s="3" t="s">
        <v>5864</v>
      </c>
      <c r="I127" s="3"/>
      <c r="J127" s="3" t="s">
        <v>5865</v>
      </c>
      <c r="K127" s="3" t="s">
        <v>6144</v>
      </c>
      <c r="L127" s="3"/>
      <c r="O127" s="3" t="s">
        <v>5867</v>
      </c>
      <c r="P127" s="12">
        <v>46300</v>
      </c>
      <c r="Q127" s="3"/>
      <c r="R127" s="3" t="s">
        <v>6145</v>
      </c>
      <c r="S127" s="3" t="s">
        <v>5869</v>
      </c>
      <c r="T127" s="3" t="s">
        <v>5870</v>
      </c>
      <c r="U127" s="3" t="s">
        <v>5869</v>
      </c>
    </row>
    <row r="128" spans="1:21" ht="28.5" customHeight="1">
      <c r="A128" s="5" t="s">
        <v>475</v>
      </c>
      <c r="B128" s="5" t="s">
        <v>11</v>
      </c>
      <c r="C128" s="3" t="s">
        <v>476</v>
      </c>
      <c r="D128" s="6">
        <v>2020</v>
      </c>
      <c r="E128" s="3" t="s">
        <v>477</v>
      </c>
      <c r="F128" s="5" t="s">
        <v>110</v>
      </c>
      <c r="G128" s="10" t="s">
        <v>111</v>
      </c>
      <c r="H128" s="3" t="s">
        <v>5864</v>
      </c>
      <c r="I128" s="3"/>
      <c r="J128" s="3" t="s">
        <v>5902</v>
      </c>
      <c r="K128" s="3" t="s">
        <v>6156</v>
      </c>
      <c r="L128" s="3"/>
      <c r="O128" s="3" t="s">
        <v>5867</v>
      </c>
      <c r="P128" s="12">
        <v>46300</v>
      </c>
      <c r="Q128" s="3"/>
      <c r="R128" s="3" t="s">
        <v>6157</v>
      </c>
      <c r="S128" s="3" t="s">
        <v>5870</v>
      </c>
      <c r="T128" s="3" t="s">
        <v>5870</v>
      </c>
      <c r="U128" s="3" t="s">
        <v>5869</v>
      </c>
    </row>
    <row r="129" spans="1:21" ht="42.75" customHeight="1">
      <c r="A129" s="5" t="s">
        <v>478</v>
      </c>
      <c r="B129" s="5" t="s">
        <v>11</v>
      </c>
      <c r="C129" s="3" t="s">
        <v>479</v>
      </c>
      <c r="D129" s="6">
        <v>2020</v>
      </c>
      <c r="E129" s="3" t="s">
        <v>480</v>
      </c>
      <c r="F129" s="5" t="s">
        <v>110</v>
      </c>
      <c r="G129" s="10" t="s">
        <v>111</v>
      </c>
      <c r="H129" s="3" t="s">
        <v>5864</v>
      </c>
      <c r="I129" s="3"/>
      <c r="J129" s="3" t="s">
        <v>5865</v>
      </c>
      <c r="K129" s="3" t="s">
        <v>6132</v>
      </c>
      <c r="L129" s="3"/>
      <c r="O129" s="3" t="s">
        <v>5867</v>
      </c>
      <c r="P129" s="12">
        <v>46300</v>
      </c>
      <c r="Q129" s="3"/>
      <c r="R129" s="3" t="s">
        <v>6133</v>
      </c>
      <c r="S129" s="3" t="s">
        <v>5869</v>
      </c>
      <c r="T129" s="3" t="s">
        <v>5870</v>
      </c>
      <c r="U129" s="3" t="s">
        <v>5869</v>
      </c>
    </row>
    <row r="130" spans="1:21" ht="42.75" customHeight="1">
      <c r="A130" s="5" t="s">
        <v>481</v>
      </c>
      <c r="B130" s="5" t="s">
        <v>11</v>
      </c>
      <c r="C130" s="3" t="s">
        <v>482</v>
      </c>
      <c r="D130" s="6">
        <v>2025</v>
      </c>
      <c r="E130" s="3" t="s">
        <v>483</v>
      </c>
      <c r="F130" s="5" t="s">
        <v>115</v>
      </c>
      <c r="G130" s="10" t="s">
        <v>111</v>
      </c>
      <c r="H130" s="3" t="s">
        <v>5864</v>
      </c>
      <c r="I130" s="3"/>
      <c r="J130" s="3" t="s">
        <v>5921</v>
      </c>
      <c r="K130" s="3" t="s">
        <v>6134</v>
      </c>
      <c r="L130" s="3"/>
      <c r="O130" s="3" t="s">
        <v>5867</v>
      </c>
      <c r="P130" s="12">
        <v>46300</v>
      </c>
      <c r="Q130" s="3"/>
      <c r="R130" s="3" t="s">
        <v>6135</v>
      </c>
      <c r="S130" s="3" t="s">
        <v>5870</v>
      </c>
      <c r="T130" s="3" t="s">
        <v>5870</v>
      </c>
      <c r="U130" s="3" t="s">
        <v>5870</v>
      </c>
    </row>
    <row r="131" spans="1:21" ht="28.5" customHeight="1">
      <c r="A131" s="5" t="s">
        <v>484</v>
      </c>
      <c r="B131" s="5" t="s">
        <v>11</v>
      </c>
      <c r="C131" s="3" t="s">
        <v>485</v>
      </c>
      <c r="D131" s="6">
        <v>2021</v>
      </c>
      <c r="E131" s="3" t="s">
        <v>486</v>
      </c>
      <c r="F131" s="5" t="s">
        <v>115</v>
      </c>
      <c r="G131" s="10" t="s">
        <v>111</v>
      </c>
      <c r="H131" s="3" t="s">
        <v>5864</v>
      </c>
      <c r="I131" s="3"/>
      <c r="J131" s="3" t="s">
        <v>5865</v>
      </c>
      <c r="K131" s="3" t="s">
        <v>6136</v>
      </c>
      <c r="L131" s="3"/>
      <c r="O131" s="3" t="s">
        <v>5867</v>
      </c>
      <c r="P131" s="12">
        <v>46300</v>
      </c>
      <c r="Q131" s="3"/>
      <c r="R131" s="3" t="s">
        <v>6137</v>
      </c>
      <c r="S131" s="3" t="s">
        <v>5870</v>
      </c>
      <c r="T131" s="3" t="s">
        <v>5870</v>
      </c>
      <c r="U131" s="3" t="s">
        <v>5870</v>
      </c>
    </row>
    <row r="132" spans="1:21" ht="28.5" customHeight="1">
      <c r="A132" s="5" t="s">
        <v>487</v>
      </c>
      <c r="B132" s="5" t="s">
        <v>11</v>
      </c>
      <c r="C132" s="3" t="s">
        <v>488</v>
      </c>
      <c r="D132" s="6">
        <v>2023</v>
      </c>
      <c r="E132" s="3" t="s">
        <v>489</v>
      </c>
      <c r="F132" s="5" t="s">
        <v>110</v>
      </c>
      <c r="G132" s="10" t="s">
        <v>111</v>
      </c>
      <c r="H132" s="3" t="s">
        <v>5864</v>
      </c>
      <c r="I132" s="3"/>
      <c r="J132" s="3" t="s">
        <v>5865</v>
      </c>
      <c r="K132" s="3" t="s">
        <v>6138</v>
      </c>
      <c r="L132" s="3"/>
      <c r="O132" s="3" t="s">
        <v>5867</v>
      </c>
      <c r="P132" s="12">
        <v>46300</v>
      </c>
      <c r="Q132" s="3"/>
      <c r="R132" s="3" t="s">
        <v>6139</v>
      </c>
      <c r="S132" s="3" t="s">
        <v>5869</v>
      </c>
      <c r="T132" s="3" t="s">
        <v>5870</v>
      </c>
      <c r="U132" s="3" t="s">
        <v>5870</v>
      </c>
    </row>
    <row r="133" spans="1:21" ht="42.75" customHeight="1">
      <c r="A133" s="5" t="s">
        <v>490</v>
      </c>
      <c r="B133" s="5" t="s">
        <v>11</v>
      </c>
      <c r="C133" s="3" t="s">
        <v>491</v>
      </c>
      <c r="D133" s="6">
        <v>2020</v>
      </c>
      <c r="E133" s="3" t="s">
        <v>492</v>
      </c>
      <c r="F133" s="5" t="s">
        <v>110</v>
      </c>
      <c r="G133" s="10" t="s">
        <v>111</v>
      </c>
      <c r="H133" s="3" t="s">
        <v>5864</v>
      </c>
      <c r="I133" s="3"/>
      <c r="J133" s="3" t="s">
        <v>5886</v>
      </c>
      <c r="K133" s="3" t="s">
        <v>6140</v>
      </c>
      <c r="L133" s="3"/>
      <c r="O133" s="3" t="s">
        <v>5867</v>
      </c>
      <c r="P133" s="12">
        <v>46300</v>
      </c>
      <c r="Q133" s="3"/>
      <c r="R133" s="3" t="s">
        <v>6141</v>
      </c>
      <c r="S133" s="3" t="s">
        <v>5869</v>
      </c>
      <c r="T133" s="3" t="s">
        <v>5870</v>
      </c>
      <c r="U133" s="3" t="s">
        <v>5869</v>
      </c>
    </row>
    <row r="134" spans="1:21" ht="42.75" customHeight="1">
      <c r="A134" s="5" t="s">
        <v>493</v>
      </c>
      <c r="B134" s="5" t="s">
        <v>11</v>
      </c>
      <c r="C134" s="3" t="s">
        <v>494</v>
      </c>
      <c r="D134" s="6">
        <v>2018</v>
      </c>
      <c r="E134" s="3" t="s">
        <v>495</v>
      </c>
      <c r="F134" s="5" t="s">
        <v>110</v>
      </c>
      <c r="G134" s="10" t="s">
        <v>111</v>
      </c>
      <c r="H134" s="3" t="s">
        <v>5864</v>
      </c>
      <c r="I134" s="3"/>
      <c r="J134" s="3" t="s">
        <v>5879</v>
      </c>
      <c r="K134" s="3" t="s">
        <v>6142</v>
      </c>
      <c r="L134" s="3"/>
      <c r="O134" s="3" t="s">
        <v>5867</v>
      </c>
      <c r="P134" s="12">
        <v>46300</v>
      </c>
      <c r="Q134" s="3"/>
      <c r="R134" s="3" t="s">
        <v>6143</v>
      </c>
      <c r="S134" s="3" t="s">
        <v>5869</v>
      </c>
      <c r="T134" s="3" t="s">
        <v>5870</v>
      </c>
      <c r="U134" s="3" t="s">
        <v>5870</v>
      </c>
    </row>
    <row r="135" spans="1:21" ht="42.75" customHeight="1">
      <c r="A135" s="5" t="s">
        <v>496</v>
      </c>
      <c r="B135" s="5" t="s">
        <v>11</v>
      </c>
      <c r="C135" s="3" t="s">
        <v>497</v>
      </c>
      <c r="D135" s="6">
        <v>2021</v>
      </c>
      <c r="E135" s="3" t="s">
        <v>498</v>
      </c>
      <c r="F135" s="5" t="s">
        <v>110</v>
      </c>
      <c r="G135" s="10" t="s">
        <v>111</v>
      </c>
      <c r="H135" s="3" t="s">
        <v>5864</v>
      </c>
      <c r="I135" s="3"/>
      <c r="J135" s="3" t="s">
        <v>5865</v>
      </c>
      <c r="K135" s="3" t="s">
        <v>6116</v>
      </c>
      <c r="L135" s="3"/>
      <c r="O135" s="3" t="s">
        <v>5867</v>
      </c>
      <c r="P135" s="12">
        <v>46300</v>
      </c>
      <c r="Q135" s="3"/>
      <c r="R135" s="3" t="s">
        <v>6117</v>
      </c>
      <c r="S135" s="3" t="s">
        <v>5869</v>
      </c>
      <c r="T135" s="3" t="s">
        <v>5870</v>
      </c>
      <c r="U135" s="3" t="s">
        <v>5870</v>
      </c>
    </row>
    <row r="136" spans="1:21" ht="42.75" customHeight="1">
      <c r="A136" s="5" t="s">
        <v>499</v>
      </c>
      <c r="B136" s="5" t="s">
        <v>11</v>
      </c>
      <c r="C136" s="3" t="s">
        <v>500</v>
      </c>
      <c r="D136" s="6">
        <v>2018</v>
      </c>
      <c r="E136" s="3" t="s">
        <v>501</v>
      </c>
      <c r="F136" s="5" t="s">
        <v>110</v>
      </c>
      <c r="G136" s="10" t="s">
        <v>111</v>
      </c>
      <c r="H136" s="3" t="s">
        <v>5864</v>
      </c>
      <c r="I136" s="3"/>
      <c r="J136" s="3" t="s">
        <v>5865</v>
      </c>
      <c r="K136" s="3" t="s">
        <v>6118</v>
      </c>
      <c r="L136" s="3"/>
      <c r="O136" s="3" t="s">
        <v>5867</v>
      </c>
      <c r="P136" s="12">
        <v>46300</v>
      </c>
      <c r="Q136" s="3"/>
      <c r="R136" s="3" t="s">
        <v>6119</v>
      </c>
      <c r="S136" s="3" t="s">
        <v>5869</v>
      </c>
      <c r="T136" s="3" t="s">
        <v>5870</v>
      </c>
      <c r="U136" s="3" t="s">
        <v>5870</v>
      </c>
    </row>
    <row r="137" spans="1:21" ht="28.5" customHeight="1">
      <c r="A137" s="5" t="s">
        <v>502</v>
      </c>
      <c r="B137" s="5" t="s">
        <v>11</v>
      </c>
      <c r="C137" s="3" t="s">
        <v>503</v>
      </c>
      <c r="D137" s="6">
        <v>2024</v>
      </c>
      <c r="E137" s="3" t="s">
        <v>504</v>
      </c>
      <c r="F137" s="5" t="s">
        <v>110</v>
      </c>
      <c r="G137" s="10" t="s">
        <v>111</v>
      </c>
      <c r="H137" s="3" t="s">
        <v>5864</v>
      </c>
      <c r="I137" s="3"/>
      <c r="J137" s="3" t="s">
        <v>5865</v>
      </c>
      <c r="K137" s="3" t="s">
        <v>6120</v>
      </c>
      <c r="L137" s="3"/>
      <c r="O137" s="3" t="s">
        <v>5867</v>
      </c>
      <c r="P137" s="12">
        <v>46300</v>
      </c>
      <c r="Q137" s="3"/>
      <c r="R137" s="3" t="s">
        <v>6121</v>
      </c>
      <c r="S137" s="3" t="s">
        <v>5869</v>
      </c>
      <c r="T137" s="3" t="s">
        <v>5870</v>
      </c>
      <c r="U137" s="3" t="s">
        <v>5870</v>
      </c>
    </row>
    <row r="138" spans="1:21" ht="28.5" customHeight="1">
      <c r="A138" s="5" t="s">
        <v>505</v>
      </c>
      <c r="B138" s="5" t="s">
        <v>11</v>
      </c>
      <c r="C138" s="3" t="s">
        <v>506</v>
      </c>
      <c r="D138" s="6">
        <v>2018</v>
      </c>
      <c r="E138" s="3" t="s">
        <v>507</v>
      </c>
      <c r="F138" s="5" t="s">
        <v>115</v>
      </c>
      <c r="G138" s="10" t="s">
        <v>111</v>
      </c>
      <c r="H138" s="3" t="s">
        <v>5864</v>
      </c>
      <c r="I138" s="3"/>
      <c r="J138" s="3" t="s">
        <v>5865</v>
      </c>
      <c r="K138" s="3" t="s">
        <v>6122</v>
      </c>
      <c r="L138" s="3"/>
      <c r="O138" s="3" t="s">
        <v>5867</v>
      </c>
      <c r="P138" s="12">
        <v>46300</v>
      </c>
      <c r="Q138" s="3"/>
      <c r="R138" s="3" t="s">
        <v>6123</v>
      </c>
      <c r="S138" s="3" t="s">
        <v>5869</v>
      </c>
      <c r="T138" s="3" t="s">
        <v>5870</v>
      </c>
      <c r="U138" s="3" t="s">
        <v>5870</v>
      </c>
    </row>
    <row r="139" spans="1:21" ht="28.5" customHeight="1">
      <c r="A139" s="5" t="s">
        <v>508</v>
      </c>
      <c r="B139" s="5" t="s">
        <v>11</v>
      </c>
      <c r="C139" s="3" t="s">
        <v>509</v>
      </c>
      <c r="D139" s="6">
        <v>2020</v>
      </c>
      <c r="E139" s="3" t="s">
        <v>510</v>
      </c>
      <c r="F139" s="5" t="s">
        <v>110</v>
      </c>
      <c r="G139" s="10" t="s">
        <v>111</v>
      </c>
      <c r="H139" s="3" t="s">
        <v>5864</v>
      </c>
      <c r="I139" s="3"/>
      <c r="J139" s="3" t="s">
        <v>5865</v>
      </c>
      <c r="K139" s="3" t="s">
        <v>6124</v>
      </c>
      <c r="L139" s="3"/>
      <c r="O139" s="3" t="s">
        <v>5867</v>
      </c>
      <c r="P139" s="12">
        <v>46300</v>
      </c>
      <c r="Q139" s="3"/>
      <c r="R139" s="3" t="s">
        <v>6125</v>
      </c>
      <c r="S139" s="3" t="s">
        <v>5869</v>
      </c>
      <c r="T139" s="3" t="s">
        <v>5870</v>
      </c>
      <c r="U139" s="3" t="s">
        <v>5870</v>
      </c>
    </row>
    <row r="140" spans="1:21" ht="42.75" customHeight="1">
      <c r="A140" s="5" t="s">
        <v>511</v>
      </c>
      <c r="B140" s="5" t="s">
        <v>11</v>
      </c>
      <c r="C140" s="3" t="s">
        <v>512</v>
      </c>
      <c r="D140" s="6">
        <v>2025</v>
      </c>
      <c r="E140" s="3" t="s">
        <v>513</v>
      </c>
      <c r="F140" s="5" t="s">
        <v>110</v>
      </c>
      <c r="G140" s="10" t="s">
        <v>111</v>
      </c>
      <c r="H140" s="3" t="s">
        <v>5864</v>
      </c>
      <c r="I140" s="3"/>
      <c r="J140" s="3" t="s">
        <v>5865</v>
      </c>
      <c r="K140" s="3" t="s">
        <v>6126</v>
      </c>
      <c r="L140" s="3"/>
      <c r="O140" s="3" t="s">
        <v>5867</v>
      </c>
      <c r="P140" s="12">
        <v>46300</v>
      </c>
      <c r="Q140" s="3"/>
      <c r="R140" s="3" t="s">
        <v>6127</v>
      </c>
      <c r="S140" s="3" t="s">
        <v>5869</v>
      </c>
      <c r="T140" s="3" t="s">
        <v>5870</v>
      </c>
      <c r="U140" s="3" t="s">
        <v>5870</v>
      </c>
    </row>
    <row r="141" spans="1:21" ht="42.75" customHeight="1">
      <c r="A141" s="5" t="s">
        <v>514</v>
      </c>
      <c r="B141" s="5" t="s">
        <v>11</v>
      </c>
      <c r="C141" s="3" t="s">
        <v>515</v>
      </c>
      <c r="D141" s="6">
        <v>2023</v>
      </c>
      <c r="E141" s="3" t="s">
        <v>516</v>
      </c>
      <c r="F141" s="5" t="s">
        <v>110</v>
      </c>
      <c r="G141" s="10" t="s">
        <v>111</v>
      </c>
      <c r="H141" s="3" t="s">
        <v>5864</v>
      </c>
      <c r="I141" s="3"/>
      <c r="J141" s="3" t="s">
        <v>5865</v>
      </c>
      <c r="K141" s="3" t="s">
        <v>6128</v>
      </c>
      <c r="L141" s="3"/>
      <c r="O141" s="3" t="s">
        <v>5867</v>
      </c>
      <c r="P141" s="12">
        <v>46300</v>
      </c>
      <c r="Q141" s="3"/>
      <c r="R141" s="3" t="s">
        <v>6129</v>
      </c>
      <c r="S141" s="3" t="s">
        <v>5869</v>
      </c>
      <c r="T141" s="3" t="s">
        <v>5870</v>
      </c>
      <c r="U141" s="3" t="s">
        <v>5869</v>
      </c>
    </row>
    <row r="142" spans="1:21" ht="28.5" customHeight="1">
      <c r="A142" s="5" t="s">
        <v>517</v>
      </c>
      <c r="B142" s="5" t="s">
        <v>11</v>
      </c>
      <c r="C142" s="3" t="s">
        <v>518</v>
      </c>
      <c r="D142" s="6">
        <v>2024</v>
      </c>
      <c r="E142" s="3" t="s">
        <v>519</v>
      </c>
      <c r="F142" s="5" t="s">
        <v>110</v>
      </c>
      <c r="G142" s="10" t="s">
        <v>111</v>
      </c>
      <c r="H142" s="3" t="s">
        <v>5864</v>
      </c>
      <c r="I142" s="3"/>
      <c r="J142" s="3" t="s">
        <v>5921</v>
      </c>
      <c r="K142" s="3" t="s">
        <v>6130</v>
      </c>
      <c r="L142" s="3"/>
      <c r="O142" s="3" t="s">
        <v>5867</v>
      </c>
      <c r="P142" s="12">
        <v>46300</v>
      </c>
      <c r="Q142" s="3"/>
      <c r="R142" s="3" t="s">
        <v>6131</v>
      </c>
      <c r="S142" s="3" t="s">
        <v>5869</v>
      </c>
      <c r="T142" s="3" t="s">
        <v>5870</v>
      </c>
      <c r="U142" s="3" t="s">
        <v>5869</v>
      </c>
    </row>
    <row r="143" spans="1:21" ht="42.75" customHeight="1">
      <c r="A143" s="5" t="s">
        <v>520</v>
      </c>
      <c r="B143" s="5" t="s">
        <v>11</v>
      </c>
      <c r="C143" s="3" t="s">
        <v>521</v>
      </c>
      <c r="D143" s="6">
        <v>2022</v>
      </c>
      <c r="E143" s="3" t="s">
        <v>522</v>
      </c>
      <c r="F143" s="5" t="s">
        <v>115</v>
      </c>
      <c r="G143" s="10" t="s">
        <v>111</v>
      </c>
      <c r="H143" s="3" t="s">
        <v>5864</v>
      </c>
      <c r="I143" s="3"/>
      <c r="J143" s="3" t="s">
        <v>5865</v>
      </c>
      <c r="K143" s="3" t="s">
        <v>6146</v>
      </c>
      <c r="L143" s="3"/>
      <c r="O143" s="3" t="s">
        <v>5867</v>
      </c>
      <c r="P143" s="12">
        <v>46300</v>
      </c>
      <c r="Q143" s="3"/>
      <c r="R143" s="3" t="s">
        <v>6147</v>
      </c>
      <c r="S143" s="3" t="s">
        <v>5870</v>
      </c>
      <c r="T143" s="3" t="s">
        <v>5870</v>
      </c>
      <c r="U143" s="3" t="s">
        <v>5870</v>
      </c>
    </row>
    <row r="144" spans="1:21" ht="57" customHeight="1">
      <c r="A144" s="5" t="s">
        <v>523</v>
      </c>
      <c r="B144" s="5" t="s">
        <v>11</v>
      </c>
      <c r="C144" s="3" t="s">
        <v>524</v>
      </c>
      <c r="D144" s="6">
        <v>2025</v>
      </c>
      <c r="E144" s="3" t="s">
        <v>525</v>
      </c>
      <c r="F144" s="5" t="s">
        <v>110</v>
      </c>
      <c r="G144" s="10" t="s">
        <v>111</v>
      </c>
      <c r="H144" s="3" t="s">
        <v>5864</v>
      </c>
      <c r="I144" s="3"/>
      <c r="J144" s="3" t="s">
        <v>5879</v>
      </c>
      <c r="K144" s="3" t="s">
        <v>6148</v>
      </c>
      <c r="L144" s="3"/>
      <c r="O144" s="3" t="s">
        <v>5867</v>
      </c>
      <c r="P144" s="12">
        <v>46300</v>
      </c>
      <c r="Q144" s="3"/>
      <c r="R144" s="3" t="s">
        <v>6149</v>
      </c>
      <c r="S144" s="3" t="s">
        <v>5869</v>
      </c>
      <c r="T144" s="3" t="s">
        <v>5870</v>
      </c>
      <c r="U144" s="3" t="s">
        <v>5869</v>
      </c>
    </row>
    <row r="145" spans="1:21" ht="42.75" customHeight="1">
      <c r="A145" s="5" t="s">
        <v>526</v>
      </c>
      <c r="B145" s="5" t="s">
        <v>11</v>
      </c>
      <c r="C145" s="3" t="s">
        <v>527</v>
      </c>
      <c r="D145" s="6">
        <v>2020</v>
      </c>
      <c r="E145" s="3" t="s">
        <v>528</v>
      </c>
      <c r="F145" s="5" t="s">
        <v>110</v>
      </c>
      <c r="G145" s="10" t="s">
        <v>111</v>
      </c>
      <c r="H145" s="3" t="s">
        <v>5864</v>
      </c>
      <c r="I145" s="3"/>
      <c r="J145" s="3" t="s">
        <v>5865</v>
      </c>
      <c r="K145" s="3" t="s">
        <v>6150</v>
      </c>
      <c r="L145" s="3"/>
      <c r="O145" s="3" t="s">
        <v>5867</v>
      </c>
      <c r="P145" s="12">
        <v>46300</v>
      </c>
      <c r="Q145" s="3"/>
      <c r="R145" s="3" t="s">
        <v>6151</v>
      </c>
      <c r="S145" s="3" t="s">
        <v>5869</v>
      </c>
      <c r="T145" s="3" t="s">
        <v>5870</v>
      </c>
      <c r="U145" s="3" t="s">
        <v>5869</v>
      </c>
    </row>
    <row r="146" spans="1:21" ht="42.75" customHeight="1">
      <c r="A146" s="5" t="s">
        <v>529</v>
      </c>
      <c r="B146" s="5" t="s">
        <v>11</v>
      </c>
      <c r="C146" s="3" t="s">
        <v>530</v>
      </c>
      <c r="D146" s="6">
        <v>2025</v>
      </c>
      <c r="E146" s="3" t="s">
        <v>531</v>
      </c>
      <c r="F146" s="5" t="s">
        <v>110</v>
      </c>
      <c r="G146" s="10" t="s">
        <v>111</v>
      </c>
      <c r="H146" s="3" t="s">
        <v>5864</v>
      </c>
      <c r="I146" s="3"/>
      <c r="J146" s="3" t="s">
        <v>5865</v>
      </c>
      <c r="K146" s="3" t="s">
        <v>6152</v>
      </c>
      <c r="L146" s="3"/>
      <c r="O146" s="3" t="s">
        <v>5867</v>
      </c>
      <c r="P146" s="12">
        <v>46300</v>
      </c>
      <c r="Q146" s="3"/>
      <c r="R146" s="3" t="s">
        <v>6153</v>
      </c>
      <c r="S146" s="3" t="s">
        <v>5869</v>
      </c>
      <c r="T146" s="3" t="s">
        <v>5870</v>
      </c>
      <c r="U146" s="3" t="s">
        <v>5869</v>
      </c>
    </row>
    <row r="147" spans="1:21" ht="42.75" customHeight="1">
      <c r="A147" s="5" t="s">
        <v>532</v>
      </c>
      <c r="B147" s="5" t="s">
        <v>11</v>
      </c>
      <c r="C147" s="3" t="s">
        <v>533</v>
      </c>
      <c r="D147" s="6">
        <v>2025</v>
      </c>
      <c r="E147" s="3" t="s">
        <v>534</v>
      </c>
      <c r="F147" s="5" t="s">
        <v>115</v>
      </c>
      <c r="G147" s="10" t="s">
        <v>111</v>
      </c>
      <c r="H147" s="3" t="s">
        <v>5864</v>
      </c>
      <c r="I147" s="3"/>
      <c r="J147" s="3" t="s">
        <v>5865</v>
      </c>
      <c r="K147" s="3" t="s">
        <v>6154</v>
      </c>
      <c r="L147" s="3"/>
      <c r="O147" s="3" t="s">
        <v>5867</v>
      </c>
      <c r="P147" s="12">
        <v>46300</v>
      </c>
      <c r="Q147" s="3"/>
      <c r="R147" s="3" t="s">
        <v>6155</v>
      </c>
      <c r="S147" s="3" t="s">
        <v>5869</v>
      </c>
      <c r="T147" s="3" t="s">
        <v>5870</v>
      </c>
      <c r="U147" s="3" t="s">
        <v>5869</v>
      </c>
    </row>
    <row r="148" spans="1:21" ht="28.5" customHeight="1">
      <c r="A148" s="5" t="s">
        <v>535</v>
      </c>
      <c r="B148" s="5" t="s">
        <v>11</v>
      </c>
      <c r="C148" s="3" t="s">
        <v>536</v>
      </c>
      <c r="D148" s="6">
        <v>2018</v>
      </c>
      <c r="E148" s="3" t="s">
        <v>537</v>
      </c>
      <c r="F148" s="5" t="s">
        <v>115</v>
      </c>
      <c r="G148" s="10" t="s">
        <v>111</v>
      </c>
      <c r="H148" s="3" t="s">
        <v>5864</v>
      </c>
      <c r="I148" s="3"/>
      <c r="J148" s="3" t="s">
        <v>5865</v>
      </c>
      <c r="K148" s="3" t="s">
        <v>6158</v>
      </c>
      <c r="L148" s="3"/>
      <c r="O148" s="3" t="s">
        <v>5867</v>
      </c>
      <c r="P148" s="12">
        <v>46300</v>
      </c>
      <c r="Q148" s="3"/>
      <c r="R148" s="3" t="s">
        <v>6159</v>
      </c>
      <c r="S148" s="3" t="s">
        <v>5869</v>
      </c>
      <c r="T148" s="3" t="s">
        <v>5870</v>
      </c>
      <c r="U148" s="3" t="s">
        <v>5870</v>
      </c>
    </row>
    <row r="149" spans="1:21" ht="28.5" customHeight="1">
      <c r="A149" s="5" t="s">
        <v>538</v>
      </c>
      <c r="B149" s="5" t="s">
        <v>11</v>
      </c>
      <c r="C149" s="3" t="s">
        <v>539</v>
      </c>
      <c r="D149" s="6">
        <v>2024</v>
      </c>
      <c r="E149" s="3" t="s">
        <v>540</v>
      </c>
      <c r="F149" s="5" t="s">
        <v>110</v>
      </c>
      <c r="G149" s="10" t="s">
        <v>111</v>
      </c>
      <c r="H149" s="3" t="s">
        <v>5864</v>
      </c>
      <c r="I149" s="3"/>
      <c r="J149" s="3" t="s">
        <v>5902</v>
      </c>
      <c r="K149" s="3" t="s">
        <v>6160</v>
      </c>
      <c r="L149" s="3"/>
      <c r="O149" s="3" t="s">
        <v>5867</v>
      </c>
      <c r="P149" s="12">
        <v>46300</v>
      </c>
      <c r="Q149" s="3"/>
      <c r="R149" s="3" t="s">
        <v>6161</v>
      </c>
      <c r="S149" s="3" t="s">
        <v>5869</v>
      </c>
      <c r="T149" s="3" t="s">
        <v>5870</v>
      </c>
      <c r="U149" s="3" t="s">
        <v>5869</v>
      </c>
    </row>
    <row r="150" spans="1:21" ht="28.5" customHeight="1">
      <c r="A150" s="5" t="s">
        <v>541</v>
      </c>
      <c r="B150" s="5" t="s">
        <v>11</v>
      </c>
      <c r="C150" s="3" t="s">
        <v>145</v>
      </c>
      <c r="D150" s="6">
        <v>2022</v>
      </c>
      <c r="E150" s="3" t="s">
        <v>542</v>
      </c>
      <c r="F150" s="5" t="s">
        <v>110</v>
      </c>
      <c r="G150" s="10" t="s">
        <v>111</v>
      </c>
      <c r="H150" s="3" t="s">
        <v>5864</v>
      </c>
      <c r="I150" s="3"/>
      <c r="J150" s="3" t="s">
        <v>5865</v>
      </c>
      <c r="K150" s="3" t="s">
        <v>6162</v>
      </c>
      <c r="L150" s="3"/>
      <c r="O150" s="3" t="s">
        <v>5867</v>
      </c>
      <c r="P150" s="12">
        <v>46300</v>
      </c>
      <c r="Q150" s="3"/>
      <c r="R150" s="3" t="s">
        <v>6163</v>
      </c>
      <c r="S150" s="3" t="s">
        <v>5869</v>
      </c>
      <c r="T150" s="3" t="s">
        <v>5870</v>
      </c>
      <c r="U150" s="3" t="s">
        <v>5869</v>
      </c>
    </row>
    <row r="151" spans="1:21" ht="28.5" customHeight="1">
      <c r="A151" s="5" t="s">
        <v>543</v>
      </c>
      <c r="B151" s="5" t="s">
        <v>11</v>
      </c>
      <c r="C151" s="3" t="s">
        <v>544</v>
      </c>
      <c r="D151" s="6">
        <v>2021</v>
      </c>
      <c r="E151" s="3" t="s">
        <v>545</v>
      </c>
      <c r="F151" s="5" t="s">
        <v>110</v>
      </c>
      <c r="G151" s="10" t="s">
        <v>111</v>
      </c>
      <c r="H151" s="3" t="s">
        <v>5864</v>
      </c>
      <c r="I151" s="3"/>
      <c r="J151" s="3" t="s">
        <v>5865</v>
      </c>
      <c r="K151" s="3" t="s">
        <v>6164</v>
      </c>
      <c r="L151" s="3"/>
      <c r="O151" s="3" t="s">
        <v>5867</v>
      </c>
      <c r="P151" s="12">
        <v>46300</v>
      </c>
      <c r="Q151" s="3"/>
      <c r="R151" s="3" t="s">
        <v>6165</v>
      </c>
      <c r="S151" s="3" t="s">
        <v>5870</v>
      </c>
      <c r="T151" s="3" t="s">
        <v>5870</v>
      </c>
      <c r="U151" s="3" t="s">
        <v>5869</v>
      </c>
    </row>
    <row r="152" spans="1:21" ht="42.75">
      <c r="A152" s="5" t="s">
        <v>546</v>
      </c>
      <c r="B152" s="5" t="s">
        <v>11</v>
      </c>
      <c r="C152" s="3" t="s">
        <v>547</v>
      </c>
      <c r="D152" s="6">
        <v>2019</v>
      </c>
      <c r="E152" s="3" t="s">
        <v>548</v>
      </c>
      <c r="F152" s="5" t="s">
        <v>110</v>
      </c>
      <c r="G152" s="10" t="s">
        <v>111</v>
      </c>
      <c r="H152" s="3" t="s">
        <v>5864</v>
      </c>
      <c r="I152" s="3"/>
      <c r="J152" s="3" t="s">
        <v>5865</v>
      </c>
      <c r="K152" s="3" t="s">
        <v>6166</v>
      </c>
      <c r="L152" s="3"/>
      <c r="O152" s="3" t="s">
        <v>5867</v>
      </c>
      <c r="P152" s="12">
        <v>46301</v>
      </c>
      <c r="Q152" s="3"/>
      <c r="R152" s="3" t="s">
        <v>6167</v>
      </c>
      <c r="S152" s="3" t="s">
        <v>5869</v>
      </c>
      <c r="T152" s="3" t="s">
        <v>5870</v>
      </c>
      <c r="U152" s="3" t="s">
        <v>5869</v>
      </c>
    </row>
    <row r="153" spans="1:21" ht="28.5" customHeight="1">
      <c r="A153" s="5" t="s">
        <v>549</v>
      </c>
      <c r="B153" s="5" t="s">
        <v>11</v>
      </c>
      <c r="C153" s="3" t="s">
        <v>550</v>
      </c>
      <c r="D153" s="6">
        <v>2024</v>
      </c>
      <c r="E153" s="3" t="s">
        <v>551</v>
      </c>
      <c r="F153" s="5" t="s">
        <v>115</v>
      </c>
      <c r="G153" s="10" t="s">
        <v>111</v>
      </c>
      <c r="H153" s="3" t="s">
        <v>5864</v>
      </c>
      <c r="I153" s="3"/>
      <c r="J153" s="3" t="s">
        <v>5865</v>
      </c>
      <c r="K153" s="3" t="s">
        <v>6168</v>
      </c>
      <c r="L153" s="3"/>
      <c r="O153" s="3" t="s">
        <v>5867</v>
      </c>
      <c r="P153" s="12">
        <v>46301</v>
      </c>
      <c r="Q153" s="3"/>
      <c r="R153" s="3" t="s">
        <v>6169</v>
      </c>
      <c r="S153" s="3" t="s">
        <v>5869</v>
      </c>
      <c r="T153" s="3" t="s">
        <v>5870</v>
      </c>
      <c r="U153" s="3" t="s">
        <v>5869</v>
      </c>
    </row>
    <row r="154" spans="1:21" ht="42.75" customHeight="1">
      <c r="A154" s="5" t="s">
        <v>552</v>
      </c>
      <c r="B154" s="5" t="s">
        <v>11</v>
      </c>
      <c r="C154" s="3" t="s">
        <v>553</v>
      </c>
      <c r="D154" s="6">
        <v>2017</v>
      </c>
      <c r="E154" s="3" t="s">
        <v>554</v>
      </c>
      <c r="F154" s="5" t="s">
        <v>115</v>
      </c>
      <c r="G154" s="10" t="s">
        <v>111</v>
      </c>
      <c r="H154" s="3" t="s">
        <v>5864</v>
      </c>
      <c r="I154" s="3"/>
      <c r="J154" s="3" t="s">
        <v>5865</v>
      </c>
      <c r="K154" s="3" t="s">
        <v>6170</v>
      </c>
      <c r="L154" s="3"/>
      <c r="O154" s="3" t="s">
        <v>5867</v>
      </c>
      <c r="P154" s="12">
        <v>46301</v>
      </c>
      <c r="Q154" s="3"/>
      <c r="R154" s="3" t="s">
        <v>6171</v>
      </c>
      <c r="S154" s="3" t="s">
        <v>5869</v>
      </c>
      <c r="T154" s="3" t="s">
        <v>5870</v>
      </c>
      <c r="U154" s="3" t="s">
        <v>5869</v>
      </c>
    </row>
    <row r="155" spans="1:21" ht="28.5" customHeight="1">
      <c r="A155" s="5" t="s">
        <v>555</v>
      </c>
      <c r="B155" s="5" t="s">
        <v>11</v>
      </c>
      <c r="C155" s="3" t="s">
        <v>556</v>
      </c>
      <c r="D155" s="6">
        <v>2015</v>
      </c>
      <c r="E155" s="3" t="s">
        <v>557</v>
      </c>
      <c r="F155" s="5" t="s">
        <v>110</v>
      </c>
      <c r="G155" s="10" t="s">
        <v>111</v>
      </c>
      <c r="H155" s="3" t="s">
        <v>5864</v>
      </c>
      <c r="I155" s="3"/>
      <c r="J155" s="3" t="s">
        <v>5865</v>
      </c>
      <c r="K155" s="3" t="s">
        <v>6204</v>
      </c>
      <c r="L155" s="3"/>
      <c r="O155" s="3" t="s">
        <v>5867</v>
      </c>
      <c r="P155" s="12">
        <v>46301</v>
      </c>
      <c r="Q155" s="3"/>
      <c r="R155" s="3" t="s">
        <v>6205</v>
      </c>
      <c r="S155" s="3" t="s">
        <v>5869</v>
      </c>
      <c r="T155" s="3" t="s">
        <v>5870</v>
      </c>
      <c r="U155" s="3" t="s">
        <v>5870</v>
      </c>
    </row>
    <row r="156" spans="1:21" ht="42.75" customHeight="1">
      <c r="A156" s="5" t="s">
        <v>558</v>
      </c>
      <c r="B156" s="5" t="s">
        <v>11</v>
      </c>
      <c r="C156" s="3" t="s">
        <v>559</v>
      </c>
      <c r="D156" s="6">
        <v>2024</v>
      </c>
      <c r="E156" s="3" t="s">
        <v>560</v>
      </c>
      <c r="F156" s="5" t="s">
        <v>110</v>
      </c>
      <c r="G156" s="10" t="s">
        <v>111</v>
      </c>
      <c r="H156" s="3" t="s">
        <v>5864</v>
      </c>
      <c r="I156" s="3"/>
      <c r="J156" s="3" t="s">
        <v>5865</v>
      </c>
      <c r="K156" s="3" t="s">
        <v>6172</v>
      </c>
      <c r="L156" s="3"/>
      <c r="O156" s="3" t="s">
        <v>5867</v>
      </c>
      <c r="P156" s="12">
        <v>46301</v>
      </c>
      <c r="Q156" s="3"/>
      <c r="R156" s="3" t="s">
        <v>6173</v>
      </c>
      <c r="S156" s="3" t="s">
        <v>5869</v>
      </c>
      <c r="T156" s="3" t="s">
        <v>5870</v>
      </c>
      <c r="U156" s="3" t="s">
        <v>5869</v>
      </c>
    </row>
    <row r="157" spans="1:21" ht="42.75" customHeight="1">
      <c r="A157" s="5" t="s">
        <v>561</v>
      </c>
      <c r="B157" s="5" t="s">
        <v>11</v>
      </c>
      <c r="C157" s="3" t="s">
        <v>562</v>
      </c>
      <c r="D157" s="6">
        <v>2021</v>
      </c>
      <c r="E157" s="3" t="s">
        <v>563</v>
      </c>
      <c r="F157" s="5" t="s">
        <v>115</v>
      </c>
      <c r="G157" s="10" t="s">
        <v>111</v>
      </c>
      <c r="H157" s="3" t="s">
        <v>5864</v>
      </c>
      <c r="I157" s="3"/>
      <c r="J157" s="3" t="s">
        <v>5879</v>
      </c>
      <c r="K157" s="3" t="s">
        <v>6174</v>
      </c>
      <c r="L157" s="3"/>
      <c r="O157" s="3" t="s">
        <v>5867</v>
      </c>
      <c r="P157" s="12">
        <v>46301</v>
      </c>
      <c r="Q157" s="3"/>
      <c r="R157" s="3" t="s">
        <v>6175</v>
      </c>
      <c r="S157" s="3" t="s">
        <v>5869</v>
      </c>
      <c r="T157" s="3" t="s">
        <v>5870</v>
      </c>
      <c r="U157" s="3" t="s">
        <v>5869</v>
      </c>
    </row>
    <row r="158" spans="1:21" ht="28.5" customHeight="1">
      <c r="A158" s="5" t="s">
        <v>564</v>
      </c>
      <c r="B158" s="5" t="s">
        <v>11</v>
      </c>
      <c r="C158" s="3" t="s">
        <v>565</v>
      </c>
      <c r="D158" s="6">
        <v>2023</v>
      </c>
      <c r="E158" s="3" t="s">
        <v>566</v>
      </c>
      <c r="F158" s="5" t="s">
        <v>110</v>
      </c>
      <c r="G158" s="10" t="s">
        <v>111</v>
      </c>
      <c r="H158" s="3" t="s">
        <v>5864</v>
      </c>
      <c r="I158" s="3"/>
      <c r="J158" s="3" t="s">
        <v>5902</v>
      </c>
      <c r="K158" s="3" t="s">
        <v>6176</v>
      </c>
      <c r="L158" s="3"/>
      <c r="O158" s="3" t="s">
        <v>5867</v>
      </c>
      <c r="P158" s="12">
        <v>46301</v>
      </c>
      <c r="Q158" s="3"/>
      <c r="R158" s="3" t="s">
        <v>6177</v>
      </c>
      <c r="S158" s="3" t="s">
        <v>5869</v>
      </c>
      <c r="T158" s="3" t="s">
        <v>5870</v>
      </c>
      <c r="U158" s="3" t="s">
        <v>5869</v>
      </c>
    </row>
    <row r="159" spans="1:21" ht="42.75" customHeight="1">
      <c r="A159" s="5" t="s">
        <v>567</v>
      </c>
      <c r="B159" s="5" t="s">
        <v>11</v>
      </c>
      <c r="C159" s="3" t="s">
        <v>568</v>
      </c>
      <c r="D159" s="6">
        <v>2016</v>
      </c>
      <c r="E159" s="3" t="s">
        <v>569</v>
      </c>
      <c r="F159" s="5" t="s">
        <v>115</v>
      </c>
      <c r="G159" s="10" t="s">
        <v>111</v>
      </c>
      <c r="H159" s="3" t="s">
        <v>5864</v>
      </c>
      <c r="I159" s="3"/>
      <c r="J159" s="3" t="s">
        <v>5902</v>
      </c>
      <c r="K159" s="3" t="s">
        <v>6178</v>
      </c>
      <c r="L159" s="3"/>
      <c r="O159" s="3" t="s">
        <v>5867</v>
      </c>
      <c r="P159" s="12">
        <v>46301</v>
      </c>
      <c r="Q159" s="3"/>
      <c r="R159" s="3" t="s">
        <v>6179</v>
      </c>
      <c r="S159" s="3" t="s">
        <v>5869</v>
      </c>
      <c r="T159" s="3" t="s">
        <v>5870</v>
      </c>
      <c r="U159" s="3" t="s">
        <v>5869</v>
      </c>
    </row>
    <row r="160" spans="1:21" ht="28.5" customHeight="1">
      <c r="A160" s="5" t="s">
        <v>570</v>
      </c>
      <c r="B160" s="5" t="s">
        <v>11</v>
      </c>
      <c r="C160" s="3" t="s">
        <v>571</v>
      </c>
      <c r="D160" s="6">
        <v>2024</v>
      </c>
      <c r="E160" s="3" t="s">
        <v>572</v>
      </c>
      <c r="F160" s="5" t="s">
        <v>115</v>
      </c>
      <c r="G160" s="10" t="s">
        <v>111</v>
      </c>
      <c r="H160" s="3" t="s">
        <v>5864</v>
      </c>
      <c r="I160" s="3"/>
      <c r="J160" s="3" t="s">
        <v>5874</v>
      </c>
      <c r="K160" s="3" t="s">
        <v>6180</v>
      </c>
      <c r="L160" s="3"/>
      <c r="O160" s="3" t="s">
        <v>5867</v>
      </c>
      <c r="P160" s="12">
        <v>46301</v>
      </c>
      <c r="Q160" s="3"/>
      <c r="R160" s="3" t="s">
        <v>6181</v>
      </c>
      <c r="S160" s="3" t="s">
        <v>5870</v>
      </c>
      <c r="T160" s="3" t="s">
        <v>5870</v>
      </c>
      <c r="U160" s="3" t="s">
        <v>5870</v>
      </c>
    </row>
    <row r="161" spans="1:21" ht="42.75" customHeight="1">
      <c r="A161" s="5" t="s">
        <v>573</v>
      </c>
      <c r="B161" s="5" t="s">
        <v>11</v>
      </c>
      <c r="C161" s="3" t="s">
        <v>574</v>
      </c>
      <c r="D161" s="6">
        <v>2016</v>
      </c>
      <c r="E161" s="3" t="s">
        <v>575</v>
      </c>
      <c r="F161" s="5" t="s">
        <v>115</v>
      </c>
      <c r="G161" s="10" t="s">
        <v>111</v>
      </c>
      <c r="H161" s="3" t="s">
        <v>5864</v>
      </c>
      <c r="I161" s="3"/>
      <c r="J161" s="3" t="s">
        <v>5865</v>
      </c>
      <c r="K161" s="3" t="s">
        <v>6182</v>
      </c>
      <c r="L161" s="3"/>
      <c r="O161" s="3" t="s">
        <v>5867</v>
      </c>
      <c r="P161" s="12">
        <v>46301</v>
      </c>
      <c r="Q161" s="3"/>
      <c r="R161" s="3" t="s">
        <v>6183</v>
      </c>
      <c r="S161" s="3" t="s">
        <v>5869</v>
      </c>
      <c r="T161" s="3" t="s">
        <v>5870</v>
      </c>
      <c r="U161" s="3" t="s">
        <v>5869</v>
      </c>
    </row>
    <row r="162" spans="1:21" ht="42.75" customHeight="1">
      <c r="A162" s="5" t="s">
        <v>576</v>
      </c>
      <c r="B162" s="5" t="s">
        <v>11</v>
      </c>
      <c r="C162" s="3" t="s">
        <v>577</v>
      </c>
      <c r="D162" s="6">
        <v>2022</v>
      </c>
      <c r="E162" s="3" t="s">
        <v>578</v>
      </c>
      <c r="F162" s="5" t="s">
        <v>110</v>
      </c>
      <c r="G162" s="10" t="s">
        <v>111</v>
      </c>
      <c r="H162" s="3" t="s">
        <v>5864</v>
      </c>
      <c r="I162" s="3"/>
      <c r="J162" s="3" t="s">
        <v>5865</v>
      </c>
      <c r="K162" s="3" t="s">
        <v>6184</v>
      </c>
      <c r="L162" s="3"/>
      <c r="O162" s="3" t="s">
        <v>5867</v>
      </c>
      <c r="P162" s="12">
        <v>46301</v>
      </c>
      <c r="Q162" s="3"/>
      <c r="R162" s="3" t="s">
        <v>6185</v>
      </c>
      <c r="S162" s="3" t="s">
        <v>5869</v>
      </c>
      <c r="T162" s="3" t="s">
        <v>5870</v>
      </c>
      <c r="U162" s="3" t="s">
        <v>5869</v>
      </c>
    </row>
    <row r="163" spans="1:21" ht="28.5" customHeight="1">
      <c r="A163" s="5" t="s">
        <v>579</v>
      </c>
      <c r="B163" s="5" t="s">
        <v>11</v>
      </c>
      <c r="C163" s="3" t="s">
        <v>580</v>
      </c>
      <c r="D163" s="6">
        <v>2019</v>
      </c>
      <c r="E163" s="3" t="s">
        <v>581</v>
      </c>
      <c r="F163" s="5" t="s">
        <v>115</v>
      </c>
      <c r="G163" s="10" t="s">
        <v>111</v>
      </c>
      <c r="H163" s="3" t="s">
        <v>5864</v>
      </c>
      <c r="I163" s="3"/>
      <c r="J163" s="3" t="s">
        <v>5865</v>
      </c>
      <c r="K163" s="3" t="s">
        <v>6186</v>
      </c>
      <c r="L163" s="3"/>
      <c r="O163" s="3" t="s">
        <v>5867</v>
      </c>
      <c r="P163" s="12">
        <v>46301</v>
      </c>
      <c r="Q163" s="3"/>
      <c r="R163" s="3" t="s">
        <v>6187</v>
      </c>
      <c r="S163" s="3" t="s">
        <v>5869</v>
      </c>
      <c r="T163" s="3" t="s">
        <v>5870</v>
      </c>
      <c r="U163" s="3" t="s">
        <v>5869</v>
      </c>
    </row>
    <row r="164" spans="1:21" ht="42.75" customHeight="1">
      <c r="A164" s="5" t="s">
        <v>582</v>
      </c>
      <c r="B164" s="5" t="s">
        <v>11</v>
      </c>
      <c r="C164" s="3" t="s">
        <v>583</v>
      </c>
      <c r="D164" s="6">
        <v>2024</v>
      </c>
      <c r="E164" s="3" t="s">
        <v>584</v>
      </c>
      <c r="F164" s="5" t="s">
        <v>110</v>
      </c>
      <c r="G164" s="10" t="s">
        <v>111</v>
      </c>
      <c r="H164" s="3" t="s">
        <v>5864</v>
      </c>
      <c r="I164" s="3"/>
      <c r="J164" s="3" t="s">
        <v>5879</v>
      </c>
      <c r="K164" s="3" t="s">
        <v>6188</v>
      </c>
      <c r="L164" s="3"/>
      <c r="O164" s="3" t="s">
        <v>5867</v>
      </c>
      <c r="P164" s="12">
        <v>46301</v>
      </c>
      <c r="Q164" s="3"/>
      <c r="R164" s="3" t="s">
        <v>6189</v>
      </c>
      <c r="S164" s="3" t="s">
        <v>5869</v>
      </c>
      <c r="T164" s="3" t="s">
        <v>5870</v>
      </c>
      <c r="U164" s="3" t="s">
        <v>5869</v>
      </c>
    </row>
    <row r="165" spans="1:21" ht="57">
      <c r="A165" s="5" t="s">
        <v>585</v>
      </c>
      <c r="B165" s="5" t="s">
        <v>11</v>
      </c>
      <c r="C165" s="3" t="s">
        <v>586</v>
      </c>
      <c r="D165" s="6">
        <v>2024</v>
      </c>
      <c r="E165" s="3" t="s">
        <v>587</v>
      </c>
      <c r="F165" s="5" t="s">
        <v>110</v>
      </c>
      <c r="G165" s="10" t="s">
        <v>111</v>
      </c>
      <c r="H165" s="3" t="s">
        <v>5864</v>
      </c>
      <c r="I165" s="3"/>
      <c r="J165" s="3" t="s">
        <v>5874</v>
      </c>
      <c r="K165" s="3" t="s">
        <v>6190</v>
      </c>
      <c r="L165" s="3"/>
      <c r="O165" s="3" t="s">
        <v>5867</v>
      </c>
      <c r="P165" s="12">
        <v>46301</v>
      </c>
      <c r="Q165" s="3"/>
      <c r="R165" s="3" t="s">
        <v>6191</v>
      </c>
      <c r="S165" s="3" t="s">
        <v>5869</v>
      </c>
      <c r="T165" s="3" t="s">
        <v>5870</v>
      </c>
      <c r="U165" s="3" t="s">
        <v>5869</v>
      </c>
    </row>
    <row r="166" spans="1:21" ht="42.75" customHeight="1">
      <c r="A166" s="5" t="s">
        <v>588</v>
      </c>
      <c r="B166" s="5" t="s">
        <v>11</v>
      </c>
      <c r="C166" s="3" t="s">
        <v>589</v>
      </c>
      <c r="D166" s="6">
        <v>2025</v>
      </c>
      <c r="E166" s="3" t="s">
        <v>590</v>
      </c>
      <c r="F166" s="5" t="s">
        <v>110</v>
      </c>
      <c r="G166" s="10" t="s">
        <v>111</v>
      </c>
      <c r="H166" s="3" t="s">
        <v>5864</v>
      </c>
      <c r="I166" s="3"/>
      <c r="J166" s="3" t="s">
        <v>5865</v>
      </c>
      <c r="K166" s="3" t="s">
        <v>6192</v>
      </c>
      <c r="L166" s="3"/>
      <c r="O166" s="3" t="s">
        <v>5867</v>
      </c>
      <c r="P166" s="12">
        <v>46301</v>
      </c>
      <c r="Q166" s="3"/>
      <c r="R166" s="3" t="s">
        <v>6193</v>
      </c>
      <c r="S166" s="3" t="s">
        <v>5869</v>
      </c>
      <c r="T166" s="3" t="s">
        <v>5870</v>
      </c>
      <c r="U166" s="3" t="s">
        <v>5870</v>
      </c>
    </row>
    <row r="167" spans="1:21" ht="28.5" customHeight="1">
      <c r="A167" s="5" t="s">
        <v>591</v>
      </c>
      <c r="B167" s="5" t="s">
        <v>11</v>
      </c>
      <c r="C167" s="3" t="s">
        <v>592</v>
      </c>
      <c r="D167" s="6">
        <v>2020</v>
      </c>
      <c r="E167" s="3" t="s">
        <v>593</v>
      </c>
      <c r="F167" s="5" t="s">
        <v>110</v>
      </c>
      <c r="G167" s="10" t="s">
        <v>111</v>
      </c>
      <c r="H167" s="3" t="s">
        <v>5864</v>
      </c>
      <c r="I167" s="3"/>
      <c r="J167" s="3" t="s">
        <v>5886</v>
      </c>
      <c r="K167" s="3" t="s">
        <v>6194</v>
      </c>
      <c r="L167" s="3"/>
      <c r="O167" s="3" t="s">
        <v>5867</v>
      </c>
      <c r="P167" s="12">
        <v>46301</v>
      </c>
      <c r="Q167" s="3"/>
      <c r="R167" s="3" t="s">
        <v>6195</v>
      </c>
      <c r="S167" s="3" t="s">
        <v>5869</v>
      </c>
      <c r="T167" s="3" t="s">
        <v>5870</v>
      </c>
      <c r="U167" s="3" t="s">
        <v>5869</v>
      </c>
    </row>
    <row r="168" spans="1:21" ht="57" customHeight="1">
      <c r="A168" s="5" t="s">
        <v>594</v>
      </c>
      <c r="B168" s="5" t="s">
        <v>11</v>
      </c>
      <c r="C168" s="3" t="s">
        <v>595</v>
      </c>
      <c r="D168" s="6">
        <v>2022</v>
      </c>
      <c r="E168" s="3" t="s">
        <v>596</v>
      </c>
      <c r="F168" s="5" t="s">
        <v>110</v>
      </c>
      <c r="G168" s="10" t="s">
        <v>111</v>
      </c>
      <c r="H168" s="3" t="s">
        <v>5864</v>
      </c>
      <c r="I168" s="3"/>
      <c r="J168" s="3" t="s">
        <v>5886</v>
      </c>
      <c r="K168" s="3" t="s">
        <v>6196</v>
      </c>
      <c r="L168" s="3"/>
      <c r="O168" s="3" t="s">
        <v>5867</v>
      </c>
      <c r="P168" s="12">
        <v>46301</v>
      </c>
      <c r="Q168" s="3"/>
      <c r="R168" s="3" t="s">
        <v>6197</v>
      </c>
      <c r="S168" s="3" t="s">
        <v>5869</v>
      </c>
      <c r="T168" s="3" t="s">
        <v>5870</v>
      </c>
      <c r="U168" s="3" t="s">
        <v>5869</v>
      </c>
    </row>
    <row r="169" spans="1:21" ht="28.5" customHeight="1">
      <c r="A169" s="5" t="s">
        <v>597</v>
      </c>
      <c r="B169" s="5" t="s">
        <v>11</v>
      </c>
      <c r="C169" s="3" t="s">
        <v>598</v>
      </c>
      <c r="D169" s="6">
        <v>2025</v>
      </c>
      <c r="E169" s="3" t="s">
        <v>599</v>
      </c>
      <c r="F169" s="5" t="s">
        <v>110</v>
      </c>
      <c r="G169" s="10" t="s">
        <v>111</v>
      </c>
      <c r="H169" s="3" t="s">
        <v>5864</v>
      </c>
      <c r="I169" s="3"/>
      <c r="J169" s="3" t="s">
        <v>5886</v>
      </c>
      <c r="K169" s="3" t="s">
        <v>6198</v>
      </c>
      <c r="L169" s="3"/>
      <c r="O169" s="3" t="s">
        <v>5867</v>
      </c>
      <c r="P169" s="12">
        <v>46301</v>
      </c>
      <c r="Q169" s="3"/>
      <c r="R169" s="3" t="s">
        <v>6199</v>
      </c>
      <c r="S169" s="3" t="s">
        <v>5869</v>
      </c>
      <c r="T169" s="3" t="s">
        <v>5870</v>
      </c>
      <c r="U169" s="3" t="s">
        <v>5869</v>
      </c>
    </row>
    <row r="170" spans="1:21" ht="28.5" customHeight="1">
      <c r="A170" s="5" t="s">
        <v>600</v>
      </c>
      <c r="B170" s="5" t="s">
        <v>11</v>
      </c>
      <c r="C170" s="3" t="s">
        <v>601</v>
      </c>
      <c r="D170" s="6">
        <v>2017</v>
      </c>
      <c r="E170" s="3" t="s">
        <v>602</v>
      </c>
      <c r="F170" s="5" t="s">
        <v>115</v>
      </c>
      <c r="G170" s="10" t="s">
        <v>111</v>
      </c>
      <c r="H170" s="3" t="s">
        <v>5864</v>
      </c>
      <c r="I170" s="3"/>
      <c r="J170" s="3" t="s">
        <v>5865</v>
      </c>
      <c r="K170" s="3" t="s">
        <v>6200</v>
      </c>
      <c r="L170" s="3"/>
      <c r="O170" s="3" t="s">
        <v>5867</v>
      </c>
      <c r="P170" s="12">
        <v>46301</v>
      </c>
      <c r="Q170" s="3"/>
      <c r="R170" s="3" t="s">
        <v>6201</v>
      </c>
      <c r="S170" s="3" t="s">
        <v>5869</v>
      </c>
      <c r="T170" s="3" t="s">
        <v>5870</v>
      </c>
      <c r="U170" s="3" t="s">
        <v>5869</v>
      </c>
    </row>
    <row r="171" spans="1:21" ht="28.5" customHeight="1">
      <c r="A171" s="5" t="s">
        <v>603</v>
      </c>
      <c r="B171" s="5" t="s">
        <v>11</v>
      </c>
      <c r="C171" s="3" t="s">
        <v>604</v>
      </c>
      <c r="D171" s="6">
        <v>2016</v>
      </c>
      <c r="E171" s="3" t="s">
        <v>605</v>
      </c>
      <c r="F171" s="5" t="s">
        <v>110</v>
      </c>
      <c r="G171" s="10" t="s">
        <v>111</v>
      </c>
      <c r="H171" s="3" t="s">
        <v>5864</v>
      </c>
      <c r="I171" s="3"/>
      <c r="J171" s="3" t="s">
        <v>5902</v>
      </c>
      <c r="K171" s="3" t="s">
        <v>6202</v>
      </c>
      <c r="L171" s="3"/>
      <c r="O171" s="3" t="s">
        <v>5867</v>
      </c>
      <c r="P171" s="12">
        <v>46301</v>
      </c>
      <c r="Q171" s="3"/>
      <c r="R171" s="3" t="s">
        <v>6203</v>
      </c>
      <c r="S171" s="3" t="s">
        <v>5869</v>
      </c>
      <c r="T171" s="3" t="s">
        <v>5870</v>
      </c>
      <c r="U171" s="3" t="s">
        <v>5869</v>
      </c>
    </row>
    <row r="172" spans="1:21" ht="28.5" customHeight="1">
      <c r="A172" s="5" t="s">
        <v>606</v>
      </c>
      <c r="B172" s="5" t="s">
        <v>11</v>
      </c>
      <c r="C172" s="3" t="s">
        <v>607</v>
      </c>
      <c r="D172" s="6">
        <v>2024</v>
      </c>
      <c r="E172" s="3" t="s">
        <v>608</v>
      </c>
      <c r="F172" s="5" t="s">
        <v>115</v>
      </c>
      <c r="G172" s="10" t="s">
        <v>111</v>
      </c>
      <c r="H172" s="3" t="s">
        <v>5864</v>
      </c>
      <c r="I172" s="3"/>
      <c r="J172" s="3" t="s">
        <v>5865</v>
      </c>
      <c r="K172" s="3" t="s">
        <v>6206</v>
      </c>
      <c r="L172" s="3"/>
      <c r="O172" s="3" t="s">
        <v>5867</v>
      </c>
      <c r="P172" s="12">
        <v>46301</v>
      </c>
      <c r="Q172" s="3"/>
      <c r="R172" s="3" t="s">
        <v>6207</v>
      </c>
      <c r="S172" s="3" t="s">
        <v>5870</v>
      </c>
      <c r="T172" s="3" t="s">
        <v>5870</v>
      </c>
      <c r="U172" s="3" t="s">
        <v>5870</v>
      </c>
    </row>
    <row r="173" spans="1:21" ht="28.5" customHeight="1">
      <c r="A173" s="5" t="s">
        <v>609</v>
      </c>
      <c r="B173" s="5" t="s">
        <v>11</v>
      </c>
      <c r="C173" s="3" t="s">
        <v>309</v>
      </c>
      <c r="D173" s="6">
        <v>2016</v>
      </c>
      <c r="E173" s="3" t="s">
        <v>610</v>
      </c>
      <c r="F173" s="5" t="s">
        <v>115</v>
      </c>
      <c r="G173" s="10" t="s">
        <v>111</v>
      </c>
      <c r="H173" s="3" t="s">
        <v>5864</v>
      </c>
      <c r="I173" s="3"/>
      <c r="J173" s="3" t="s">
        <v>5902</v>
      </c>
      <c r="K173" s="3" t="s">
        <v>6208</v>
      </c>
      <c r="L173" s="3"/>
      <c r="O173" s="3" t="s">
        <v>5867</v>
      </c>
      <c r="P173" s="12">
        <v>46301</v>
      </c>
      <c r="Q173" s="3"/>
      <c r="R173" s="3" t="s">
        <v>6209</v>
      </c>
      <c r="S173" s="3" t="s">
        <v>5869</v>
      </c>
      <c r="T173" s="3" t="s">
        <v>5870</v>
      </c>
      <c r="U173" s="3" t="s">
        <v>5869</v>
      </c>
    </row>
    <row r="174" spans="1:21" ht="28.5" customHeight="1">
      <c r="A174" s="5" t="s">
        <v>611</v>
      </c>
      <c r="B174" s="5" t="s">
        <v>11</v>
      </c>
      <c r="C174" s="3" t="s">
        <v>612</v>
      </c>
      <c r="D174" s="6">
        <v>2020</v>
      </c>
      <c r="E174" s="3" t="s">
        <v>613</v>
      </c>
      <c r="F174" s="5" t="s">
        <v>115</v>
      </c>
      <c r="G174" s="10" t="s">
        <v>111</v>
      </c>
      <c r="H174" s="3" t="s">
        <v>5864</v>
      </c>
      <c r="I174" s="3"/>
      <c r="J174" s="3" t="s">
        <v>5902</v>
      </c>
      <c r="K174" s="3" t="s">
        <v>6210</v>
      </c>
      <c r="L174" s="3"/>
      <c r="O174" s="3" t="s">
        <v>5867</v>
      </c>
      <c r="P174" s="12">
        <v>46301</v>
      </c>
      <c r="Q174" s="3"/>
      <c r="R174" s="3" t="s">
        <v>6211</v>
      </c>
      <c r="S174" s="3" t="s">
        <v>5869</v>
      </c>
      <c r="T174" s="3" t="s">
        <v>5870</v>
      </c>
      <c r="U174" s="3" t="s">
        <v>5869</v>
      </c>
    </row>
    <row r="175" spans="1:21" ht="28.5" customHeight="1">
      <c r="A175" s="5" t="s">
        <v>614</v>
      </c>
      <c r="B175" s="5" t="s">
        <v>11</v>
      </c>
      <c r="C175" s="3" t="s">
        <v>615</v>
      </c>
      <c r="D175" s="6">
        <v>2024</v>
      </c>
      <c r="E175" s="3" t="s">
        <v>616</v>
      </c>
      <c r="F175" s="5" t="s">
        <v>110</v>
      </c>
      <c r="G175" s="10" t="s">
        <v>111</v>
      </c>
      <c r="H175" s="3" t="s">
        <v>5864</v>
      </c>
      <c r="I175" s="3"/>
      <c r="J175" s="3" t="s">
        <v>5865</v>
      </c>
      <c r="K175" s="3" t="s">
        <v>6212</v>
      </c>
      <c r="L175" s="3"/>
      <c r="O175" s="3" t="s">
        <v>5867</v>
      </c>
      <c r="P175" s="12">
        <v>46301</v>
      </c>
      <c r="Q175" s="3"/>
      <c r="R175" s="3" t="s">
        <v>6213</v>
      </c>
      <c r="S175" s="3" t="s">
        <v>5869</v>
      </c>
      <c r="T175" s="3" t="s">
        <v>5870</v>
      </c>
      <c r="U175" s="3" t="s">
        <v>5869</v>
      </c>
    </row>
    <row r="176" spans="1:21" ht="57" customHeight="1">
      <c r="A176" s="5" t="s">
        <v>617</v>
      </c>
      <c r="B176" s="5" t="s">
        <v>11</v>
      </c>
      <c r="C176" s="3" t="s">
        <v>618</v>
      </c>
      <c r="D176" s="6">
        <v>2020</v>
      </c>
      <c r="E176" s="3" t="s">
        <v>619</v>
      </c>
      <c r="F176" s="5" t="s">
        <v>115</v>
      </c>
      <c r="G176" s="10" t="s">
        <v>111</v>
      </c>
      <c r="H176" s="3" t="s">
        <v>5864</v>
      </c>
      <c r="I176" s="3"/>
      <c r="J176" s="3" t="s">
        <v>5886</v>
      </c>
      <c r="K176" s="3" t="s">
        <v>6214</v>
      </c>
      <c r="L176" s="3"/>
      <c r="O176" s="3" t="s">
        <v>5867</v>
      </c>
      <c r="P176" s="12">
        <v>46301</v>
      </c>
      <c r="Q176" s="3"/>
      <c r="R176" s="3" t="s">
        <v>6215</v>
      </c>
      <c r="S176" s="3" t="s">
        <v>5870</v>
      </c>
      <c r="T176" s="3" t="s">
        <v>5869</v>
      </c>
      <c r="U176" s="3" t="s">
        <v>5870</v>
      </c>
    </row>
    <row r="177" spans="1:21" ht="28.5" customHeight="1">
      <c r="A177" s="5" t="s">
        <v>620</v>
      </c>
      <c r="B177" s="5" t="s">
        <v>11</v>
      </c>
      <c r="C177" s="3" t="s">
        <v>536</v>
      </c>
      <c r="D177" s="6">
        <v>2019</v>
      </c>
      <c r="E177" s="3" t="s">
        <v>621</v>
      </c>
      <c r="F177" s="5" t="s">
        <v>110</v>
      </c>
      <c r="G177" s="10" t="s">
        <v>111</v>
      </c>
      <c r="H177" s="3" t="s">
        <v>5864</v>
      </c>
      <c r="I177" s="3"/>
      <c r="J177" s="3" t="s">
        <v>5902</v>
      </c>
      <c r="K177" s="3" t="s">
        <v>6216</v>
      </c>
      <c r="L177" s="3"/>
      <c r="O177" s="3" t="s">
        <v>5867</v>
      </c>
      <c r="P177" s="12">
        <v>46301</v>
      </c>
      <c r="Q177" s="3"/>
      <c r="R177" s="3" t="s">
        <v>6217</v>
      </c>
      <c r="S177" s="3" t="s">
        <v>5869</v>
      </c>
      <c r="T177" s="3" t="s">
        <v>5870</v>
      </c>
      <c r="U177" s="3" t="s">
        <v>5869</v>
      </c>
    </row>
    <row r="178" spans="1:21" ht="28.5" customHeight="1">
      <c r="A178" s="5" t="s">
        <v>622</v>
      </c>
      <c r="B178" s="5" t="s">
        <v>11</v>
      </c>
      <c r="C178" s="3" t="s">
        <v>623</v>
      </c>
      <c r="D178" s="6">
        <v>2019</v>
      </c>
      <c r="E178" s="3" t="s">
        <v>624</v>
      </c>
      <c r="F178" s="5" t="s">
        <v>110</v>
      </c>
      <c r="G178" s="10" t="s">
        <v>111</v>
      </c>
      <c r="H178" s="3" t="s">
        <v>5864</v>
      </c>
      <c r="I178" s="3"/>
      <c r="J178" s="3" t="s">
        <v>5921</v>
      </c>
      <c r="K178" s="3" t="s">
        <v>6218</v>
      </c>
      <c r="L178" s="3"/>
      <c r="O178" s="3" t="s">
        <v>5867</v>
      </c>
      <c r="P178" s="12">
        <v>46301</v>
      </c>
      <c r="Q178" s="3"/>
      <c r="R178" s="3" t="s">
        <v>6219</v>
      </c>
      <c r="S178" s="3" t="s">
        <v>5869</v>
      </c>
      <c r="T178" s="3" t="s">
        <v>5870</v>
      </c>
      <c r="U178" s="3" t="s">
        <v>5870</v>
      </c>
    </row>
    <row r="179" spans="1:21" ht="28.5" customHeight="1">
      <c r="A179" s="5" t="s">
        <v>625</v>
      </c>
      <c r="B179" s="5" t="s">
        <v>11</v>
      </c>
      <c r="C179" s="3" t="s">
        <v>626</v>
      </c>
      <c r="D179" s="6">
        <v>2019</v>
      </c>
      <c r="E179" s="3" t="s">
        <v>627</v>
      </c>
      <c r="F179" s="5" t="s">
        <v>110</v>
      </c>
      <c r="G179" s="10" t="s">
        <v>111</v>
      </c>
      <c r="H179" s="3" t="s">
        <v>5864</v>
      </c>
      <c r="I179" s="3"/>
      <c r="J179" s="3" t="s">
        <v>5879</v>
      </c>
      <c r="K179" s="3" t="s">
        <v>6220</v>
      </c>
      <c r="L179" s="3"/>
      <c r="O179" s="3" t="s">
        <v>5867</v>
      </c>
      <c r="P179" s="12">
        <v>46301</v>
      </c>
      <c r="Q179" s="3"/>
      <c r="R179" s="3" t="s">
        <v>6221</v>
      </c>
      <c r="S179" s="3" t="s">
        <v>5870</v>
      </c>
      <c r="T179" s="3" t="s">
        <v>5870</v>
      </c>
      <c r="U179" s="3" t="s">
        <v>5870</v>
      </c>
    </row>
    <row r="180" spans="1:21" ht="28.5" customHeight="1">
      <c r="A180" s="5" t="s">
        <v>628</v>
      </c>
      <c r="B180" s="5" t="s">
        <v>11</v>
      </c>
      <c r="C180" s="3" t="s">
        <v>629</v>
      </c>
      <c r="D180" s="6">
        <v>2025</v>
      </c>
      <c r="E180" s="3" t="s">
        <v>630</v>
      </c>
      <c r="F180" s="5" t="s">
        <v>110</v>
      </c>
      <c r="G180" s="10" t="s">
        <v>111</v>
      </c>
      <c r="H180" s="3" t="s">
        <v>5864</v>
      </c>
      <c r="I180" s="3"/>
      <c r="J180" s="3" t="s">
        <v>5886</v>
      </c>
      <c r="K180" s="3" t="s">
        <v>6222</v>
      </c>
      <c r="L180" s="3"/>
      <c r="O180" s="3" t="s">
        <v>5867</v>
      </c>
      <c r="P180" s="12">
        <v>46301</v>
      </c>
      <c r="Q180" s="3"/>
      <c r="R180" s="3" t="s">
        <v>6223</v>
      </c>
      <c r="S180" s="3" t="s">
        <v>5869</v>
      </c>
      <c r="T180" s="3" t="s">
        <v>5870</v>
      </c>
      <c r="U180" s="3" t="s">
        <v>5870</v>
      </c>
    </row>
    <row r="181" spans="1:21" ht="42.75" customHeight="1">
      <c r="A181" s="5" t="s">
        <v>631</v>
      </c>
      <c r="B181" s="5" t="s">
        <v>11</v>
      </c>
      <c r="C181" s="3" t="s">
        <v>632</v>
      </c>
      <c r="D181" s="6">
        <v>2023</v>
      </c>
      <c r="E181" s="3" t="s">
        <v>633</v>
      </c>
      <c r="F181" s="5" t="s">
        <v>110</v>
      </c>
      <c r="G181" s="10" t="s">
        <v>111</v>
      </c>
      <c r="H181" s="3" t="s">
        <v>5864</v>
      </c>
      <c r="I181" s="3"/>
      <c r="J181" s="3" t="s">
        <v>5865</v>
      </c>
      <c r="K181" s="3" t="s">
        <v>6224</v>
      </c>
      <c r="L181" s="3"/>
      <c r="O181" s="3" t="s">
        <v>5867</v>
      </c>
      <c r="P181" s="12">
        <v>46301</v>
      </c>
      <c r="Q181" s="3"/>
      <c r="R181" s="3" t="s">
        <v>6225</v>
      </c>
      <c r="S181" s="3" t="s">
        <v>5870</v>
      </c>
      <c r="T181" s="3" t="s">
        <v>5870</v>
      </c>
      <c r="U181" s="3" t="s">
        <v>5870</v>
      </c>
    </row>
    <row r="182" spans="1:21" ht="42.75" customHeight="1">
      <c r="A182" s="5" t="s">
        <v>634</v>
      </c>
      <c r="B182" s="5" t="s">
        <v>11</v>
      </c>
      <c r="C182" s="3" t="s">
        <v>635</v>
      </c>
      <c r="D182" s="6">
        <v>2024</v>
      </c>
      <c r="E182" s="3" t="s">
        <v>636</v>
      </c>
      <c r="F182" s="5" t="s">
        <v>110</v>
      </c>
      <c r="G182" s="10" t="s">
        <v>111</v>
      </c>
      <c r="H182" s="3" t="s">
        <v>5864</v>
      </c>
      <c r="I182" s="3"/>
      <c r="J182" s="3" t="s">
        <v>5902</v>
      </c>
      <c r="K182" s="3" t="s">
        <v>6226</v>
      </c>
      <c r="L182" s="3"/>
      <c r="O182" s="3" t="s">
        <v>5867</v>
      </c>
      <c r="P182" s="12">
        <v>46301</v>
      </c>
      <c r="Q182" s="3"/>
      <c r="R182" s="3" t="s">
        <v>6227</v>
      </c>
      <c r="S182" s="3" t="s">
        <v>5869</v>
      </c>
      <c r="T182" s="3" t="s">
        <v>5870</v>
      </c>
      <c r="U182" s="3" t="s">
        <v>5870</v>
      </c>
    </row>
    <row r="183" spans="1:21" ht="28.5" customHeight="1">
      <c r="A183" s="5" t="s">
        <v>637</v>
      </c>
      <c r="B183" s="5" t="s">
        <v>11</v>
      </c>
      <c r="C183" s="3" t="s">
        <v>638</v>
      </c>
      <c r="D183" s="6">
        <v>2024</v>
      </c>
      <c r="E183" s="3" t="s">
        <v>639</v>
      </c>
      <c r="F183" s="5" t="s">
        <v>110</v>
      </c>
      <c r="G183" s="10" t="s">
        <v>111</v>
      </c>
      <c r="H183" s="3" t="s">
        <v>5864</v>
      </c>
      <c r="I183" s="3"/>
      <c r="J183" s="3" t="s">
        <v>5865</v>
      </c>
      <c r="K183" s="3" t="s">
        <v>6228</v>
      </c>
      <c r="L183" s="3"/>
      <c r="O183" s="3" t="s">
        <v>5867</v>
      </c>
      <c r="P183" s="12">
        <v>46301</v>
      </c>
      <c r="Q183" s="3"/>
      <c r="R183" s="3" t="s">
        <v>6229</v>
      </c>
      <c r="S183" s="3" t="s">
        <v>5870</v>
      </c>
      <c r="T183" s="3" t="s">
        <v>5870</v>
      </c>
      <c r="U183" s="3" t="s">
        <v>5870</v>
      </c>
    </row>
    <row r="184" spans="1:21" ht="28.5" customHeight="1">
      <c r="A184" s="5" t="s">
        <v>640</v>
      </c>
      <c r="B184" s="5" t="s">
        <v>11</v>
      </c>
      <c r="C184" s="3" t="s">
        <v>641</v>
      </c>
      <c r="D184" s="6">
        <v>2025</v>
      </c>
      <c r="E184" s="3" t="s">
        <v>642</v>
      </c>
      <c r="F184" s="5" t="s">
        <v>115</v>
      </c>
      <c r="G184" s="10" t="s">
        <v>111</v>
      </c>
      <c r="H184" s="3" t="s">
        <v>5864</v>
      </c>
      <c r="I184" s="3"/>
      <c r="J184" s="3" t="s">
        <v>5886</v>
      </c>
      <c r="K184" s="3" t="s">
        <v>6230</v>
      </c>
      <c r="L184" s="3"/>
      <c r="O184" s="3" t="s">
        <v>5867</v>
      </c>
      <c r="P184" s="12">
        <v>46301</v>
      </c>
      <c r="Q184" s="3"/>
      <c r="R184" s="3" t="s">
        <v>6231</v>
      </c>
      <c r="S184" s="3" t="s">
        <v>5870</v>
      </c>
      <c r="T184" s="3" t="s">
        <v>5869</v>
      </c>
      <c r="U184" s="3" t="s">
        <v>5870</v>
      </c>
    </row>
    <row r="185" spans="1:21" ht="57" customHeight="1">
      <c r="A185" s="5" t="s">
        <v>643</v>
      </c>
      <c r="B185" s="5" t="s">
        <v>11</v>
      </c>
      <c r="C185" s="3" t="s">
        <v>644</v>
      </c>
      <c r="D185" s="6">
        <v>2024</v>
      </c>
      <c r="E185" s="3" t="s">
        <v>645</v>
      </c>
      <c r="F185" s="5" t="s">
        <v>110</v>
      </c>
      <c r="G185" s="10" t="s">
        <v>111</v>
      </c>
      <c r="H185" s="3" t="s">
        <v>5864</v>
      </c>
      <c r="I185" s="3"/>
      <c r="J185" s="3" t="s">
        <v>5865</v>
      </c>
      <c r="K185" s="3" t="s">
        <v>6232</v>
      </c>
      <c r="L185" s="3"/>
      <c r="O185" s="3" t="s">
        <v>5867</v>
      </c>
      <c r="P185" s="12">
        <v>46301</v>
      </c>
      <c r="Q185" s="3"/>
      <c r="R185" s="3" t="s">
        <v>6233</v>
      </c>
      <c r="S185" s="3" t="s">
        <v>5869</v>
      </c>
      <c r="T185" s="3" t="s">
        <v>5870</v>
      </c>
      <c r="U185" s="3" t="s">
        <v>5869</v>
      </c>
    </row>
    <row r="186" spans="1:21" ht="42.75" customHeight="1">
      <c r="A186" s="5" t="s">
        <v>646</v>
      </c>
      <c r="B186" s="5" t="s">
        <v>11</v>
      </c>
      <c r="C186" s="3" t="s">
        <v>647</v>
      </c>
      <c r="D186" s="6">
        <v>2025</v>
      </c>
      <c r="E186" s="3" t="s">
        <v>648</v>
      </c>
      <c r="F186" s="5" t="s">
        <v>110</v>
      </c>
      <c r="G186" s="10" t="s">
        <v>111</v>
      </c>
      <c r="H186" s="3" t="s">
        <v>5864</v>
      </c>
      <c r="I186" s="3"/>
      <c r="J186" s="3" t="s">
        <v>5865</v>
      </c>
      <c r="K186" s="3" t="s">
        <v>6234</v>
      </c>
      <c r="L186" s="3"/>
      <c r="O186" s="3" t="s">
        <v>5867</v>
      </c>
      <c r="P186" s="12">
        <v>46301</v>
      </c>
      <c r="Q186" s="3"/>
      <c r="R186" s="3" t="s">
        <v>6235</v>
      </c>
      <c r="S186" s="3" t="s">
        <v>5869</v>
      </c>
      <c r="T186" s="3" t="s">
        <v>5870</v>
      </c>
      <c r="U186" s="3" t="s">
        <v>5870</v>
      </c>
    </row>
    <row r="187" spans="1:21" ht="57" customHeight="1">
      <c r="A187" s="5" t="s">
        <v>649</v>
      </c>
      <c r="B187" s="5" t="s">
        <v>11</v>
      </c>
      <c r="C187" s="3" t="s">
        <v>650</v>
      </c>
      <c r="D187" s="6">
        <v>2018</v>
      </c>
      <c r="E187" s="3" t="s">
        <v>651</v>
      </c>
      <c r="F187" s="5" t="s">
        <v>110</v>
      </c>
      <c r="G187" s="10" t="s">
        <v>111</v>
      </c>
      <c r="H187" s="3" t="s">
        <v>5864</v>
      </c>
      <c r="I187" s="3"/>
      <c r="J187" s="3" t="s">
        <v>5886</v>
      </c>
      <c r="K187" s="3" t="s">
        <v>6236</v>
      </c>
      <c r="L187" s="3"/>
      <c r="O187" s="3" t="s">
        <v>5867</v>
      </c>
      <c r="P187" s="12">
        <v>46301</v>
      </c>
      <c r="Q187" s="3"/>
      <c r="R187" s="3" t="s">
        <v>6237</v>
      </c>
      <c r="S187" s="3" t="s">
        <v>5870</v>
      </c>
      <c r="T187" s="3" t="s">
        <v>5870</v>
      </c>
      <c r="U187" s="3" t="s">
        <v>5870</v>
      </c>
    </row>
    <row r="188" spans="1:21" ht="28.5" customHeight="1">
      <c r="A188" s="5" t="s">
        <v>652</v>
      </c>
      <c r="B188" s="5" t="s">
        <v>11</v>
      </c>
      <c r="C188" s="3" t="s">
        <v>653</v>
      </c>
      <c r="D188" s="6">
        <v>2025</v>
      </c>
      <c r="E188" s="3" t="s">
        <v>654</v>
      </c>
      <c r="F188" s="5" t="s">
        <v>110</v>
      </c>
      <c r="G188" s="10" t="s">
        <v>111</v>
      </c>
      <c r="H188" s="3" t="s">
        <v>5864</v>
      </c>
      <c r="I188" s="3"/>
      <c r="J188" s="3" t="s">
        <v>5865</v>
      </c>
      <c r="K188" s="3" t="s">
        <v>6238</v>
      </c>
      <c r="L188" s="3"/>
      <c r="O188" s="3" t="s">
        <v>5867</v>
      </c>
      <c r="P188" s="12">
        <v>46301</v>
      </c>
      <c r="Q188" s="3"/>
      <c r="R188" s="3" t="s">
        <v>6239</v>
      </c>
      <c r="S188" s="3" t="s">
        <v>5869</v>
      </c>
      <c r="T188" s="3" t="s">
        <v>5870</v>
      </c>
      <c r="U188" s="3" t="s">
        <v>5870</v>
      </c>
    </row>
    <row r="189" spans="1:21" ht="57" customHeight="1">
      <c r="A189" s="5" t="s">
        <v>655</v>
      </c>
      <c r="B189" s="5" t="s">
        <v>11</v>
      </c>
      <c r="C189" s="3" t="s">
        <v>656</v>
      </c>
      <c r="D189" s="6">
        <v>2020</v>
      </c>
      <c r="E189" s="3" t="s">
        <v>657</v>
      </c>
      <c r="F189" s="5" t="s">
        <v>110</v>
      </c>
      <c r="G189" s="10" t="s">
        <v>111</v>
      </c>
      <c r="H189" s="3" t="s">
        <v>5864</v>
      </c>
      <c r="I189" s="3"/>
      <c r="J189" s="3" t="s">
        <v>5865</v>
      </c>
      <c r="K189" s="3" t="s">
        <v>6240</v>
      </c>
      <c r="L189" s="3"/>
      <c r="O189" s="3" t="s">
        <v>5867</v>
      </c>
      <c r="P189" s="12">
        <v>46301</v>
      </c>
      <c r="Q189" s="3"/>
      <c r="R189" s="3" t="s">
        <v>6241</v>
      </c>
      <c r="S189" s="3" t="s">
        <v>5870</v>
      </c>
      <c r="T189" s="3" t="s">
        <v>5870</v>
      </c>
      <c r="U189" s="3" t="s">
        <v>5870</v>
      </c>
    </row>
    <row r="190" spans="1:21" ht="42.75" customHeight="1">
      <c r="A190" s="5" t="s">
        <v>658</v>
      </c>
      <c r="B190" s="5" t="s">
        <v>11</v>
      </c>
      <c r="C190" s="3" t="s">
        <v>629</v>
      </c>
      <c r="D190" s="6">
        <v>2024</v>
      </c>
      <c r="E190" s="3" t="s">
        <v>659</v>
      </c>
      <c r="F190" s="5" t="s">
        <v>115</v>
      </c>
      <c r="G190" s="10" t="s">
        <v>111</v>
      </c>
      <c r="H190" s="3" t="s">
        <v>5864</v>
      </c>
      <c r="I190" s="3"/>
      <c r="J190" s="3" t="s">
        <v>5865</v>
      </c>
      <c r="K190" s="3" t="s">
        <v>6281</v>
      </c>
      <c r="L190" s="3"/>
      <c r="O190" s="3" t="s">
        <v>5867</v>
      </c>
      <c r="P190" s="12">
        <v>46303</v>
      </c>
      <c r="Q190" s="3"/>
      <c r="R190" s="3" t="s">
        <v>6282</v>
      </c>
      <c r="S190" s="3" t="s">
        <v>5870</v>
      </c>
      <c r="T190" s="3" t="s">
        <v>5870</v>
      </c>
      <c r="U190" s="3" t="s">
        <v>5870</v>
      </c>
    </row>
    <row r="191" spans="1:21" ht="28.5" customHeight="1">
      <c r="A191" s="5" t="s">
        <v>660</v>
      </c>
      <c r="B191" s="5" t="s">
        <v>11</v>
      </c>
      <c r="C191" s="3" t="s">
        <v>661</v>
      </c>
      <c r="D191" s="6">
        <v>2019</v>
      </c>
      <c r="E191" s="3" t="s">
        <v>662</v>
      </c>
      <c r="F191" s="5" t="s">
        <v>110</v>
      </c>
      <c r="G191" s="10" t="s">
        <v>111</v>
      </c>
      <c r="H191" s="3" t="s">
        <v>5864</v>
      </c>
      <c r="I191" s="3"/>
      <c r="J191" s="3" t="s">
        <v>5865</v>
      </c>
      <c r="K191" s="3" t="s">
        <v>6242</v>
      </c>
      <c r="L191" s="3"/>
      <c r="O191" s="3" t="s">
        <v>5867</v>
      </c>
      <c r="P191" s="12">
        <v>46301</v>
      </c>
      <c r="Q191" s="3"/>
      <c r="R191" s="3" t="s">
        <v>6243</v>
      </c>
      <c r="S191" s="3" t="s">
        <v>5869</v>
      </c>
      <c r="T191" s="3" t="s">
        <v>5870</v>
      </c>
      <c r="U191" s="3" t="s">
        <v>5870</v>
      </c>
    </row>
    <row r="192" spans="1:21" ht="42.75" customHeight="1">
      <c r="A192" s="5" t="s">
        <v>663</v>
      </c>
      <c r="B192" s="5" t="s">
        <v>11</v>
      </c>
      <c r="C192" s="3" t="s">
        <v>664</v>
      </c>
      <c r="D192" s="6">
        <v>2025</v>
      </c>
      <c r="E192" s="3" t="s">
        <v>665</v>
      </c>
      <c r="F192" s="5" t="s">
        <v>110</v>
      </c>
      <c r="G192" s="10" t="s">
        <v>111</v>
      </c>
      <c r="H192" s="3" t="s">
        <v>5864</v>
      </c>
      <c r="I192" s="3"/>
      <c r="J192" s="3" t="s">
        <v>5865</v>
      </c>
      <c r="K192" s="3" t="s">
        <v>6244</v>
      </c>
      <c r="L192" s="3"/>
      <c r="O192" s="3" t="s">
        <v>5867</v>
      </c>
      <c r="P192" s="12">
        <v>46301</v>
      </c>
      <c r="Q192" s="3"/>
      <c r="R192" s="3" t="s">
        <v>6245</v>
      </c>
      <c r="S192" s="3" t="s">
        <v>5869</v>
      </c>
      <c r="T192" s="3" t="s">
        <v>5870</v>
      </c>
      <c r="U192" s="3" t="s">
        <v>5869</v>
      </c>
    </row>
    <row r="193" spans="1:21" ht="28.5" customHeight="1">
      <c r="A193" s="5" t="s">
        <v>666</v>
      </c>
      <c r="B193" s="5" t="s">
        <v>11</v>
      </c>
      <c r="C193" s="3" t="s">
        <v>667</v>
      </c>
      <c r="D193" s="6">
        <v>2017</v>
      </c>
      <c r="E193" s="3" t="s">
        <v>668</v>
      </c>
      <c r="F193" s="5" t="s">
        <v>115</v>
      </c>
      <c r="G193" s="10" t="s">
        <v>111</v>
      </c>
      <c r="H193" s="3" t="s">
        <v>5864</v>
      </c>
      <c r="I193" s="3"/>
      <c r="J193" s="3" t="s">
        <v>5902</v>
      </c>
      <c r="K193" s="3" t="s">
        <v>6246</v>
      </c>
      <c r="L193" s="3"/>
      <c r="O193" s="3" t="s">
        <v>5867</v>
      </c>
      <c r="P193" s="12">
        <v>46301</v>
      </c>
      <c r="Q193" s="3"/>
      <c r="R193" s="3" t="s">
        <v>6247</v>
      </c>
      <c r="S193" s="3" t="s">
        <v>5869</v>
      </c>
      <c r="T193" s="3" t="s">
        <v>5870</v>
      </c>
      <c r="U193" s="3" t="s">
        <v>5870</v>
      </c>
    </row>
    <row r="194" spans="1:21" ht="42.75" customHeight="1">
      <c r="A194" s="5" t="s">
        <v>669</v>
      </c>
      <c r="B194" s="5" t="s">
        <v>11</v>
      </c>
      <c r="C194" s="3" t="s">
        <v>670</v>
      </c>
      <c r="D194" s="6">
        <v>2021</v>
      </c>
      <c r="E194" s="3" t="s">
        <v>671</v>
      </c>
      <c r="F194" s="5" t="s">
        <v>115</v>
      </c>
      <c r="G194" s="10" t="s">
        <v>111</v>
      </c>
      <c r="H194" s="3" t="s">
        <v>5864</v>
      </c>
      <c r="I194" s="3"/>
      <c r="J194" s="3" t="s">
        <v>5865</v>
      </c>
      <c r="K194" s="3" t="s">
        <v>6248</v>
      </c>
      <c r="L194" s="3"/>
      <c r="O194" s="3" t="s">
        <v>5867</v>
      </c>
      <c r="P194" s="12">
        <v>46301</v>
      </c>
      <c r="Q194" s="3"/>
      <c r="R194" s="3" t="s">
        <v>6249</v>
      </c>
      <c r="S194" s="3" t="s">
        <v>5869</v>
      </c>
      <c r="T194" s="3" t="s">
        <v>5870</v>
      </c>
      <c r="U194" s="3" t="s">
        <v>5869</v>
      </c>
    </row>
    <row r="195" spans="1:21">
      <c r="A195" s="5" t="s">
        <v>672</v>
      </c>
      <c r="B195" s="5" t="s">
        <v>11</v>
      </c>
      <c r="C195" s="3" t="s">
        <v>673</v>
      </c>
      <c r="D195" s="6">
        <v>2022</v>
      </c>
      <c r="E195" s="3" t="s">
        <v>674</v>
      </c>
      <c r="F195" s="5" t="s">
        <v>115</v>
      </c>
      <c r="G195" s="10" t="s">
        <v>111</v>
      </c>
      <c r="H195" s="3" t="s">
        <v>5871</v>
      </c>
      <c r="I195" s="3" t="s">
        <v>5743</v>
      </c>
      <c r="J195" s="3"/>
      <c r="K195" s="3"/>
      <c r="L195" s="3"/>
      <c r="O195" s="3" t="s">
        <v>6289</v>
      </c>
      <c r="P195" s="12">
        <v>46303</v>
      </c>
      <c r="Q195" s="3"/>
      <c r="R195" s="3"/>
      <c r="S195" s="3"/>
      <c r="T195" s="3"/>
      <c r="U195" s="3"/>
    </row>
    <row r="196" spans="1:21" ht="28.5" customHeight="1">
      <c r="A196" s="5" t="s">
        <v>675</v>
      </c>
      <c r="B196" s="5" t="s">
        <v>11</v>
      </c>
      <c r="C196" s="3" t="s">
        <v>676</v>
      </c>
      <c r="D196" s="6">
        <v>2021</v>
      </c>
      <c r="E196" s="3" t="s">
        <v>677</v>
      </c>
      <c r="F196" s="5" t="s">
        <v>110</v>
      </c>
      <c r="G196" s="10" t="s">
        <v>111</v>
      </c>
      <c r="H196" s="3" t="s">
        <v>5864</v>
      </c>
      <c r="I196" s="3"/>
      <c r="J196" s="3" t="s">
        <v>5886</v>
      </c>
      <c r="K196" s="3" t="s">
        <v>6250</v>
      </c>
      <c r="L196" s="3"/>
      <c r="O196" s="3" t="s">
        <v>5867</v>
      </c>
      <c r="P196" s="12">
        <v>46301</v>
      </c>
      <c r="Q196" s="3"/>
      <c r="R196" s="3" t="s">
        <v>6251</v>
      </c>
      <c r="S196" s="3" t="s">
        <v>5869</v>
      </c>
      <c r="T196" s="3" t="s">
        <v>5870</v>
      </c>
      <c r="U196" s="3" t="s">
        <v>5869</v>
      </c>
    </row>
    <row r="197" spans="1:21" ht="57" customHeight="1">
      <c r="A197" s="5" t="s">
        <v>678</v>
      </c>
      <c r="B197" s="5" t="s">
        <v>11</v>
      </c>
      <c r="C197" s="3" t="s">
        <v>679</v>
      </c>
      <c r="D197" s="6">
        <v>2022</v>
      </c>
      <c r="E197" s="3" t="s">
        <v>680</v>
      </c>
      <c r="F197" s="5" t="s">
        <v>110</v>
      </c>
      <c r="G197" s="10" t="s">
        <v>111</v>
      </c>
      <c r="H197" s="3" t="s">
        <v>5864</v>
      </c>
      <c r="I197" s="3"/>
      <c r="J197" s="3" t="s">
        <v>5865</v>
      </c>
      <c r="K197" s="3" t="s">
        <v>6252</v>
      </c>
      <c r="L197" s="3"/>
      <c r="O197" s="3" t="s">
        <v>5867</v>
      </c>
      <c r="P197" s="12">
        <v>46301</v>
      </c>
      <c r="Q197" s="3"/>
      <c r="R197" s="3" t="s">
        <v>6253</v>
      </c>
      <c r="S197" s="3" t="s">
        <v>5869</v>
      </c>
      <c r="T197" s="3" t="s">
        <v>5870</v>
      </c>
      <c r="U197" s="3" t="s">
        <v>5870</v>
      </c>
    </row>
    <row r="198" spans="1:21" ht="28.5" customHeight="1">
      <c r="A198" s="5" t="s">
        <v>681</v>
      </c>
      <c r="B198" s="5" t="s">
        <v>11</v>
      </c>
      <c r="C198" s="3" t="s">
        <v>682</v>
      </c>
      <c r="D198" s="6">
        <v>2022</v>
      </c>
      <c r="E198" s="3" t="s">
        <v>683</v>
      </c>
      <c r="F198" s="5" t="s">
        <v>115</v>
      </c>
      <c r="G198" s="10" t="s">
        <v>111</v>
      </c>
      <c r="H198" s="3" t="s">
        <v>5864</v>
      </c>
      <c r="I198" s="3"/>
      <c r="J198" s="3" t="s">
        <v>5879</v>
      </c>
      <c r="K198" s="3" t="s">
        <v>6254</v>
      </c>
      <c r="L198" s="3"/>
      <c r="O198" s="3" t="s">
        <v>5867</v>
      </c>
      <c r="P198" s="12">
        <v>46301</v>
      </c>
      <c r="Q198" s="3"/>
      <c r="R198" s="3" t="s">
        <v>6255</v>
      </c>
      <c r="S198" s="3" t="s">
        <v>5870</v>
      </c>
      <c r="T198" s="3" t="s">
        <v>5870</v>
      </c>
      <c r="U198" s="3" t="s">
        <v>5870</v>
      </c>
    </row>
    <row r="199" spans="1:21" ht="42.75" customHeight="1">
      <c r="A199" s="5" t="s">
        <v>684</v>
      </c>
      <c r="B199" s="5" t="s">
        <v>11</v>
      </c>
      <c r="C199" s="3" t="s">
        <v>685</v>
      </c>
      <c r="D199" s="6">
        <v>2022</v>
      </c>
      <c r="E199" s="3" t="s">
        <v>686</v>
      </c>
      <c r="F199" s="5" t="s">
        <v>110</v>
      </c>
      <c r="G199" s="10" t="s">
        <v>111</v>
      </c>
      <c r="H199" s="3" t="s">
        <v>5864</v>
      </c>
      <c r="I199" s="3"/>
      <c r="J199" s="3" t="s">
        <v>5865</v>
      </c>
      <c r="K199" s="3" t="s">
        <v>6256</v>
      </c>
      <c r="L199" s="3"/>
      <c r="O199" s="3" t="s">
        <v>5867</v>
      </c>
      <c r="P199" s="12">
        <v>46301</v>
      </c>
      <c r="Q199" s="3"/>
      <c r="R199" s="3" t="s">
        <v>6257</v>
      </c>
      <c r="S199" s="3" t="s">
        <v>5869</v>
      </c>
      <c r="T199" s="3" t="s">
        <v>5870</v>
      </c>
      <c r="U199" s="3" t="s">
        <v>5869</v>
      </c>
    </row>
    <row r="200" spans="1:21" ht="28.5" customHeight="1">
      <c r="A200" s="5" t="s">
        <v>687</v>
      </c>
      <c r="B200" s="5" t="s">
        <v>11</v>
      </c>
      <c r="C200" s="3" t="s">
        <v>688</v>
      </c>
      <c r="D200" s="6">
        <v>2023</v>
      </c>
      <c r="E200" s="3" t="s">
        <v>689</v>
      </c>
      <c r="F200" s="5" t="s">
        <v>115</v>
      </c>
      <c r="G200" s="10" t="s">
        <v>111</v>
      </c>
      <c r="H200" s="3" t="s">
        <v>5864</v>
      </c>
      <c r="I200" s="3"/>
      <c r="J200" s="3" t="s">
        <v>5902</v>
      </c>
      <c r="K200" s="3" t="s">
        <v>6258</v>
      </c>
      <c r="L200" s="3"/>
      <c r="O200" s="3" t="s">
        <v>5867</v>
      </c>
      <c r="P200" s="12">
        <v>46301</v>
      </c>
      <c r="Q200" s="3"/>
      <c r="R200" s="3" t="s">
        <v>6259</v>
      </c>
      <c r="S200" s="3" t="s">
        <v>5869</v>
      </c>
      <c r="T200" s="3" t="s">
        <v>5870</v>
      </c>
      <c r="U200" s="3" t="s">
        <v>5869</v>
      </c>
    </row>
    <row r="201" spans="1:21" ht="28.5" customHeight="1">
      <c r="A201" s="5" t="s">
        <v>690</v>
      </c>
      <c r="B201" s="5" t="s">
        <v>11</v>
      </c>
      <c r="C201" s="3" t="s">
        <v>691</v>
      </c>
      <c r="D201" s="6">
        <v>2021</v>
      </c>
      <c r="E201" s="3" t="s">
        <v>692</v>
      </c>
      <c r="F201" s="5" t="s">
        <v>110</v>
      </c>
      <c r="G201" s="10" t="s">
        <v>111</v>
      </c>
      <c r="H201" s="3" t="s">
        <v>5864</v>
      </c>
      <c r="I201" s="3"/>
      <c r="J201" s="3" t="s">
        <v>5874</v>
      </c>
      <c r="K201" s="3" t="s">
        <v>6260</v>
      </c>
      <c r="L201" s="3"/>
      <c r="O201" s="3" t="s">
        <v>5867</v>
      </c>
      <c r="P201" s="12">
        <v>46301</v>
      </c>
      <c r="Q201" s="3"/>
      <c r="R201" s="3" t="s">
        <v>6261</v>
      </c>
      <c r="S201" s="3" t="s">
        <v>5870</v>
      </c>
      <c r="T201" s="3" t="s">
        <v>5870</v>
      </c>
      <c r="U201" s="3" t="s">
        <v>5870</v>
      </c>
    </row>
    <row r="202" spans="1:21" ht="42.75" customHeight="1">
      <c r="A202" s="5" t="s">
        <v>693</v>
      </c>
      <c r="B202" s="5" t="s">
        <v>11</v>
      </c>
      <c r="C202" s="3" t="s">
        <v>694</v>
      </c>
      <c r="D202" s="6">
        <v>2025</v>
      </c>
      <c r="E202" s="3" t="s">
        <v>695</v>
      </c>
      <c r="F202" s="5" t="s">
        <v>110</v>
      </c>
      <c r="G202" s="10" t="s">
        <v>111</v>
      </c>
      <c r="H202" s="3" t="s">
        <v>5864</v>
      </c>
      <c r="I202" s="3"/>
      <c r="J202" s="3" t="s">
        <v>5865</v>
      </c>
      <c r="K202" s="3" t="s">
        <v>6262</v>
      </c>
      <c r="L202" s="3"/>
      <c r="O202" s="3" t="s">
        <v>5867</v>
      </c>
      <c r="P202" s="12">
        <v>46301</v>
      </c>
      <c r="Q202" s="3"/>
      <c r="R202" s="3" t="s">
        <v>6263</v>
      </c>
      <c r="S202" s="3" t="s">
        <v>5870</v>
      </c>
      <c r="T202" s="3" t="s">
        <v>5870</v>
      </c>
      <c r="U202" s="3" t="s">
        <v>5870</v>
      </c>
    </row>
    <row r="203" spans="1:21" ht="28.5" customHeight="1">
      <c r="A203" s="5" t="s">
        <v>696</v>
      </c>
      <c r="B203" s="5" t="s">
        <v>11</v>
      </c>
      <c r="C203" s="3" t="s">
        <v>697</v>
      </c>
      <c r="D203" s="6">
        <v>2021</v>
      </c>
      <c r="E203" s="3" t="s">
        <v>698</v>
      </c>
      <c r="F203" s="5" t="s">
        <v>110</v>
      </c>
      <c r="G203" s="10" t="s">
        <v>111</v>
      </c>
      <c r="H203" s="3" t="s">
        <v>5864</v>
      </c>
      <c r="I203" s="3"/>
      <c r="J203" s="3" t="s">
        <v>5865</v>
      </c>
      <c r="K203" s="3" t="s">
        <v>6264</v>
      </c>
      <c r="L203" s="3"/>
      <c r="O203" s="3" t="s">
        <v>5867</v>
      </c>
      <c r="P203" s="12">
        <v>46301</v>
      </c>
      <c r="Q203" s="3"/>
      <c r="R203" s="3" t="s">
        <v>6265</v>
      </c>
      <c r="S203" s="3" t="s">
        <v>5869</v>
      </c>
      <c r="T203" s="3" t="s">
        <v>5870</v>
      </c>
      <c r="U203" s="3" t="s">
        <v>5870</v>
      </c>
    </row>
    <row r="204" spans="1:21" ht="42.75" customHeight="1">
      <c r="A204" s="5" t="s">
        <v>699</v>
      </c>
      <c r="B204" s="5" t="s">
        <v>11</v>
      </c>
      <c r="C204" s="3" t="s">
        <v>700</v>
      </c>
      <c r="D204" s="6">
        <v>2024</v>
      </c>
      <c r="E204" s="3" t="s">
        <v>701</v>
      </c>
      <c r="F204" s="5" t="s">
        <v>110</v>
      </c>
      <c r="G204" s="10" t="s">
        <v>111</v>
      </c>
      <c r="H204" s="3" t="s">
        <v>5864</v>
      </c>
      <c r="I204" s="3"/>
      <c r="J204" s="3" t="s">
        <v>5902</v>
      </c>
      <c r="K204" s="3" t="s">
        <v>6266</v>
      </c>
      <c r="L204" s="3"/>
      <c r="O204" s="3" t="s">
        <v>5867</v>
      </c>
      <c r="P204" s="12">
        <v>46301</v>
      </c>
      <c r="Q204" s="3"/>
      <c r="R204" s="3" t="s">
        <v>6267</v>
      </c>
      <c r="S204" s="3" t="s">
        <v>5869</v>
      </c>
      <c r="T204" s="3" t="s">
        <v>5870</v>
      </c>
      <c r="U204" s="3" t="s">
        <v>5869</v>
      </c>
    </row>
    <row r="205" spans="1:21" ht="28.5" customHeight="1">
      <c r="A205" s="5" t="s">
        <v>702</v>
      </c>
      <c r="B205" s="5" t="s">
        <v>11</v>
      </c>
      <c r="C205" s="3" t="s">
        <v>703</v>
      </c>
      <c r="D205" s="6">
        <v>2018</v>
      </c>
      <c r="E205" s="3" t="s">
        <v>704</v>
      </c>
      <c r="F205" s="5" t="s">
        <v>115</v>
      </c>
      <c r="G205" s="10" t="s">
        <v>111</v>
      </c>
      <c r="H205" s="3" t="s">
        <v>5864</v>
      </c>
      <c r="I205" s="3"/>
      <c r="J205" s="3" t="s">
        <v>5902</v>
      </c>
      <c r="K205" s="3" t="s">
        <v>6268</v>
      </c>
      <c r="L205" s="3"/>
      <c r="O205" s="3" t="s">
        <v>5867</v>
      </c>
      <c r="P205" s="12">
        <v>46301</v>
      </c>
      <c r="Q205" s="3"/>
      <c r="R205" s="3" t="s">
        <v>6269</v>
      </c>
      <c r="S205" s="3" t="s">
        <v>5869</v>
      </c>
      <c r="T205" s="3" t="s">
        <v>5870</v>
      </c>
      <c r="U205" s="3" t="s">
        <v>5869</v>
      </c>
    </row>
    <row r="206" spans="1:21" ht="99.75" customHeight="1">
      <c r="A206" s="5" t="s">
        <v>705</v>
      </c>
      <c r="B206" s="5" t="s">
        <v>11</v>
      </c>
      <c r="C206" s="3" t="s">
        <v>706</v>
      </c>
      <c r="D206" s="6">
        <v>2023</v>
      </c>
      <c r="E206" s="3" t="s">
        <v>707</v>
      </c>
      <c r="F206" s="5" t="s">
        <v>115</v>
      </c>
      <c r="G206" s="10" t="s">
        <v>111</v>
      </c>
      <c r="H206" s="3" t="s">
        <v>5871</v>
      </c>
      <c r="I206" s="3" t="s">
        <v>5743</v>
      </c>
      <c r="J206" s="3"/>
      <c r="K206" s="3"/>
      <c r="L206" s="3"/>
      <c r="O206" s="3"/>
      <c r="P206" s="12">
        <v>46304</v>
      </c>
      <c r="Q206" s="3"/>
      <c r="R206" s="3" t="s">
        <v>6994</v>
      </c>
      <c r="S206" s="3"/>
      <c r="T206" s="3"/>
      <c r="U206" s="3"/>
    </row>
    <row r="207" spans="1:21" ht="28.5" customHeight="1">
      <c r="A207" s="5" t="s">
        <v>708</v>
      </c>
      <c r="B207" s="5" t="s">
        <v>11</v>
      </c>
      <c r="C207" s="3" t="s">
        <v>709</v>
      </c>
      <c r="D207" s="6">
        <v>2018</v>
      </c>
      <c r="E207" s="3" t="s">
        <v>710</v>
      </c>
      <c r="F207" s="5" t="s">
        <v>110</v>
      </c>
      <c r="G207" s="10" t="s">
        <v>111</v>
      </c>
      <c r="H207" s="3" t="s">
        <v>5864</v>
      </c>
      <c r="I207" s="3"/>
      <c r="J207" s="3" t="s">
        <v>5865</v>
      </c>
      <c r="K207" s="3" t="s">
        <v>6270</v>
      </c>
      <c r="L207" s="3"/>
      <c r="O207" s="3" t="s">
        <v>5867</v>
      </c>
      <c r="P207" s="12">
        <v>46301</v>
      </c>
      <c r="Q207" s="3"/>
      <c r="R207" s="3" t="s">
        <v>6271</v>
      </c>
      <c r="S207" s="3" t="s">
        <v>5870</v>
      </c>
      <c r="T207" s="3" t="s">
        <v>5870</v>
      </c>
      <c r="U207" s="3" t="s">
        <v>5870</v>
      </c>
    </row>
    <row r="208" spans="1:21" ht="28.5" customHeight="1">
      <c r="A208" s="5" t="s">
        <v>711</v>
      </c>
      <c r="B208" s="5" t="s">
        <v>11</v>
      </c>
      <c r="C208" s="3" t="s">
        <v>712</v>
      </c>
      <c r="D208" s="6">
        <v>2025</v>
      </c>
      <c r="E208" s="3" t="s">
        <v>713</v>
      </c>
      <c r="F208" s="5" t="s">
        <v>110</v>
      </c>
      <c r="G208" s="10" t="s">
        <v>111</v>
      </c>
      <c r="H208" s="3" t="s">
        <v>5864</v>
      </c>
      <c r="I208" s="3"/>
      <c r="J208" s="3" t="s">
        <v>5886</v>
      </c>
      <c r="K208" s="3" t="s">
        <v>6272</v>
      </c>
      <c r="L208" s="3"/>
      <c r="O208" s="3" t="s">
        <v>5867</v>
      </c>
      <c r="P208" s="12">
        <v>46301</v>
      </c>
      <c r="Q208" s="3"/>
      <c r="R208" s="3" t="s">
        <v>6273</v>
      </c>
      <c r="S208" s="3" t="s">
        <v>5870</v>
      </c>
      <c r="T208" s="3" t="s">
        <v>5869</v>
      </c>
      <c r="U208" s="3" t="s">
        <v>5870</v>
      </c>
    </row>
    <row r="209" spans="1:21" ht="28.5" customHeight="1">
      <c r="A209" s="5" t="s">
        <v>714</v>
      </c>
      <c r="B209" s="5" t="s">
        <v>11</v>
      </c>
      <c r="C209" s="3" t="s">
        <v>715</v>
      </c>
      <c r="D209" s="6">
        <v>2025</v>
      </c>
      <c r="E209" s="3" t="s">
        <v>716</v>
      </c>
      <c r="F209" s="5" t="s">
        <v>115</v>
      </c>
      <c r="G209" s="10" t="s">
        <v>111</v>
      </c>
      <c r="H209" s="3" t="s">
        <v>5864</v>
      </c>
      <c r="I209" s="3"/>
      <c r="J209" s="3" t="s">
        <v>5886</v>
      </c>
      <c r="K209" s="3" t="s">
        <v>6274</v>
      </c>
      <c r="L209" s="3"/>
      <c r="O209" s="3" t="s">
        <v>5867</v>
      </c>
      <c r="P209" s="12">
        <v>46301</v>
      </c>
      <c r="Q209" s="3"/>
      <c r="R209" s="3" t="s">
        <v>6275</v>
      </c>
      <c r="S209" s="3" t="s">
        <v>5870</v>
      </c>
      <c r="T209" s="3" t="s">
        <v>5870</v>
      </c>
      <c r="U209" s="3" t="s">
        <v>5869</v>
      </c>
    </row>
    <row r="210" spans="1:21" ht="28.5" customHeight="1">
      <c r="A210" s="5" t="s">
        <v>717</v>
      </c>
      <c r="B210" s="5" t="s">
        <v>11</v>
      </c>
      <c r="C210" s="3" t="s">
        <v>718</v>
      </c>
      <c r="D210" s="6">
        <v>2022</v>
      </c>
      <c r="E210" s="3" t="s">
        <v>719</v>
      </c>
      <c r="F210" s="5" t="s">
        <v>110</v>
      </c>
      <c r="G210" s="10" t="s">
        <v>111</v>
      </c>
      <c r="H210" s="3" t="s">
        <v>5864</v>
      </c>
      <c r="I210" s="3"/>
      <c r="J210" s="3" t="s">
        <v>5865</v>
      </c>
      <c r="K210" s="3" t="s">
        <v>6276</v>
      </c>
      <c r="L210" s="3"/>
      <c r="O210" s="3" t="s">
        <v>5867</v>
      </c>
      <c r="P210" s="12">
        <v>46301</v>
      </c>
      <c r="Q210" s="3"/>
      <c r="R210" s="3" t="s">
        <v>6277</v>
      </c>
      <c r="S210" s="3" t="s">
        <v>5870</v>
      </c>
      <c r="T210" s="3" t="s">
        <v>5870</v>
      </c>
      <c r="U210" s="3" t="s">
        <v>5870</v>
      </c>
    </row>
    <row r="211" spans="1:21" ht="42.75" customHeight="1">
      <c r="A211" s="5" t="s">
        <v>720</v>
      </c>
      <c r="B211" s="5" t="s">
        <v>11</v>
      </c>
      <c r="C211" s="3" t="s">
        <v>721</v>
      </c>
      <c r="D211" s="6">
        <v>2024</v>
      </c>
      <c r="E211" s="3" t="s">
        <v>722</v>
      </c>
      <c r="F211" s="5" t="s">
        <v>110</v>
      </c>
      <c r="G211" s="10" t="s">
        <v>111</v>
      </c>
      <c r="H211" s="3" t="s">
        <v>5864</v>
      </c>
      <c r="I211" s="3"/>
      <c r="J211" s="3" t="s">
        <v>5865</v>
      </c>
      <c r="K211" s="3" t="s">
        <v>6278</v>
      </c>
      <c r="L211" s="3"/>
      <c r="O211" s="3" t="s">
        <v>5867</v>
      </c>
      <c r="P211" s="12">
        <v>46301</v>
      </c>
      <c r="Q211" s="3"/>
      <c r="R211" s="3" t="s">
        <v>6279</v>
      </c>
      <c r="S211" s="3" t="s">
        <v>5869</v>
      </c>
      <c r="T211" s="3" t="s">
        <v>5870</v>
      </c>
      <c r="U211" s="3" t="s">
        <v>5870</v>
      </c>
    </row>
    <row r="212" spans="1:21" ht="42.75" customHeight="1">
      <c r="A212" s="5" t="s">
        <v>723</v>
      </c>
      <c r="B212" s="5" t="s">
        <v>11</v>
      </c>
      <c r="C212" s="3" t="s">
        <v>724</v>
      </c>
      <c r="D212" s="6">
        <v>2024</v>
      </c>
      <c r="E212" s="3" t="s">
        <v>725</v>
      </c>
      <c r="F212" s="5" t="s">
        <v>110</v>
      </c>
      <c r="G212" s="10" t="s">
        <v>111</v>
      </c>
      <c r="H212" s="3" t="s">
        <v>5864</v>
      </c>
      <c r="I212" s="3"/>
      <c r="J212" s="3" t="s">
        <v>5902</v>
      </c>
      <c r="K212" s="3" t="s">
        <v>7012</v>
      </c>
      <c r="L212" s="3"/>
      <c r="O212" s="3" t="s">
        <v>5867</v>
      </c>
      <c r="P212" s="12">
        <v>46305</v>
      </c>
      <c r="Q212" s="3"/>
      <c r="R212" s="3" t="s">
        <v>7013</v>
      </c>
      <c r="S212" s="3" t="s">
        <v>5869</v>
      </c>
      <c r="T212" s="3" t="s">
        <v>5870</v>
      </c>
      <c r="U212" s="3" t="s">
        <v>5869</v>
      </c>
    </row>
    <row r="213" spans="1:21" ht="28.5" customHeight="1">
      <c r="A213" s="5" t="s">
        <v>726</v>
      </c>
      <c r="B213" s="5" t="s">
        <v>11</v>
      </c>
      <c r="C213" s="3" t="s">
        <v>727</v>
      </c>
      <c r="D213" s="6">
        <v>2022</v>
      </c>
      <c r="E213" s="3" t="s">
        <v>728</v>
      </c>
      <c r="F213" s="5" t="s">
        <v>115</v>
      </c>
      <c r="G213" s="10" t="s">
        <v>111</v>
      </c>
      <c r="H213" s="3" t="s">
        <v>5864</v>
      </c>
      <c r="I213" s="3"/>
      <c r="J213" s="3" t="s">
        <v>5879</v>
      </c>
      <c r="K213" s="3" t="s">
        <v>7014</v>
      </c>
      <c r="L213" s="3"/>
      <c r="O213" s="3" t="s">
        <v>5867</v>
      </c>
      <c r="P213" s="12">
        <v>46305</v>
      </c>
      <c r="Q213" s="3"/>
      <c r="R213" s="3" t="s">
        <v>7015</v>
      </c>
      <c r="S213" s="3" t="s">
        <v>5869</v>
      </c>
      <c r="T213" s="3" t="s">
        <v>5870</v>
      </c>
      <c r="U213" s="3" t="s">
        <v>5869</v>
      </c>
    </row>
    <row r="214" spans="1:21" ht="42.75" customHeight="1">
      <c r="A214" s="5" t="s">
        <v>729</v>
      </c>
      <c r="B214" s="5" t="s">
        <v>20</v>
      </c>
      <c r="C214" s="3" t="s">
        <v>730</v>
      </c>
      <c r="D214" s="6">
        <v>2026</v>
      </c>
      <c r="E214" s="3" t="s">
        <v>731</v>
      </c>
      <c r="F214" s="5" t="s">
        <v>115</v>
      </c>
      <c r="G214" s="10" t="s">
        <v>111</v>
      </c>
      <c r="H214" s="3" t="s">
        <v>5871</v>
      </c>
      <c r="I214" s="3" t="s">
        <v>5735</v>
      </c>
      <c r="J214" s="3"/>
      <c r="K214" s="3"/>
      <c r="L214" s="3"/>
      <c r="O214" s="3" t="s">
        <v>5867</v>
      </c>
      <c r="P214" s="12">
        <v>46301</v>
      </c>
      <c r="Q214" s="3" t="s">
        <v>5773</v>
      </c>
      <c r="R214" s="3" t="s">
        <v>6280</v>
      </c>
      <c r="S214" s="3"/>
      <c r="T214" s="3"/>
      <c r="U214" s="3"/>
    </row>
    <row r="215" spans="1:21" ht="57" customHeight="1">
      <c r="A215" s="5" t="s">
        <v>732</v>
      </c>
      <c r="B215" s="5" t="s">
        <v>20</v>
      </c>
      <c r="C215" s="3" t="s">
        <v>733</v>
      </c>
      <c r="D215" s="6">
        <v>2024</v>
      </c>
      <c r="E215" s="3" t="s">
        <v>734</v>
      </c>
      <c r="F215" s="5" t="s">
        <v>119</v>
      </c>
      <c r="G215" s="10" t="s">
        <v>111</v>
      </c>
      <c r="H215" s="3" t="s">
        <v>5871</v>
      </c>
      <c r="I215" s="3" t="s">
        <v>5735</v>
      </c>
      <c r="J215" s="3"/>
      <c r="K215" s="3"/>
      <c r="L215" s="3"/>
      <c r="O215" s="3" t="s">
        <v>5867</v>
      </c>
      <c r="P215" s="12">
        <v>46303</v>
      </c>
      <c r="Q215" s="3" t="s">
        <v>5769</v>
      </c>
      <c r="R215" s="3" t="s">
        <v>6283</v>
      </c>
      <c r="S215" s="3"/>
      <c r="T215" s="3"/>
      <c r="U215" s="3"/>
    </row>
    <row r="216" spans="1:21" ht="42.75" customHeight="1">
      <c r="A216" s="5" t="s">
        <v>735</v>
      </c>
      <c r="B216" s="5" t="s">
        <v>20</v>
      </c>
      <c r="C216" s="3" t="s">
        <v>736</v>
      </c>
      <c r="D216" s="6">
        <v>2025</v>
      </c>
      <c r="E216" s="3" t="s">
        <v>737</v>
      </c>
      <c r="F216" s="5" t="s">
        <v>115</v>
      </c>
      <c r="G216" s="10" t="s">
        <v>111</v>
      </c>
      <c r="H216" s="3" t="s">
        <v>5864</v>
      </c>
      <c r="I216" s="3"/>
      <c r="J216" s="3" t="s">
        <v>6284</v>
      </c>
      <c r="K216" s="3" t="s">
        <v>6285</v>
      </c>
      <c r="L216" s="3" t="s">
        <v>6286</v>
      </c>
      <c r="M216" t="s">
        <v>6287</v>
      </c>
      <c r="O216" s="3" t="s">
        <v>5872</v>
      </c>
      <c r="P216" s="12">
        <v>46303</v>
      </c>
      <c r="Q216" s="3"/>
      <c r="R216" s="3" t="s">
        <v>6288</v>
      </c>
      <c r="S216" s="3" t="s">
        <v>111</v>
      </c>
      <c r="T216" s="3" t="s">
        <v>5870</v>
      </c>
      <c r="U216" s="3" t="s">
        <v>5870</v>
      </c>
    </row>
    <row r="217" spans="1:21" ht="42.75" customHeight="1">
      <c r="A217" s="5" t="s">
        <v>738</v>
      </c>
      <c r="B217" s="5" t="s">
        <v>20</v>
      </c>
      <c r="C217" s="3" t="s">
        <v>739</v>
      </c>
      <c r="D217" s="6">
        <v>2026</v>
      </c>
      <c r="E217" s="3" t="s">
        <v>740</v>
      </c>
      <c r="F217" s="5" t="s">
        <v>119</v>
      </c>
      <c r="G217" s="10" t="s">
        <v>111</v>
      </c>
      <c r="H217" s="3" t="s">
        <v>5864</v>
      </c>
      <c r="I217" s="3"/>
      <c r="J217" s="3" t="s">
        <v>6290</v>
      </c>
      <c r="K217" s="3" t="s">
        <v>6291</v>
      </c>
      <c r="L217" s="3" t="s">
        <v>6292</v>
      </c>
      <c r="M217" t="s">
        <v>6293</v>
      </c>
      <c r="O217" s="3" t="s">
        <v>5872</v>
      </c>
      <c r="P217" s="12">
        <v>46303</v>
      </c>
      <c r="Q217" s="3"/>
      <c r="R217" s="3" t="s">
        <v>6294</v>
      </c>
      <c r="S217" s="3" t="s">
        <v>111</v>
      </c>
      <c r="T217" s="3" t="s">
        <v>5869</v>
      </c>
      <c r="U217" s="3" t="s">
        <v>5870</v>
      </c>
    </row>
    <row r="218" spans="1:21" ht="42.75" customHeight="1">
      <c r="A218" s="5" t="s">
        <v>741</v>
      </c>
      <c r="B218" s="5" t="s">
        <v>20</v>
      </c>
      <c r="C218" s="3" t="s">
        <v>742</v>
      </c>
      <c r="D218" s="6">
        <v>2027</v>
      </c>
      <c r="E218" s="3" t="s">
        <v>743</v>
      </c>
      <c r="F218" s="5" t="s">
        <v>115</v>
      </c>
      <c r="G218" s="10" t="s">
        <v>111</v>
      </c>
      <c r="H218" s="3" t="s">
        <v>5864</v>
      </c>
      <c r="I218" s="3"/>
      <c r="J218" s="3" t="s">
        <v>6295</v>
      </c>
      <c r="K218" s="3" t="s">
        <v>6296</v>
      </c>
      <c r="L218" s="3" t="s">
        <v>6297</v>
      </c>
      <c r="M218" t="s">
        <v>6298</v>
      </c>
      <c r="O218" s="3" t="s">
        <v>5867</v>
      </c>
      <c r="P218" s="12">
        <v>46303</v>
      </c>
      <c r="Q218" s="3"/>
      <c r="R218" s="3" t="s">
        <v>6299</v>
      </c>
      <c r="S218" s="3" t="s">
        <v>111</v>
      </c>
      <c r="T218" s="3" t="s">
        <v>5869</v>
      </c>
      <c r="U218" s="3" t="s">
        <v>5870</v>
      </c>
    </row>
    <row r="219" spans="1:21" ht="57" customHeight="1">
      <c r="A219" s="5" t="s">
        <v>744</v>
      </c>
      <c r="B219" s="5" t="s">
        <v>20</v>
      </c>
      <c r="C219" s="3" t="s">
        <v>745</v>
      </c>
      <c r="D219" s="6">
        <v>2025</v>
      </c>
      <c r="E219" s="3" t="s">
        <v>746</v>
      </c>
      <c r="F219" s="5" t="s">
        <v>119</v>
      </c>
      <c r="G219" s="10" t="s">
        <v>111</v>
      </c>
      <c r="H219" s="3" t="s">
        <v>5871</v>
      </c>
      <c r="I219" s="3" t="s">
        <v>5735</v>
      </c>
      <c r="J219" s="3"/>
      <c r="K219" s="3"/>
      <c r="L219" s="3"/>
      <c r="O219" s="3" t="s">
        <v>5872</v>
      </c>
      <c r="P219" s="12">
        <v>46303</v>
      </c>
      <c r="Q219" s="3" t="s">
        <v>5765</v>
      </c>
      <c r="R219" s="3" t="s">
        <v>6300</v>
      </c>
      <c r="S219" s="3"/>
      <c r="T219" s="3"/>
      <c r="U219" s="3"/>
    </row>
    <row r="220" spans="1:21" ht="28.5" customHeight="1">
      <c r="A220" s="5" t="s">
        <v>747</v>
      </c>
      <c r="B220" s="5" t="s">
        <v>20</v>
      </c>
      <c r="C220" s="3" t="s">
        <v>748</v>
      </c>
      <c r="D220" s="6">
        <v>2023</v>
      </c>
      <c r="E220" s="3" t="s">
        <v>749</v>
      </c>
      <c r="F220" s="5" t="s">
        <v>115</v>
      </c>
      <c r="G220" s="10" t="s">
        <v>111</v>
      </c>
      <c r="H220" s="3" t="s">
        <v>5864</v>
      </c>
      <c r="I220" s="3"/>
      <c r="J220" s="3" t="s">
        <v>6301</v>
      </c>
      <c r="K220" s="3" t="s">
        <v>6302</v>
      </c>
      <c r="L220" s="3" t="s">
        <v>6303</v>
      </c>
      <c r="M220" t="s">
        <v>6304</v>
      </c>
      <c r="O220" s="3" t="s">
        <v>5867</v>
      </c>
      <c r="P220" s="12">
        <v>46303</v>
      </c>
      <c r="Q220" s="3"/>
      <c r="R220" s="3" t="s">
        <v>6305</v>
      </c>
      <c r="S220" s="3" t="s">
        <v>111</v>
      </c>
      <c r="T220" s="3" t="s">
        <v>5869</v>
      </c>
      <c r="U220" s="3" t="s">
        <v>5870</v>
      </c>
    </row>
    <row r="221" spans="1:21" ht="57" customHeight="1">
      <c r="A221" s="5" t="s">
        <v>750</v>
      </c>
      <c r="B221" s="5" t="s">
        <v>20</v>
      </c>
      <c r="C221" s="3" t="s">
        <v>751</v>
      </c>
      <c r="D221" s="6">
        <v>2026</v>
      </c>
      <c r="E221" s="3" t="s">
        <v>752</v>
      </c>
      <c r="F221" s="5" t="s">
        <v>115</v>
      </c>
      <c r="G221" s="10" t="s">
        <v>111</v>
      </c>
      <c r="H221" s="3" t="s">
        <v>5864</v>
      </c>
      <c r="I221" s="3"/>
      <c r="J221" s="3" t="s">
        <v>6306</v>
      </c>
      <c r="K221" s="3" t="s">
        <v>6307</v>
      </c>
      <c r="L221" s="3" t="s">
        <v>6308</v>
      </c>
      <c r="M221" t="s">
        <v>6309</v>
      </c>
      <c r="O221" s="3" t="s">
        <v>5867</v>
      </c>
      <c r="P221" s="12">
        <v>46303</v>
      </c>
      <c r="Q221" s="3"/>
      <c r="R221" s="3" t="s">
        <v>6310</v>
      </c>
      <c r="S221" s="3" t="s">
        <v>111</v>
      </c>
      <c r="T221" s="3" t="s">
        <v>5869</v>
      </c>
      <c r="U221" s="3" t="s">
        <v>5870</v>
      </c>
    </row>
    <row r="222" spans="1:21" ht="42.75" customHeight="1">
      <c r="A222" s="5" t="s">
        <v>753</v>
      </c>
      <c r="B222" s="5" t="s">
        <v>20</v>
      </c>
      <c r="C222" s="3" t="s">
        <v>754</v>
      </c>
      <c r="D222" s="6">
        <v>2024</v>
      </c>
      <c r="E222" s="3" t="s">
        <v>755</v>
      </c>
      <c r="F222" s="5" t="s">
        <v>119</v>
      </c>
      <c r="G222" s="10" t="s">
        <v>111</v>
      </c>
      <c r="H222" s="3" t="s">
        <v>5871</v>
      </c>
      <c r="I222" s="3" t="s">
        <v>5735</v>
      </c>
      <c r="J222" s="3"/>
      <c r="K222" s="3"/>
      <c r="L222" s="3"/>
      <c r="O222" s="3" t="s">
        <v>5872</v>
      </c>
      <c r="P222" s="12">
        <v>46303</v>
      </c>
      <c r="Q222" s="3" t="s">
        <v>5775</v>
      </c>
      <c r="R222" s="3" t="s">
        <v>6311</v>
      </c>
      <c r="S222" s="3"/>
      <c r="T222" s="3"/>
      <c r="U222" s="3"/>
    </row>
    <row r="223" spans="1:21" ht="28.5" customHeight="1">
      <c r="A223" s="5" t="s">
        <v>756</v>
      </c>
      <c r="B223" s="5" t="s">
        <v>20</v>
      </c>
      <c r="C223" s="3" t="s">
        <v>757</v>
      </c>
      <c r="D223" s="6">
        <v>2024</v>
      </c>
      <c r="E223" s="3" t="s">
        <v>758</v>
      </c>
      <c r="F223" s="5" t="s">
        <v>119</v>
      </c>
      <c r="G223" s="10" t="s">
        <v>111</v>
      </c>
      <c r="H223" s="3" t="s">
        <v>5864</v>
      </c>
      <c r="I223" s="3"/>
      <c r="J223" s="3" t="s">
        <v>6312</v>
      </c>
      <c r="K223" s="3" t="s">
        <v>6313</v>
      </c>
      <c r="L223" s="3" t="s">
        <v>6314</v>
      </c>
      <c r="M223" t="s">
        <v>6315</v>
      </c>
      <c r="O223" s="3" t="s">
        <v>5872</v>
      </c>
      <c r="P223" s="12">
        <v>46303</v>
      </c>
      <c r="Q223" s="3"/>
      <c r="R223" s="3" t="s">
        <v>6316</v>
      </c>
      <c r="S223" s="3" t="s">
        <v>6317</v>
      </c>
      <c r="T223" s="3" t="s">
        <v>5869</v>
      </c>
      <c r="U223" s="3" t="s">
        <v>5870</v>
      </c>
    </row>
    <row r="224" spans="1:21" ht="42.75" customHeight="1">
      <c r="A224" s="5" t="s">
        <v>759</v>
      </c>
      <c r="B224" s="5" t="s">
        <v>20</v>
      </c>
      <c r="C224" s="3" t="s">
        <v>760</v>
      </c>
      <c r="D224" s="6">
        <v>2024</v>
      </c>
      <c r="E224" s="3" t="s">
        <v>761</v>
      </c>
      <c r="F224" s="5" t="s">
        <v>119</v>
      </c>
      <c r="G224" s="10" t="s">
        <v>111</v>
      </c>
      <c r="H224" s="3" t="s">
        <v>5871</v>
      </c>
      <c r="I224" s="3" t="s">
        <v>5735</v>
      </c>
      <c r="J224" s="3"/>
      <c r="K224" s="3"/>
      <c r="L224" s="3"/>
      <c r="O224" s="3" t="s">
        <v>5872</v>
      </c>
      <c r="P224" s="12">
        <v>46303</v>
      </c>
      <c r="Q224" s="3" t="s">
        <v>5775</v>
      </c>
      <c r="R224" s="3" t="s">
        <v>6318</v>
      </c>
      <c r="S224" s="3"/>
      <c r="T224" s="3"/>
      <c r="U224" s="3"/>
    </row>
    <row r="225" spans="1:21" ht="28.5" customHeight="1">
      <c r="A225" s="5" t="s">
        <v>762</v>
      </c>
      <c r="B225" s="5" t="s">
        <v>11</v>
      </c>
      <c r="C225" s="3" t="s">
        <v>763</v>
      </c>
      <c r="D225" s="6">
        <v>2024</v>
      </c>
      <c r="E225" s="3" t="s">
        <v>764</v>
      </c>
      <c r="F225" s="5" t="s">
        <v>115</v>
      </c>
      <c r="G225" s="10" t="s">
        <v>111</v>
      </c>
      <c r="H225" s="3" t="s">
        <v>5864</v>
      </c>
      <c r="I225" s="3"/>
      <c r="J225" s="3" t="s">
        <v>5865</v>
      </c>
      <c r="K225" s="3" t="s">
        <v>7037</v>
      </c>
      <c r="L225" s="3" t="s">
        <v>7038</v>
      </c>
      <c r="M225" t="s">
        <v>7039</v>
      </c>
      <c r="O225" s="12" t="s">
        <v>5867</v>
      </c>
      <c r="P225" s="12">
        <v>46305</v>
      </c>
      <c r="Q225" s="3"/>
      <c r="R225" s="3" t="s">
        <v>7040</v>
      </c>
      <c r="S225" s="3" t="s">
        <v>5869</v>
      </c>
      <c r="T225" s="3" t="s">
        <v>5870</v>
      </c>
      <c r="U225" s="3" t="s">
        <v>5870</v>
      </c>
    </row>
    <row r="226" spans="1:21" ht="28.5" customHeight="1">
      <c r="A226" s="5" t="s">
        <v>765</v>
      </c>
      <c r="B226" s="5" t="s">
        <v>20</v>
      </c>
      <c r="C226" s="3" t="s">
        <v>766</v>
      </c>
      <c r="D226" s="6">
        <v>2025</v>
      </c>
      <c r="E226" s="3" t="s">
        <v>767</v>
      </c>
      <c r="F226" s="5" t="s">
        <v>119</v>
      </c>
      <c r="G226" s="10" t="s">
        <v>111</v>
      </c>
      <c r="H226" s="3" t="s">
        <v>5864</v>
      </c>
      <c r="I226" s="3"/>
      <c r="J226" s="3" t="s">
        <v>6319</v>
      </c>
      <c r="K226" s="3" t="s">
        <v>6320</v>
      </c>
      <c r="L226" s="3" t="s">
        <v>6321</v>
      </c>
      <c r="M226" t="s">
        <v>6322</v>
      </c>
      <c r="O226" s="3" t="s">
        <v>5872</v>
      </c>
      <c r="P226" s="12">
        <v>46303</v>
      </c>
      <c r="Q226" s="3"/>
      <c r="R226" s="3" t="s">
        <v>6323</v>
      </c>
      <c r="S226" s="3" t="s">
        <v>111</v>
      </c>
      <c r="T226" s="3" t="s">
        <v>5870</v>
      </c>
      <c r="U226" s="3" t="s">
        <v>5870</v>
      </c>
    </row>
    <row r="227" spans="1:21" ht="85.5" customHeight="1">
      <c r="A227" s="5" t="s">
        <v>768</v>
      </c>
      <c r="B227" s="5" t="s">
        <v>20</v>
      </c>
      <c r="C227" s="3" t="s">
        <v>769</v>
      </c>
      <c r="D227" s="6">
        <v>2026</v>
      </c>
      <c r="E227" s="3" t="s">
        <v>770</v>
      </c>
      <c r="F227" s="5" t="s">
        <v>119</v>
      </c>
      <c r="G227" s="10" t="s">
        <v>111</v>
      </c>
      <c r="H227" s="3" t="s">
        <v>5864</v>
      </c>
      <c r="I227" s="3"/>
      <c r="J227" s="3" t="s">
        <v>6324</v>
      </c>
      <c r="K227" s="3" t="s">
        <v>6325</v>
      </c>
      <c r="L227" s="3" t="s">
        <v>6326</v>
      </c>
      <c r="M227" t="s">
        <v>6327</v>
      </c>
      <c r="O227" s="3" t="s">
        <v>5872</v>
      </c>
      <c r="P227" s="12">
        <v>46303</v>
      </c>
      <c r="Q227" s="3"/>
      <c r="R227" s="3" t="s">
        <v>6328</v>
      </c>
      <c r="S227" s="3" t="s">
        <v>5902</v>
      </c>
      <c r="T227" s="3" t="s">
        <v>5869</v>
      </c>
      <c r="U227" s="3" t="s">
        <v>5870</v>
      </c>
    </row>
    <row r="228" spans="1:21" ht="42.75" customHeight="1">
      <c r="A228" s="5" t="s">
        <v>771</v>
      </c>
      <c r="B228" s="5" t="s">
        <v>20</v>
      </c>
      <c r="C228" s="3" t="s">
        <v>772</v>
      </c>
      <c r="D228" s="6">
        <v>2024</v>
      </c>
      <c r="E228" s="3" t="s">
        <v>773</v>
      </c>
      <c r="F228" s="5" t="s">
        <v>115</v>
      </c>
      <c r="G228" s="10" t="s">
        <v>111</v>
      </c>
      <c r="H228" s="3" t="s">
        <v>5864</v>
      </c>
      <c r="I228" s="3"/>
      <c r="J228" s="3" t="s">
        <v>6329</v>
      </c>
      <c r="K228" s="3" t="s">
        <v>6330</v>
      </c>
      <c r="L228" s="3" t="s">
        <v>6331</v>
      </c>
      <c r="M228" t="s">
        <v>6332</v>
      </c>
      <c r="O228" s="3" t="s">
        <v>5867</v>
      </c>
      <c r="P228" s="12">
        <v>46303</v>
      </c>
      <c r="Q228" s="3"/>
      <c r="R228" s="3" t="s">
        <v>6333</v>
      </c>
      <c r="S228" s="3" t="s">
        <v>111</v>
      </c>
      <c r="T228" s="3" t="s">
        <v>5870</v>
      </c>
      <c r="U228" s="3" t="s">
        <v>5870</v>
      </c>
    </row>
    <row r="229" spans="1:21" ht="57" customHeight="1">
      <c r="A229" s="5" t="s">
        <v>774</v>
      </c>
      <c r="B229" s="5" t="s">
        <v>20</v>
      </c>
      <c r="C229" s="3" t="s">
        <v>775</v>
      </c>
      <c r="D229" s="6">
        <v>2024</v>
      </c>
      <c r="E229" s="3" t="s">
        <v>776</v>
      </c>
      <c r="F229" s="5" t="s">
        <v>115</v>
      </c>
      <c r="G229" s="10" t="s">
        <v>111</v>
      </c>
      <c r="H229" s="3" t="s">
        <v>5864</v>
      </c>
      <c r="I229" s="3"/>
      <c r="J229" s="3" t="s">
        <v>6334</v>
      </c>
      <c r="K229" s="3" t="s">
        <v>6335</v>
      </c>
      <c r="L229" s="3" t="s">
        <v>6336</v>
      </c>
      <c r="M229" t="s">
        <v>6337</v>
      </c>
      <c r="O229" s="3" t="s">
        <v>5867</v>
      </c>
      <c r="P229" s="12">
        <v>46303</v>
      </c>
      <c r="Q229" s="3"/>
      <c r="R229" s="3" t="s">
        <v>6338</v>
      </c>
      <c r="S229" s="3" t="s">
        <v>5902</v>
      </c>
      <c r="T229" s="3" t="s">
        <v>5869</v>
      </c>
      <c r="U229" s="3" t="s">
        <v>5870</v>
      </c>
    </row>
    <row r="230" spans="1:21" ht="57" customHeight="1">
      <c r="A230" s="5" t="s">
        <v>777</v>
      </c>
      <c r="B230" s="5" t="s">
        <v>20</v>
      </c>
      <c r="C230" s="3" t="s">
        <v>778</v>
      </c>
      <c r="D230" s="6">
        <v>2025</v>
      </c>
      <c r="E230" s="3" t="s">
        <v>779</v>
      </c>
      <c r="F230" s="5" t="s">
        <v>119</v>
      </c>
      <c r="G230" s="10" t="s">
        <v>111</v>
      </c>
      <c r="H230" s="3" t="s">
        <v>5864</v>
      </c>
      <c r="I230" s="3"/>
      <c r="J230" s="3" t="s">
        <v>6339</v>
      </c>
      <c r="K230" s="3" t="s">
        <v>6340</v>
      </c>
      <c r="L230" s="3" t="s">
        <v>6341</v>
      </c>
      <c r="M230" t="s">
        <v>6342</v>
      </c>
      <c r="O230" s="3" t="s">
        <v>5872</v>
      </c>
      <c r="P230" s="12">
        <v>46303</v>
      </c>
      <c r="Q230" s="3"/>
      <c r="R230" s="3" t="s">
        <v>6343</v>
      </c>
      <c r="S230" s="3" t="s">
        <v>111</v>
      </c>
      <c r="T230" s="3" t="s">
        <v>5870</v>
      </c>
      <c r="U230" s="3" t="s">
        <v>5870</v>
      </c>
    </row>
    <row r="231" spans="1:21" ht="28.5" customHeight="1">
      <c r="A231" s="5" t="s">
        <v>780</v>
      </c>
      <c r="B231" s="5" t="s">
        <v>20</v>
      </c>
      <c r="C231" s="3" t="s">
        <v>781</v>
      </c>
      <c r="D231" s="6">
        <v>2026</v>
      </c>
      <c r="E231" s="3" t="s">
        <v>782</v>
      </c>
      <c r="F231" s="5" t="s">
        <v>110</v>
      </c>
      <c r="G231" s="10" t="s">
        <v>111</v>
      </c>
      <c r="H231" s="3" t="s">
        <v>5871</v>
      </c>
      <c r="I231" s="3" t="s">
        <v>5735</v>
      </c>
      <c r="J231" s="3"/>
      <c r="K231" s="3"/>
      <c r="L231" s="3"/>
      <c r="O231" s="3" t="s">
        <v>5867</v>
      </c>
      <c r="P231" s="12">
        <v>46303</v>
      </c>
      <c r="Q231" s="3" t="s">
        <v>5769</v>
      </c>
      <c r="R231" s="3" t="s">
        <v>6344</v>
      </c>
      <c r="S231" s="3"/>
      <c r="T231" s="3"/>
      <c r="U231" s="3"/>
    </row>
    <row r="232" spans="1:21" ht="85.5" customHeight="1">
      <c r="A232" s="5" t="s">
        <v>783</v>
      </c>
      <c r="B232" s="5" t="s">
        <v>20</v>
      </c>
      <c r="C232" s="3" t="s">
        <v>784</v>
      </c>
      <c r="D232" s="6">
        <v>2024</v>
      </c>
      <c r="E232" s="3" t="s">
        <v>785</v>
      </c>
      <c r="F232" s="5" t="s">
        <v>119</v>
      </c>
      <c r="G232" s="10" t="s">
        <v>111</v>
      </c>
      <c r="H232" s="3" t="s">
        <v>5864</v>
      </c>
      <c r="I232" s="3"/>
      <c r="J232" s="3" t="s">
        <v>6345</v>
      </c>
      <c r="K232" s="3" t="s">
        <v>6346</v>
      </c>
      <c r="L232" s="3" t="s">
        <v>6347</v>
      </c>
      <c r="M232" t="s">
        <v>6348</v>
      </c>
      <c r="O232" s="3" t="s">
        <v>5867</v>
      </c>
      <c r="P232" s="12">
        <v>46303</v>
      </c>
      <c r="Q232" s="3"/>
      <c r="R232" s="3" t="s">
        <v>6349</v>
      </c>
      <c r="S232" s="3" t="s">
        <v>6317</v>
      </c>
      <c r="T232" s="3" t="s">
        <v>5870</v>
      </c>
      <c r="U232" s="3" t="s">
        <v>5870</v>
      </c>
    </row>
    <row r="233" spans="1:21" ht="114" customHeight="1">
      <c r="A233" s="5" t="s">
        <v>786</v>
      </c>
      <c r="B233" s="5" t="s">
        <v>20</v>
      </c>
      <c r="C233" s="3" t="s">
        <v>787</v>
      </c>
      <c r="D233" s="6">
        <v>2024</v>
      </c>
      <c r="E233" s="3" t="s">
        <v>788</v>
      </c>
      <c r="F233" s="5" t="s">
        <v>119</v>
      </c>
      <c r="G233" s="10" t="s">
        <v>111</v>
      </c>
      <c r="H233" s="3" t="s">
        <v>5871</v>
      </c>
      <c r="I233" s="3" t="s">
        <v>5735</v>
      </c>
      <c r="J233" s="3"/>
      <c r="K233" s="3"/>
      <c r="L233" s="3"/>
      <c r="O233" s="3" t="s">
        <v>5872</v>
      </c>
      <c r="P233" s="12">
        <v>46303</v>
      </c>
      <c r="Q233" s="3" t="s">
        <v>5773</v>
      </c>
      <c r="R233" s="3" t="s">
        <v>6350</v>
      </c>
      <c r="S233" s="3"/>
      <c r="T233" s="3"/>
      <c r="U233" s="3"/>
    </row>
    <row r="234" spans="1:21" ht="42.75" customHeight="1">
      <c r="A234" s="5" t="s">
        <v>789</v>
      </c>
      <c r="B234" s="5" t="s">
        <v>20</v>
      </c>
      <c r="C234" s="3" t="s">
        <v>790</v>
      </c>
      <c r="D234" s="6">
        <v>2025</v>
      </c>
      <c r="E234" s="3" t="s">
        <v>791</v>
      </c>
      <c r="F234" s="5" t="s">
        <v>115</v>
      </c>
      <c r="G234" s="10" t="s">
        <v>111</v>
      </c>
      <c r="H234" s="3" t="s">
        <v>5864</v>
      </c>
      <c r="I234" s="3"/>
      <c r="J234" s="3" t="s">
        <v>6351</v>
      </c>
      <c r="K234" s="3" t="s">
        <v>6352</v>
      </c>
      <c r="L234" s="3" t="s">
        <v>6353</v>
      </c>
      <c r="M234" t="s">
        <v>6354</v>
      </c>
      <c r="O234" s="3" t="s">
        <v>5867</v>
      </c>
      <c r="P234" s="12">
        <v>46303</v>
      </c>
      <c r="Q234" s="3"/>
      <c r="R234" s="3" t="s">
        <v>6355</v>
      </c>
      <c r="S234" s="3" t="s">
        <v>111</v>
      </c>
      <c r="T234" s="3" t="s">
        <v>5869</v>
      </c>
      <c r="U234" s="3" t="s">
        <v>5870</v>
      </c>
    </row>
    <row r="235" spans="1:21" ht="57" customHeight="1">
      <c r="A235" s="5" t="s">
        <v>792</v>
      </c>
      <c r="B235" s="5" t="s">
        <v>20</v>
      </c>
      <c r="C235" s="3" t="s">
        <v>793</v>
      </c>
      <c r="D235" s="6">
        <v>2024</v>
      </c>
      <c r="E235" s="3" t="s">
        <v>794</v>
      </c>
      <c r="F235" s="5" t="s">
        <v>115</v>
      </c>
      <c r="G235" s="10" t="s">
        <v>111</v>
      </c>
      <c r="H235" s="3" t="s">
        <v>5864</v>
      </c>
      <c r="I235" s="3"/>
      <c r="J235" s="3" t="s">
        <v>6356</v>
      </c>
      <c r="K235" s="3" t="s">
        <v>6357</v>
      </c>
      <c r="L235" s="3" t="s">
        <v>6358</v>
      </c>
      <c r="M235" t="s">
        <v>6359</v>
      </c>
      <c r="O235" s="3" t="s">
        <v>5867</v>
      </c>
      <c r="P235" s="12">
        <v>46303</v>
      </c>
      <c r="Q235" s="3"/>
      <c r="R235" s="3" t="s">
        <v>6360</v>
      </c>
      <c r="S235" s="3" t="s">
        <v>111</v>
      </c>
      <c r="T235" s="3" t="s">
        <v>5870</v>
      </c>
      <c r="U235" s="3" t="s">
        <v>5870</v>
      </c>
    </row>
    <row r="236" spans="1:21" ht="28.5" customHeight="1">
      <c r="A236" s="5" t="s">
        <v>795</v>
      </c>
      <c r="B236" s="5" t="s">
        <v>20</v>
      </c>
      <c r="C236" s="3" t="s">
        <v>796</v>
      </c>
      <c r="D236" s="6">
        <v>2026</v>
      </c>
      <c r="E236" s="3" t="s">
        <v>797</v>
      </c>
      <c r="F236" s="5" t="s">
        <v>110</v>
      </c>
      <c r="G236" s="10" t="s">
        <v>111</v>
      </c>
      <c r="H236" s="3" t="s">
        <v>5864</v>
      </c>
      <c r="I236" s="3"/>
      <c r="J236" s="3" t="s">
        <v>6361</v>
      </c>
      <c r="K236" s="3" t="s">
        <v>6362</v>
      </c>
      <c r="L236" s="3" t="s">
        <v>6363</v>
      </c>
      <c r="M236" t="s">
        <v>6364</v>
      </c>
      <c r="O236" s="3" t="s">
        <v>5867</v>
      </c>
      <c r="P236" s="12">
        <v>46303</v>
      </c>
      <c r="Q236" s="3"/>
      <c r="R236" s="3" t="s">
        <v>6365</v>
      </c>
      <c r="S236" s="3" t="s">
        <v>111</v>
      </c>
      <c r="T236" s="3" t="s">
        <v>5870</v>
      </c>
      <c r="U236" s="3" t="s">
        <v>5870</v>
      </c>
    </row>
    <row r="237" spans="1:21" ht="28.5" customHeight="1">
      <c r="A237" s="5" t="s">
        <v>798</v>
      </c>
      <c r="B237" s="5" t="s">
        <v>20</v>
      </c>
      <c r="C237" s="3" t="s">
        <v>799</v>
      </c>
      <c r="D237" s="6">
        <v>2023</v>
      </c>
      <c r="E237" s="3" t="s">
        <v>800</v>
      </c>
      <c r="F237" s="5" t="s">
        <v>115</v>
      </c>
      <c r="G237" s="10" t="s">
        <v>111</v>
      </c>
      <c r="H237" s="3" t="s">
        <v>5864</v>
      </c>
      <c r="I237" s="3"/>
      <c r="J237" s="3" t="s">
        <v>6366</v>
      </c>
      <c r="K237" s="3" t="s">
        <v>6367</v>
      </c>
      <c r="L237" s="3" t="s">
        <v>6368</v>
      </c>
      <c r="M237" t="s">
        <v>6369</v>
      </c>
      <c r="O237" s="3" t="s">
        <v>5867</v>
      </c>
      <c r="P237" s="12">
        <v>46303</v>
      </c>
      <c r="Q237" s="3"/>
      <c r="R237" s="3" t="s">
        <v>6370</v>
      </c>
      <c r="S237" s="3" t="s">
        <v>6317</v>
      </c>
      <c r="T237" s="3" t="s">
        <v>5870</v>
      </c>
      <c r="U237" s="3" t="s">
        <v>5870</v>
      </c>
    </row>
    <row r="238" spans="1:21" ht="57" customHeight="1">
      <c r="A238" s="5" t="s">
        <v>801</v>
      </c>
      <c r="B238" s="5" t="s">
        <v>24</v>
      </c>
      <c r="C238" s="3" t="s">
        <v>802</v>
      </c>
      <c r="D238" s="6">
        <v>2020</v>
      </c>
      <c r="E238" s="3" t="s">
        <v>803</v>
      </c>
      <c r="F238" s="5" t="s">
        <v>115</v>
      </c>
      <c r="G238" s="10" t="s">
        <v>111</v>
      </c>
      <c r="H238" s="3" t="s">
        <v>5864</v>
      </c>
      <c r="I238" s="3"/>
      <c r="J238" s="3" t="s">
        <v>95</v>
      </c>
      <c r="K238" s="3" t="s">
        <v>6371</v>
      </c>
      <c r="L238" s="3" t="s">
        <v>6372</v>
      </c>
      <c r="M238" t="s">
        <v>6373</v>
      </c>
      <c r="O238" s="3" t="s">
        <v>5867</v>
      </c>
      <c r="P238" s="12">
        <v>46303</v>
      </c>
      <c r="Q238" s="3"/>
      <c r="R238" s="3" t="s">
        <v>6374</v>
      </c>
      <c r="S238" s="3" t="s">
        <v>5869</v>
      </c>
      <c r="T238" s="3" t="s">
        <v>5870</v>
      </c>
      <c r="U238" s="3" t="s">
        <v>5869</v>
      </c>
    </row>
    <row r="239" spans="1:21" ht="28.5" customHeight="1">
      <c r="A239" s="5" t="s">
        <v>804</v>
      </c>
      <c r="B239" s="5" t="s">
        <v>24</v>
      </c>
      <c r="C239" s="3" t="s">
        <v>805</v>
      </c>
      <c r="D239" s="6">
        <v>2023</v>
      </c>
      <c r="E239" s="3" t="s">
        <v>806</v>
      </c>
      <c r="F239" s="5" t="s">
        <v>115</v>
      </c>
      <c r="G239" s="10" t="s">
        <v>111</v>
      </c>
      <c r="H239" s="3" t="s">
        <v>5864</v>
      </c>
      <c r="I239" s="3"/>
      <c r="J239" s="3" t="s">
        <v>95</v>
      </c>
      <c r="K239" s="3" t="s">
        <v>6375</v>
      </c>
      <c r="L239" s="3" t="s">
        <v>6376</v>
      </c>
      <c r="M239" t="s">
        <v>6377</v>
      </c>
      <c r="O239" s="3" t="s">
        <v>5867</v>
      </c>
      <c r="P239" s="12">
        <v>46303</v>
      </c>
      <c r="Q239" s="3"/>
      <c r="R239" s="3" t="s">
        <v>6378</v>
      </c>
      <c r="S239" s="3" t="s">
        <v>5869</v>
      </c>
      <c r="T239" s="3" t="s">
        <v>5869</v>
      </c>
      <c r="U239" s="3" t="s">
        <v>5870</v>
      </c>
    </row>
    <row r="240" spans="1:21" ht="42.75" customHeight="1">
      <c r="A240" s="5" t="s">
        <v>807</v>
      </c>
      <c r="B240" s="5" t="s">
        <v>24</v>
      </c>
      <c r="C240" s="3" t="s">
        <v>808</v>
      </c>
      <c r="D240" s="6">
        <v>2017</v>
      </c>
      <c r="E240" s="3" t="s">
        <v>809</v>
      </c>
      <c r="F240" s="5" t="s">
        <v>110</v>
      </c>
      <c r="G240" s="10" t="s">
        <v>111</v>
      </c>
      <c r="H240" s="3" t="s">
        <v>5864</v>
      </c>
      <c r="I240" s="3"/>
      <c r="J240" s="3" t="s">
        <v>6379</v>
      </c>
      <c r="K240" s="3" t="s">
        <v>6380</v>
      </c>
      <c r="L240" s="3" t="s">
        <v>6381</v>
      </c>
      <c r="M240" t="s">
        <v>6382</v>
      </c>
      <c r="O240" s="3" t="s">
        <v>5867</v>
      </c>
      <c r="P240" s="12">
        <v>46303</v>
      </c>
      <c r="Q240" s="3"/>
      <c r="R240" s="3" t="s">
        <v>6383</v>
      </c>
      <c r="S240" s="3" t="s">
        <v>5869</v>
      </c>
      <c r="T240" s="3" t="s">
        <v>5869</v>
      </c>
      <c r="U240" s="3" t="s">
        <v>5869</v>
      </c>
    </row>
    <row r="241" spans="1:21" ht="42.75" customHeight="1">
      <c r="A241" s="5" t="s">
        <v>810</v>
      </c>
      <c r="B241" s="5" t="s">
        <v>24</v>
      </c>
      <c r="C241" s="3" t="s">
        <v>811</v>
      </c>
      <c r="D241" s="6">
        <v>2024</v>
      </c>
      <c r="E241" s="3" t="s">
        <v>812</v>
      </c>
      <c r="F241" s="5" t="s">
        <v>115</v>
      </c>
      <c r="G241" s="10" t="s">
        <v>111</v>
      </c>
      <c r="H241" s="3" t="s">
        <v>5864</v>
      </c>
      <c r="I241" s="3"/>
      <c r="J241" s="3" t="s">
        <v>95</v>
      </c>
      <c r="K241" s="3" t="s">
        <v>6384</v>
      </c>
      <c r="L241" s="3" t="s">
        <v>6385</v>
      </c>
      <c r="M241" t="s">
        <v>6386</v>
      </c>
      <c r="O241" s="3" t="s">
        <v>5867</v>
      </c>
      <c r="P241" s="12">
        <v>46303</v>
      </c>
      <c r="Q241" s="3"/>
      <c r="R241" s="3" t="s">
        <v>6387</v>
      </c>
      <c r="S241" s="3" t="s">
        <v>5869</v>
      </c>
      <c r="T241" s="3" t="s">
        <v>5870</v>
      </c>
      <c r="U241" s="3" t="s">
        <v>5870</v>
      </c>
    </row>
    <row r="242" spans="1:21" ht="42.75" customHeight="1">
      <c r="A242" s="5" t="s">
        <v>813</v>
      </c>
      <c r="B242" s="5" t="s">
        <v>24</v>
      </c>
      <c r="C242" s="3" t="s">
        <v>814</v>
      </c>
      <c r="D242" s="6">
        <v>2020</v>
      </c>
      <c r="E242" s="3" t="s">
        <v>815</v>
      </c>
      <c r="F242" s="5" t="s">
        <v>115</v>
      </c>
      <c r="G242" s="10" t="s">
        <v>111</v>
      </c>
      <c r="H242" s="3" t="s">
        <v>5864</v>
      </c>
      <c r="I242" s="3"/>
      <c r="J242" s="3" t="s">
        <v>6388</v>
      </c>
      <c r="K242" s="3" t="s">
        <v>6389</v>
      </c>
      <c r="L242" s="3" t="s">
        <v>6390</v>
      </c>
      <c r="M242" t="s">
        <v>6391</v>
      </c>
      <c r="O242" s="3" t="s">
        <v>5867</v>
      </c>
      <c r="P242" s="12">
        <v>46303</v>
      </c>
      <c r="Q242" s="3"/>
      <c r="R242" s="3" t="s">
        <v>6392</v>
      </c>
      <c r="S242" s="3" t="s">
        <v>5869</v>
      </c>
      <c r="T242" s="3" t="s">
        <v>5869</v>
      </c>
      <c r="U242" s="3" t="s">
        <v>5870</v>
      </c>
    </row>
    <row r="243" spans="1:21" ht="28.5" customHeight="1">
      <c r="A243" s="5" t="s">
        <v>816</v>
      </c>
      <c r="B243" s="5" t="s">
        <v>24</v>
      </c>
      <c r="C243" s="3" t="s">
        <v>817</v>
      </c>
      <c r="D243" s="6">
        <v>2025</v>
      </c>
      <c r="E243" s="3" t="s">
        <v>818</v>
      </c>
      <c r="F243" s="5" t="s">
        <v>110</v>
      </c>
      <c r="G243" s="10" t="s">
        <v>111</v>
      </c>
      <c r="H243" s="3" t="s">
        <v>5864</v>
      </c>
      <c r="I243" s="3"/>
      <c r="J243" s="3" t="s">
        <v>95</v>
      </c>
      <c r="K243" s="3" t="s">
        <v>6393</v>
      </c>
      <c r="L243" s="3" t="s">
        <v>6394</v>
      </c>
      <c r="M243" t="s">
        <v>6395</v>
      </c>
      <c r="O243" s="3" t="s">
        <v>5867</v>
      </c>
      <c r="P243" s="12">
        <v>46303</v>
      </c>
      <c r="Q243" s="3"/>
      <c r="R243" s="3" t="s">
        <v>6396</v>
      </c>
      <c r="S243" s="3" t="s">
        <v>5870</v>
      </c>
      <c r="T243" s="3" t="s">
        <v>5869</v>
      </c>
      <c r="U243" s="3" t="s">
        <v>5870</v>
      </c>
    </row>
    <row r="244" spans="1:21" ht="42.75" customHeight="1">
      <c r="A244" s="5" t="s">
        <v>819</v>
      </c>
      <c r="B244" s="5" t="s">
        <v>24</v>
      </c>
      <c r="C244" s="3" t="s">
        <v>820</v>
      </c>
      <c r="D244" s="6">
        <v>2025</v>
      </c>
      <c r="E244" s="3" t="s">
        <v>821</v>
      </c>
      <c r="F244" s="5" t="s">
        <v>115</v>
      </c>
      <c r="G244" s="10" t="s">
        <v>111</v>
      </c>
      <c r="H244" s="3" t="s">
        <v>5864</v>
      </c>
      <c r="I244" s="3"/>
      <c r="J244" s="3" t="s">
        <v>95</v>
      </c>
      <c r="K244" s="3" t="s">
        <v>6397</v>
      </c>
      <c r="L244" s="3" t="s">
        <v>6398</v>
      </c>
      <c r="M244" t="s">
        <v>6399</v>
      </c>
      <c r="O244" s="3" t="s">
        <v>5867</v>
      </c>
      <c r="P244" s="12">
        <v>46303</v>
      </c>
      <c r="Q244" s="3"/>
      <c r="R244" s="3" t="s">
        <v>6400</v>
      </c>
      <c r="S244" s="3" t="s">
        <v>5870</v>
      </c>
      <c r="T244" s="3" t="s">
        <v>5869</v>
      </c>
      <c r="U244" s="3" t="s">
        <v>5869</v>
      </c>
    </row>
    <row r="245" spans="1:21" ht="42.75" customHeight="1">
      <c r="A245" s="5" t="s">
        <v>822</v>
      </c>
      <c r="B245" s="5" t="s">
        <v>24</v>
      </c>
      <c r="C245" s="3" t="s">
        <v>823</v>
      </c>
      <c r="D245" s="6">
        <v>2022</v>
      </c>
      <c r="E245" s="3" t="s">
        <v>824</v>
      </c>
      <c r="F245" s="5" t="s">
        <v>115</v>
      </c>
      <c r="G245" s="10" t="s">
        <v>111</v>
      </c>
      <c r="H245" s="3" t="s">
        <v>5864</v>
      </c>
      <c r="I245" s="3"/>
      <c r="J245" s="3" t="s">
        <v>95</v>
      </c>
      <c r="K245" s="3" t="s">
        <v>6429</v>
      </c>
      <c r="L245" s="3" t="s">
        <v>6430</v>
      </c>
      <c r="M245" t="s">
        <v>6431</v>
      </c>
      <c r="O245" s="3" t="s">
        <v>5867</v>
      </c>
      <c r="P245" s="12">
        <v>46303</v>
      </c>
      <c r="Q245" s="3"/>
      <c r="R245" s="3" t="s">
        <v>6432</v>
      </c>
      <c r="S245" s="3" t="s">
        <v>5869</v>
      </c>
      <c r="T245" s="3" t="s">
        <v>5870</v>
      </c>
      <c r="U245" s="3" t="s">
        <v>5869</v>
      </c>
    </row>
    <row r="246" spans="1:21" ht="57" customHeight="1">
      <c r="A246" s="5" t="s">
        <v>825</v>
      </c>
      <c r="B246" s="5" t="s">
        <v>24</v>
      </c>
      <c r="C246" s="3" t="s">
        <v>826</v>
      </c>
      <c r="D246" s="6">
        <v>2001</v>
      </c>
      <c r="E246" s="3" t="s">
        <v>827</v>
      </c>
      <c r="F246" s="5" t="s">
        <v>115</v>
      </c>
      <c r="G246" s="10" t="s">
        <v>111</v>
      </c>
      <c r="H246" s="3" t="s">
        <v>5871</v>
      </c>
      <c r="I246" s="3" t="s">
        <v>5743</v>
      </c>
      <c r="J246" s="3"/>
      <c r="K246" s="3"/>
      <c r="L246" s="3"/>
      <c r="O246" s="12"/>
      <c r="P246" s="12">
        <v>46303</v>
      </c>
      <c r="Q246" s="3"/>
      <c r="R246" s="3"/>
      <c r="S246" s="3"/>
      <c r="T246" s="3"/>
      <c r="U246" s="3"/>
    </row>
    <row r="247" spans="1:21" ht="42.75" customHeight="1">
      <c r="A247" s="5" t="s">
        <v>828</v>
      </c>
      <c r="B247" s="5" t="s">
        <v>24</v>
      </c>
      <c r="C247" s="3" t="s">
        <v>829</v>
      </c>
      <c r="D247" s="6">
        <v>2002</v>
      </c>
      <c r="E247" s="3" t="s">
        <v>830</v>
      </c>
      <c r="F247" s="5" t="s">
        <v>110</v>
      </c>
      <c r="G247" s="10" t="s">
        <v>111</v>
      </c>
      <c r="H247" s="3" t="s">
        <v>5864</v>
      </c>
      <c r="I247" s="3"/>
      <c r="J247" s="3" t="s">
        <v>95</v>
      </c>
      <c r="K247" s="3" t="s">
        <v>6433</v>
      </c>
      <c r="L247" s="3" t="s">
        <v>6434</v>
      </c>
      <c r="M247" t="s">
        <v>6435</v>
      </c>
      <c r="O247" s="12" t="s">
        <v>5867</v>
      </c>
      <c r="P247" s="12">
        <v>46303</v>
      </c>
      <c r="Q247" s="3"/>
      <c r="R247" s="3" t="s">
        <v>6436</v>
      </c>
      <c r="S247" s="3" t="s">
        <v>5870</v>
      </c>
      <c r="T247" s="3" t="s">
        <v>5869</v>
      </c>
      <c r="U247" s="3" t="s">
        <v>5870</v>
      </c>
    </row>
    <row r="248" spans="1:21" ht="42.75" customHeight="1">
      <c r="A248" s="5" t="s">
        <v>831</v>
      </c>
      <c r="B248" s="5" t="s">
        <v>24</v>
      </c>
      <c r="C248" s="3" t="s">
        <v>832</v>
      </c>
      <c r="D248" s="6">
        <v>2023</v>
      </c>
      <c r="E248" s="3" t="s">
        <v>833</v>
      </c>
      <c r="F248" s="5" t="s">
        <v>115</v>
      </c>
      <c r="G248" s="10" t="s">
        <v>111</v>
      </c>
      <c r="H248" s="3" t="s">
        <v>5864</v>
      </c>
      <c r="I248" s="3"/>
      <c r="J248" s="3" t="s">
        <v>95</v>
      </c>
      <c r="K248" s="3" t="s">
        <v>6401</v>
      </c>
      <c r="L248" s="3" t="s">
        <v>6402</v>
      </c>
      <c r="M248" t="s">
        <v>6403</v>
      </c>
      <c r="O248" s="3" t="s">
        <v>5872</v>
      </c>
      <c r="P248" s="12">
        <v>46303</v>
      </c>
      <c r="Q248" s="3"/>
      <c r="R248" s="3" t="s">
        <v>6404</v>
      </c>
      <c r="S248" s="3" t="s">
        <v>5870</v>
      </c>
      <c r="T248" s="3" t="s">
        <v>5869</v>
      </c>
      <c r="U248" s="3" t="s">
        <v>5869</v>
      </c>
    </row>
    <row r="249" spans="1:21" ht="28.5" customHeight="1">
      <c r="A249" s="5" t="s">
        <v>834</v>
      </c>
      <c r="B249" s="5" t="s">
        <v>24</v>
      </c>
      <c r="C249" s="3" t="s">
        <v>835</v>
      </c>
      <c r="D249" s="6">
        <v>2026</v>
      </c>
      <c r="E249" s="3" t="s">
        <v>836</v>
      </c>
      <c r="F249" s="5" t="s">
        <v>115</v>
      </c>
      <c r="G249" s="10" t="s">
        <v>111</v>
      </c>
      <c r="H249" s="3" t="s">
        <v>5864</v>
      </c>
      <c r="I249" s="3"/>
      <c r="J249" s="3" t="s">
        <v>95</v>
      </c>
      <c r="K249" s="3" t="s">
        <v>6405</v>
      </c>
      <c r="L249" s="3" t="s">
        <v>6406</v>
      </c>
      <c r="M249" t="s">
        <v>6407</v>
      </c>
      <c r="O249" s="3" t="s">
        <v>5867</v>
      </c>
      <c r="P249" s="12">
        <v>46303</v>
      </c>
      <c r="Q249" s="3"/>
      <c r="R249" s="3" t="s">
        <v>6408</v>
      </c>
      <c r="S249" s="3" t="s">
        <v>5870</v>
      </c>
      <c r="T249" s="3" t="s">
        <v>5869</v>
      </c>
      <c r="U249" s="3" t="s">
        <v>5870</v>
      </c>
    </row>
    <row r="250" spans="1:21" ht="57" customHeight="1">
      <c r="A250" s="5" t="s">
        <v>837</v>
      </c>
      <c r="B250" s="5" t="s">
        <v>24</v>
      </c>
      <c r="C250" s="3" t="s">
        <v>838</v>
      </c>
      <c r="D250" s="6">
        <v>2022</v>
      </c>
      <c r="E250" s="3" t="s">
        <v>839</v>
      </c>
      <c r="F250" s="5" t="s">
        <v>115</v>
      </c>
      <c r="G250" s="10" t="s">
        <v>111</v>
      </c>
      <c r="H250" s="3" t="s">
        <v>5864</v>
      </c>
      <c r="I250" s="3"/>
      <c r="J250" s="3" t="s">
        <v>95</v>
      </c>
      <c r="K250" s="3" t="s">
        <v>6409</v>
      </c>
      <c r="L250" s="3" t="s">
        <v>6410</v>
      </c>
      <c r="M250" t="s">
        <v>6411</v>
      </c>
      <c r="O250" s="3" t="s">
        <v>5867</v>
      </c>
      <c r="P250" s="12">
        <v>46303</v>
      </c>
      <c r="Q250" s="3"/>
      <c r="R250" s="3" t="s">
        <v>6412</v>
      </c>
      <c r="S250" s="3" t="s">
        <v>5870</v>
      </c>
      <c r="T250" s="3" t="s">
        <v>5870</v>
      </c>
      <c r="U250" s="3" t="s">
        <v>5869</v>
      </c>
    </row>
    <row r="251" spans="1:21" ht="42.75" customHeight="1">
      <c r="A251" s="5" t="s">
        <v>840</v>
      </c>
      <c r="B251" s="5" t="s">
        <v>24</v>
      </c>
      <c r="C251" s="3" t="s">
        <v>841</v>
      </c>
      <c r="D251" s="6">
        <v>2013</v>
      </c>
      <c r="E251" s="3" t="s">
        <v>842</v>
      </c>
      <c r="F251" s="5" t="s">
        <v>110</v>
      </c>
      <c r="G251" s="10" t="s">
        <v>111</v>
      </c>
      <c r="H251" s="3" t="s">
        <v>5864</v>
      </c>
      <c r="I251" s="3"/>
      <c r="J251" s="3" t="s">
        <v>95</v>
      </c>
      <c r="K251" s="3" t="s">
        <v>6413</v>
      </c>
      <c r="L251" s="3" t="s">
        <v>6414</v>
      </c>
      <c r="M251" t="s">
        <v>6415</v>
      </c>
      <c r="O251" s="3" t="s">
        <v>5867</v>
      </c>
      <c r="P251" s="12">
        <v>46303</v>
      </c>
      <c r="Q251" s="3"/>
      <c r="R251" s="3" t="s">
        <v>6416</v>
      </c>
      <c r="S251" s="3" t="s">
        <v>5869</v>
      </c>
      <c r="T251" s="3" t="s">
        <v>5869</v>
      </c>
      <c r="U251" s="3" t="s">
        <v>5870</v>
      </c>
    </row>
    <row r="252" spans="1:21" ht="42.75" customHeight="1">
      <c r="A252" s="5" t="s">
        <v>843</v>
      </c>
      <c r="B252" s="5" t="s">
        <v>24</v>
      </c>
      <c r="C252" s="3" t="s">
        <v>844</v>
      </c>
      <c r="D252" s="6">
        <v>2021</v>
      </c>
      <c r="E252" s="3" t="s">
        <v>845</v>
      </c>
      <c r="F252" s="5" t="s">
        <v>115</v>
      </c>
      <c r="G252" s="10" t="s">
        <v>111</v>
      </c>
      <c r="H252" s="3" t="s">
        <v>5864</v>
      </c>
      <c r="I252" s="3"/>
      <c r="J252" s="3" t="s">
        <v>95</v>
      </c>
      <c r="K252" s="3" t="s">
        <v>6417</v>
      </c>
      <c r="L252" s="3" t="s">
        <v>6418</v>
      </c>
      <c r="M252" t="s">
        <v>6419</v>
      </c>
      <c r="O252" s="3" t="s">
        <v>5867</v>
      </c>
      <c r="P252" s="12">
        <v>46303</v>
      </c>
      <c r="Q252" s="3"/>
      <c r="R252" s="3" t="s">
        <v>6420</v>
      </c>
      <c r="S252" s="3" t="s">
        <v>5870</v>
      </c>
      <c r="T252" s="3" t="s">
        <v>5870</v>
      </c>
      <c r="U252" s="3" t="s">
        <v>5870</v>
      </c>
    </row>
    <row r="253" spans="1:21" ht="42.75" customHeight="1">
      <c r="A253" s="5" t="s">
        <v>846</v>
      </c>
      <c r="B253" s="5" t="s">
        <v>24</v>
      </c>
      <c r="C253" s="3" t="s">
        <v>847</v>
      </c>
      <c r="D253" s="6">
        <v>2025</v>
      </c>
      <c r="E253" s="3" t="s">
        <v>848</v>
      </c>
      <c r="F253" s="5" t="s">
        <v>110</v>
      </c>
      <c r="G253" s="10" t="s">
        <v>111</v>
      </c>
      <c r="H253" s="3" t="s">
        <v>5864</v>
      </c>
      <c r="I253" s="3"/>
      <c r="J253" s="3" t="s">
        <v>95</v>
      </c>
      <c r="K253" s="3" t="s">
        <v>6421</v>
      </c>
      <c r="L253" s="3" t="s">
        <v>6422</v>
      </c>
      <c r="M253" t="s">
        <v>6423</v>
      </c>
      <c r="O253" s="3" t="s">
        <v>5867</v>
      </c>
      <c r="P253" s="12">
        <v>46303</v>
      </c>
      <c r="Q253" s="3"/>
      <c r="R253" s="3" t="s">
        <v>6424</v>
      </c>
      <c r="S253" s="3" t="s">
        <v>5870</v>
      </c>
      <c r="T253" s="3" t="s">
        <v>5870</v>
      </c>
      <c r="U253" s="3" t="s">
        <v>5870</v>
      </c>
    </row>
    <row r="254" spans="1:21" ht="57" customHeight="1">
      <c r="A254" s="5" t="s">
        <v>849</v>
      </c>
      <c r="B254" s="5" t="s">
        <v>24</v>
      </c>
      <c r="C254" s="3" t="s">
        <v>850</v>
      </c>
      <c r="D254" s="6">
        <v>2026</v>
      </c>
      <c r="E254" s="3" t="s">
        <v>851</v>
      </c>
      <c r="F254" s="5" t="s">
        <v>110</v>
      </c>
      <c r="G254" s="10" t="s">
        <v>111</v>
      </c>
      <c r="H254" s="3" t="s">
        <v>5864</v>
      </c>
      <c r="I254" s="3"/>
      <c r="J254" s="3" t="s">
        <v>95</v>
      </c>
      <c r="K254" s="3" t="s">
        <v>6425</v>
      </c>
      <c r="L254" s="3" t="s">
        <v>6426</v>
      </c>
      <c r="M254" t="s">
        <v>6427</v>
      </c>
      <c r="O254" s="3" t="s">
        <v>5867</v>
      </c>
      <c r="P254" s="12">
        <v>46303</v>
      </c>
      <c r="Q254" s="3"/>
      <c r="R254" s="3" t="s">
        <v>6428</v>
      </c>
      <c r="S254" s="3" t="s">
        <v>5869</v>
      </c>
      <c r="T254" s="3" t="s">
        <v>5869</v>
      </c>
      <c r="U254" s="3" t="s">
        <v>5869</v>
      </c>
    </row>
    <row r="255" spans="1:21" ht="28.5" customHeight="1">
      <c r="A255" s="5" t="s">
        <v>852</v>
      </c>
      <c r="B255" s="5" t="s">
        <v>24</v>
      </c>
      <c r="C255" s="3" t="s">
        <v>853</v>
      </c>
      <c r="D255" s="6">
        <v>2024</v>
      </c>
      <c r="E255" s="3" t="s">
        <v>854</v>
      </c>
      <c r="F255" s="5" t="s">
        <v>115</v>
      </c>
      <c r="G255" s="10" t="s">
        <v>111</v>
      </c>
      <c r="H255" s="3" t="s">
        <v>5864</v>
      </c>
      <c r="I255" s="3"/>
      <c r="J255" s="3" t="s">
        <v>95</v>
      </c>
      <c r="K255" s="3" t="s">
        <v>6437</v>
      </c>
      <c r="L255" s="3" t="s">
        <v>6463</v>
      </c>
      <c r="M255" t="s">
        <v>6464</v>
      </c>
      <c r="O255" s="3" t="s">
        <v>5872</v>
      </c>
      <c r="P255" s="12">
        <v>46303</v>
      </c>
      <c r="Q255" s="3"/>
      <c r="R255" s="3" t="s">
        <v>6465</v>
      </c>
      <c r="S255" s="3" t="s">
        <v>5870</v>
      </c>
      <c r="T255" s="3" t="s">
        <v>5870</v>
      </c>
      <c r="U255" s="3" t="s">
        <v>5870</v>
      </c>
    </row>
    <row r="256" spans="1:21" ht="42.75" customHeight="1">
      <c r="A256" s="5" t="s">
        <v>855</v>
      </c>
      <c r="B256" s="5" t="s">
        <v>24</v>
      </c>
      <c r="C256" s="3" t="s">
        <v>856</v>
      </c>
      <c r="D256" s="6">
        <v>2022</v>
      </c>
      <c r="E256" s="3" t="s">
        <v>857</v>
      </c>
      <c r="F256" s="5" t="s">
        <v>115</v>
      </c>
      <c r="G256" s="10" t="s">
        <v>111</v>
      </c>
      <c r="H256" s="3" t="s">
        <v>5864</v>
      </c>
      <c r="I256" s="3"/>
      <c r="J256" s="3" t="s">
        <v>95</v>
      </c>
      <c r="K256" s="3" t="s">
        <v>6438</v>
      </c>
      <c r="L256" s="3" t="s">
        <v>6439</v>
      </c>
      <c r="M256" t="s">
        <v>6440</v>
      </c>
      <c r="O256" s="3" t="s">
        <v>5867</v>
      </c>
      <c r="P256" s="12">
        <v>46303</v>
      </c>
      <c r="Q256" s="3"/>
      <c r="R256" s="3" t="s">
        <v>6441</v>
      </c>
      <c r="S256" s="3" t="s">
        <v>5870</v>
      </c>
      <c r="T256" s="3" t="s">
        <v>5870</v>
      </c>
      <c r="U256" s="3" t="s">
        <v>5869</v>
      </c>
    </row>
    <row r="257" spans="1:21" ht="42.75" customHeight="1">
      <c r="A257" s="5" t="s">
        <v>858</v>
      </c>
      <c r="B257" s="5" t="s">
        <v>24</v>
      </c>
      <c r="C257" s="3" t="s">
        <v>859</v>
      </c>
      <c r="D257" s="6">
        <v>2020</v>
      </c>
      <c r="E257" s="3" t="s">
        <v>860</v>
      </c>
      <c r="F257" s="5" t="s">
        <v>115</v>
      </c>
      <c r="G257" s="10" t="s">
        <v>111</v>
      </c>
      <c r="H257" s="3" t="s">
        <v>5864</v>
      </c>
      <c r="I257" s="3"/>
      <c r="J257" s="3" t="s">
        <v>95</v>
      </c>
      <c r="K257" s="3" t="s">
        <v>6442</v>
      </c>
      <c r="L257" s="3" t="s">
        <v>6466</v>
      </c>
      <c r="M257" t="s">
        <v>6467</v>
      </c>
      <c r="O257" s="3" t="s">
        <v>5867</v>
      </c>
      <c r="P257" s="12">
        <v>46303</v>
      </c>
      <c r="Q257" s="3"/>
      <c r="R257" s="3" t="s">
        <v>6468</v>
      </c>
      <c r="S257" s="3" t="s">
        <v>5869</v>
      </c>
      <c r="T257" s="3" t="s">
        <v>5870</v>
      </c>
      <c r="U257" s="3" t="s">
        <v>5870</v>
      </c>
    </row>
    <row r="258" spans="1:21" ht="42.75" customHeight="1">
      <c r="A258" s="5" t="s">
        <v>861</v>
      </c>
      <c r="B258" s="5" t="s">
        <v>24</v>
      </c>
      <c r="C258" s="3" t="s">
        <v>862</v>
      </c>
      <c r="D258" s="6">
        <v>2024</v>
      </c>
      <c r="E258" s="3" t="s">
        <v>863</v>
      </c>
      <c r="F258" s="5" t="s">
        <v>115</v>
      </c>
      <c r="G258" s="10" t="s">
        <v>111</v>
      </c>
      <c r="H258" s="3" t="s">
        <v>5864</v>
      </c>
      <c r="I258" s="3"/>
      <c r="J258" s="3" t="s">
        <v>95</v>
      </c>
      <c r="K258" s="3" t="s">
        <v>6443</v>
      </c>
      <c r="L258" s="3" t="s">
        <v>6444</v>
      </c>
      <c r="M258" t="s">
        <v>6445</v>
      </c>
      <c r="O258" s="3" t="s">
        <v>5867</v>
      </c>
      <c r="P258" s="12">
        <v>46303</v>
      </c>
      <c r="Q258" s="3"/>
      <c r="R258" s="3" t="s">
        <v>6446</v>
      </c>
      <c r="S258" s="3" t="s">
        <v>5870</v>
      </c>
      <c r="T258" s="3" t="s">
        <v>5870</v>
      </c>
      <c r="U258" s="3" t="s">
        <v>5870</v>
      </c>
    </row>
    <row r="259" spans="1:21" ht="28.5" customHeight="1">
      <c r="A259" s="5" t="s">
        <v>864</v>
      </c>
      <c r="B259" s="5" t="s">
        <v>24</v>
      </c>
      <c r="C259" s="3" t="s">
        <v>865</v>
      </c>
      <c r="D259" s="6">
        <v>2026</v>
      </c>
      <c r="E259" s="3" t="s">
        <v>866</v>
      </c>
      <c r="F259" s="5" t="s">
        <v>115</v>
      </c>
      <c r="G259" s="10" t="s">
        <v>111</v>
      </c>
      <c r="H259" s="3" t="s">
        <v>5864</v>
      </c>
      <c r="I259" s="3"/>
      <c r="J259" s="3" t="s">
        <v>95</v>
      </c>
      <c r="K259" s="3" t="s">
        <v>6447</v>
      </c>
      <c r="L259" s="3" t="s">
        <v>6448</v>
      </c>
      <c r="M259" t="s">
        <v>6449</v>
      </c>
      <c r="O259" s="3" t="s">
        <v>5867</v>
      </c>
      <c r="P259" s="12">
        <v>46303</v>
      </c>
      <c r="Q259" s="3"/>
      <c r="R259" s="3" t="s">
        <v>6450</v>
      </c>
      <c r="S259" s="3" t="s">
        <v>5870</v>
      </c>
      <c r="T259" s="3" t="s">
        <v>5870</v>
      </c>
      <c r="U259" s="3" t="s">
        <v>5870</v>
      </c>
    </row>
    <row r="260" spans="1:21" ht="28.5" customHeight="1">
      <c r="A260" s="5" t="s">
        <v>867</v>
      </c>
      <c r="B260" s="5" t="s">
        <v>24</v>
      </c>
      <c r="C260" s="3" t="s">
        <v>868</v>
      </c>
      <c r="D260" s="6">
        <v>2023</v>
      </c>
      <c r="E260" s="3" t="s">
        <v>869</v>
      </c>
      <c r="F260" s="5" t="s">
        <v>115</v>
      </c>
      <c r="G260" s="10" t="s">
        <v>111</v>
      </c>
      <c r="H260" s="3" t="s">
        <v>5864</v>
      </c>
      <c r="I260" s="3"/>
      <c r="J260" s="3" t="s">
        <v>95</v>
      </c>
      <c r="K260" s="3" t="s">
        <v>6451</v>
      </c>
      <c r="L260" s="3" t="s">
        <v>6452</v>
      </c>
      <c r="M260" t="s">
        <v>6453</v>
      </c>
      <c r="O260" s="3" t="s">
        <v>5867</v>
      </c>
      <c r="P260" s="12">
        <v>46303</v>
      </c>
      <c r="Q260" s="3"/>
      <c r="R260" s="3" t="s">
        <v>6454</v>
      </c>
      <c r="S260" s="3" t="s">
        <v>5869</v>
      </c>
      <c r="T260" s="3" t="s">
        <v>5869</v>
      </c>
      <c r="U260" s="3" t="s">
        <v>5870</v>
      </c>
    </row>
    <row r="261" spans="1:21" ht="28.5" customHeight="1">
      <c r="A261" s="5" t="s">
        <v>870</v>
      </c>
      <c r="B261" s="5" t="s">
        <v>24</v>
      </c>
      <c r="C261" s="3" t="s">
        <v>871</v>
      </c>
      <c r="D261" s="6">
        <v>2017</v>
      </c>
      <c r="E261" s="3" t="s">
        <v>872</v>
      </c>
      <c r="F261" s="5" t="s">
        <v>115</v>
      </c>
      <c r="G261" s="10" t="s">
        <v>111</v>
      </c>
      <c r="H261" s="3" t="s">
        <v>5864</v>
      </c>
      <c r="I261" s="3"/>
      <c r="J261" s="3" t="s">
        <v>95</v>
      </c>
      <c r="K261" s="3" t="s">
        <v>6455</v>
      </c>
      <c r="L261" s="3" t="s">
        <v>6456</v>
      </c>
      <c r="M261" t="s">
        <v>6457</v>
      </c>
      <c r="O261" s="3" t="s">
        <v>5867</v>
      </c>
      <c r="P261" s="12">
        <v>46303</v>
      </c>
      <c r="Q261" s="3"/>
      <c r="R261" s="3" t="s">
        <v>6458</v>
      </c>
      <c r="S261" s="3" t="s">
        <v>5870</v>
      </c>
      <c r="T261" s="3" t="s">
        <v>5870</v>
      </c>
      <c r="U261" s="3" t="s">
        <v>5869</v>
      </c>
    </row>
    <row r="262" spans="1:21" ht="42.75" customHeight="1">
      <c r="A262" s="5" t="s">
        <v>873</v>
      </c>
      <c r="B262" s="5" t="s">
        <v>24</v>
      </c>
      <c r="C262" s="3" t="s">
        <v>874</v>
      </c>
      <c r="D262" s="6">
        <v>2023</v>
      </c>
      <c r="E262" s="3" t="s">
        <v>875</v>
      </c>
      <c r="F262" s="5" t="s">
        <v>115</v>
      </c>
      <c r="G262" s="10" t="s">
        <v>111</v>
      </c>
      <c r="H262" s="3" t="s">
        <v>5864</v>
      </c>
      <c r="I262" s="3"/>
      <c r="J262" s="3" t="s">
        <v>95</v>
      </c>
      <c r="K262" s="3" t="s">
        <v>6459</v>
      </c>
      <c r="L262" s="3" t="s">
        <v>6460</v>
      </c>
      <c r="M262" t="s">
        <v>6461</v>
      </c>
      <c r="O262" s="3" t="s">
        <v>5867</v>
      </c>
      <c r="P262" s="12">
        <v>46303</v>
      </c>
      <c r="Q262" s="3"/>
      <c r="R262" s="3" t="s">
        <v>6462</v>
      </c>
      <c r="S262" s="3" t="s">
        <v>5869</v>
      </c>
      <c r="T262" s="3" t="s">
        <v>5869</v>
      </c>
      <c r="U262" s="3" t="s">
        <v>5870</v>
      </c>
    </row>
    <row r="263" spans="1:21" ht="28.5" customHeight="1">
      <c r="A263" s="5" t="s">
        <v>876</v>
      </c>
      <c r="B263" s="5" t="s">
        <v>24</v>
      </c>
      <c r="C263" s="3" t="s">
        <v>877</v>
      </c>
      <c r="D263" s="6">
        <v>2006</v>
      </c>
      <c r="E263" s="3" t="s">
        <v>878</v>
      </c>
      <c r="F263" s="5" t="s">
        <v>115</v>
      </c>
      <c r="G263" s="10" t="s">
        <v>111</v>
      </c>
      <c r="H263" s="3" t="s">
        <v>5864</v>
      </c>
      <c r="I263" s="3"/>
      <c r="J263" s="3" t="s">
        <v>95</v>
      </c>
      <c r="K263" s="3" t="s">
        <v>6469</v>
      </c>
      <c r="L263" s="3" t="s">
        <v>6470</v>
      </c>
      <c r="M263" t="s">
        <v>6471</v>
      </c>
      <c r="O263" s="3" t="s">
        <v>5867</v>
      </c>
      <c r="P263" s="12">
        <v>46303</v>
      </c>
      <c r="Q263" s="3"/>
      <c r="R263" s="3" t="s">
        <v>6472</v>
      </c>
      <c r="S263" s="3" t="s">
        <v>5870</v>
      </c>
      <c r="T263" s="3" t="s">
        <v>5869</v>
      </c>
      <c r="U263" s="3" t="s">
        <v>5869</v>
      </c>
    </row>
    <row r="264" spans="1:21" ht="28.5" customHeight="1">
      <c r="A264" s="5" t="s">
        <v>879</v>
      </c>
      <c r="B264" s="5" t="s">
        <v>24</v>
      </c>
      <c r="C264" s="3" t="s">
        <v>880</v>
      </c>
      <c r="D264" s="6">
        <v>2016</v>
      </c>
      <c r="E264" s="3" t="s">
        <v>881</v>
      </c>
      <c r="F264" s="5" t="s">
        <v>115</v>
      </c>
      <c r="G264" s="10" t="s">
        <v>111</v>
      </c>
      <c r="H264" s="3" t="s">
        <v>5864</v>
      </c>
      <c r="I264" s="3"/>
      <c r="J264" s="3" t="s">
        <v>95</v>
      </c>
      <c r="K264" s="3" t="s">
        <v>6473</v>
      </c>
      <c r="L264" s="3" t="s">
        <v>6474</v>
      </c>
      <c r="M264" t="s">
        <v>6475</v>
      </c>
      <c r="O264" s="3" t="s">
        <v>5867</v>
      </c>
      <c r="P264" s="12">
        <v>46303</v>
      </c>
      <c r="Q264" s="3"/>
      <c r="R264" s="3" t="s">
        <v>6476</v>
      </c>
      <c r="S264" s="3" t="s">
        <v>5870</v>
      </c>
      <c r="T264" s="3" t="s">
        <v>5870</v>
      </c>
      <c r="U264" s="3" t="s">
        <v>5869</v>
      </c>
    </row>
    <row r="265" spans="1:21" ht="42.75" customHeight="1">
      <c r="A265" s="5" t="s">
        <v>882</v>
      </c>
      <c r="B265" s="5" t="s">
        <v>24</v>
      </c>
      <c r="C265" s="3" t="s">
        <v>883</v>
      </c>
      <c r="D265" s="6">
        <v>2021</v>
      </c>
      <c r="E265" s="3" t="s">
        <v>884</v>
      </c>
      <c r="F265" s="5" t="s">
        <v>110</v>
      </c>
      <c r="G265" s="10" t="s">
        <v>111</v>
      </c>
      <c r="H265" s="3" t="s">
        <v>5864</v>
      </c>
      <c r="I265" s="3"/>
      <c r="J265" s="3" t="s">
        <v>95</v>
      </c>
      <c r="K265" s="3" t="s">
        <v>6477</v>
      </c>
      <c r="L265" s="3" t="s">
        <v>6478</v>
      </c>
      <c r="M265" t="s">
        <v>6479</v>
      </c>
      <c r="O265" s="3" t="s">
        <v>5867</v>
      </c>
      <c r="P265" s="12">
        <v>46303</v>
      </c>
      <c r="Q265" s="3"/>
      <c r="R265" s="3" t="s">
        <v>6480</v>
      </c>
      <c r="S265" s="3" t="s">
        <v>5870</v>
      </c>
      <c r="T265" s="3" t="s">
        <v>5870</v>
      </c>
      <c r="U265" s="3" t="s">
        <v>5869</v>
      </c>
    </row>
    <row r="266" spans="1:21" ht="28.5" customHeight="1">
      <c r="A266" s="5" t="s">
        <v>885</v>
      </c>
      <c r="B266" s="5" t="s">
        <v>24</v>
      </c>
      <c r="C266" s="3" t="s">
        <v>886</v>
      </c>
      <c r="D266" s="6">
        <v>2018</v>
      </c>
      <c r="E266" s="3" t="s">
        <v>887</v>
      </c>
      <c r="F266" s="5" t="s">
        <v>115</v>
      </c>
      <c r="G266" s="10" t="s">
        <v>111</v>
      </c>
      <c r="H266" s="3" t="s">
        <v>5864</v>
      </c>
      <c r="I266" s="3"/>
      <c r="J266" s="3" t="s">
        <v>95</v>
      </c>
      <c r="K266" s="3" t="s">
        <v>6481</v>
      </c>
      <c r="L266" s="3" t="s">
        <v>6482</v>
      </c>
      <c r="M266" t="s">
        <v>6483</v>
      </c>
      <c r="O266" s="3" t="s">
        <v>5867</v>
      </c>
      <c r="P266" s="12">
        <v>46303</v>
      </c>
      <c r="Q266" s="3"/>
      <c r="R266" s="3" t="s">
        <v>6484</v>
      </c>
      <c r="S266" s="3" t="s">
        <v>5870</v>
      </c>
      <c r="T266" s="3" t="s">
        <v>5870</v>
      </c>
      <c r="U266" s="3" t="s">
        <v>5869</v>
      </c>
    </row>
    <row r="267" spans="1:21" ht="71.25">
      <c r="A267" s="5" t="s">
        <v>888</v>
      </c>
      <c r="B267" s="5" t="s">
        <v>24</v>
      </c>
      <c r="C267" s="3" t="s">
        <v>889</v>
      </c>
      <c r="D267" s="6">
        <v>2017</v>
      </c>
      <c r="E267" s="3" t="s">
        <v>890</v>
      </c>
      <c r="F267" s="5" t="s">
        <v>110</v>
      </c>
      <c r="G267" s="10" t="s">
        <v>111</v>
      </c>
      <c r="H267" s="3" t="s">
        <v>5864</v>
      </c>
      <c r="I267" s="3"/>
      <c r="J267" s="3" t="s">
        <v>6388</v>
      </c>
      <c r="K267" s="3" t="s">
        <v>6485</v>
      </c>
      <c r="L267" s="3" t="s">
        <v>6486</v>
      </c>
      <c r="M267" t="s">
        <v>6487</v>
      </c>
      <c r="O267" s="3" t="s">
        <v>5867</v>
      </c>
      <c r="P267" s="12">
        <v>46303</v>
      </c>
      <c r="Q267" s="3"/>
      <c r="R267" s="3" t="s">
        <v>6488</v>
      </c>
      <c r="S267" s="3" t="s">
        <v>5869</v>
      </c>
      <c r="T267" s="3" t="s">
        <v>5869</v>
      </c>
      <c r="U267" s="3" t="s">
        <v>5870</v>
      </c>
    </row>
    <row r="268" spans="1:21" ht="28.5" customHeight="1">
      <c r="A268" s="5" t="s">
        <v>891</v>
      </c>
      <c r="B268" s="5" t="s">
        <v>24</v>
      </c>
      <c r="C268" s="3" t="s">
        <v>892</v>
      </c>
      <c r="D268" s="6">
        <v>2011</v>
      </c>
      <c r="E268" s="3" t="s">
        <v>893</v>
      </c>
      <c r="F268" s="5" t="s">
        <v>115</v>
      </c>
      <c r="G268" s="10" t="s">
        <v>111</v>
      </c>
      <c r="H268" s="3" t="s">
        <v>5864</v>
      </c>
      <c r="I268" s="3"/>
      <c r="J268" s="3" t="s">
        <v>95</v>
      </c>
      <c r="K268" s="3" t="s">
        <v>6489</v>
      </c>
      <c r="L268" s="3" t="s">
        <v>6490</v>
      </c>
      <c r="M268" t="s">
        <v>6491</v>
      </c>
      <c r="O268" s="3" t="s">
        <v>5867</v>
      </c>
      <c r="P268" s="12">
        <v>46303</v>
      </c>
      <c r="Q268" s="3"/>
      <c r="R268" s="3" t="s">
        <v>6492</v>
      </c>
      <c r="S268" s="3" t="s">
        <v>5870</v>
      </c>
      <c r="T268" s="3" t="s">
        <v>5870</v>
      </c>
      <c r="U268" s="3" t="s">
        <v>5870</v>
      </c>
    </row>
    <row r="269" spans="1:21" ht="28.5" customHeight="1">
      <c r="A269" s="5" t="s">
        <v>894</v>
      </c>
      <c r="B269" s="5" t="s">
        <v>24</v>
      </c>
      <c r="C269" s="3" t="s">
        <v>895</v>
      </c>
      <c r="D269" s="6">
        <v>2025</v>
      </c>
      <c r="E269" s="3" t="s">
        <v>896</v>
      </c>
      <c r="F269" s="5" t="s">
        <v>115</v>
      </c>
      <c r="G269" s="10" t="s">
        <v>111</v>
      </c>
      <c r="H269" s="3" t="s">
        <v>5871</v>
      </c>
      <c r="I269" s="3" t="s">
        <v>5743</v>
      </c>
      <c r="J269" s="3"/>
      <c r="K269" s="3"/>
      <c r="L269" s="3"/>
      <c r="P269" s="12">
        <v>46303</v>
      </c>
      <c r="Q269" s="3"/>
      <c r="R269" s="3"/>
      <c r="S269" s="3"/>
      <c r="T269" s="3"/>
      <c r="U269" s="3"/>
    </row>
    <row r="270" spans="1:21" ht="28.5" customHeight="1">
      <c r="A270" s="5" t="s">
        <v>897</v>
      </c>
      <c r="B270" s="5" t="s">
        <v>24</v>
      </c>
      <c r="C270" s="3" t="s">
        <v>898</v>
      </c>
      <c r="D270" s="6">
        <v>2022</v>
      </c>
      <c r="E270" s="3" t="s">
        <v>899</v>
      </c>
      <c r="F270" s="5" t="s">
        <v>110</v>
      </c>
      <c r="G270" s="10" t="s">
        <v>111</v>
      </c>
      <c r="H270" s="3" t="s">
        <v>5864</v>
      </c>
      <c r="I270" s="3"/>
      <c r="J270" s="3" t="s">
        <v>95</v>
      </c>
      <c r="K270" s="3" t="s">
        <v>6493</v>
      </c>
      <c r="L270" s="3" t="s">
        <v>6494</v>
      </c>
      <c r="M270" t="s">
        <v>6495</v>
      </c>
      <c r="O270" s="3" t="s">
        <v>5867</v>
      </c>
      <c r="P270" s="12">
        <v>46303</v>
      </c>
      <c r="Q270" s="3"/>
      <c r="R270" s="3" t="s">
        <v>6496</v>
      </c>
      <c r="S270" s="3" t="s">
        <v>5869</v>
      </c>
      <c r="T270" s="3" t="s">
        <v>5870</v>
      </c>
      <c r="U270" s="3" t="s">
        <v>5870</v>
      </c>
    </row>
    <row r="271" spans="1:21" ht="42.75" customHeight="1">
      <c r="A271" s="5" t="s">
        <v>900</v>
      </c>
      <c r="B271" s="5" t="s">
        <v>24</v>
      </c>
      <c r="C271" s="3" t="s">
        <v>901</v>
      </c>
      <c r="D271" s="6">
        <v>2023</v>
      </c>
      <c r="E271" s="3" t="s">
        <v>902</v>
      </c>
      <c r="F271" s="5" t="s">
        <v>110</v>
      </c>
      <c r="G271" s="10" t="s">
        <v>111</v>
      </c>
      <c r="H271" s="3" t="s">
        <v>5864</v>
      </c>
      <c r="I271" s="3"/>
      <c r="J271" s="3" t="s">
        <v>95</v>
      </c>
      <c r="K271" s="3" t="s">
        <v>6497</v>
      </c>
      <c r="L271" s="3" t="s">
        <v>6498</v>
      </c>
      <c r="M271" t="s">
        <v>6499</v>
      </c>
      <c r="O271" s="3" t="s">
        <v>5867</v>
      </c>
      <c r="P271" s="12">
        <v>46303</v>
      </c>
      <c r="Q271" s="3"/>
      <c r="R271" s="3" t="s">
        <v>6500</v>
      </c>
      <c r="S271" s="3" t="s">
        <v>5869</v>
      </c>
      <c r="T271" s="3" t="s">
        <v>5870</v>
      </c>
      <c r="U271" s="3" t="s">
        <v>5870</v>
      </c>
    </row>
    <row r="272" spans="1:21" ht="57" customHeight="1">
      <c r="A272" s="5" t="s">
        <v>903</v>
      </c>
      <c r="B272" s="5" t="s">
        <v>24</v>
      </c>
      <c r="C272" s="3" t="s">
        <v>904</v>
      </c>
      <c r="D272" s="6">
        <v>2023</v>
      </c>
      <c r="E272" s="3" t="s">
        <v>905</v>
      </c>
      <c r="F272" s="5" t="s">
        <v>110</v>
      </c>
      <c r="G272" s="10" t="s">
        <v>111</v>
      </c>
      <c r="H272" s="3" t="s">
        <v>5864</v>
      </c>
      <c r="I272" s="3"/>
      <c r="J272" s="3" t="s">
        <v>95</v>
      </c>
      <c r="K272" s="3" t="s">
        <v>6501</v>
      </c>
      <c r="L272" s="3" t="s">
        <v>6502</v>
      </c>
      <c r="M272" t="s">
        <v>6503</v>
      </c>
      <c r="O272" s="3" t="s">
        <v>5867</v>
      </c>
      <c r="P272" s="12">
        <v>46303</v>
      </c>
      <c r="Q272" s="3"/>
      <c r="R272" s="3" t="s">
        <v>6504</v>
      </c>
      <c r="S272" s="3" t="s">
        <v>5869</v>
      </c>
      <c r="T272" s="3" t="s">
        <v>5870</v>
      </c>
      <c r="U272" s="3" t="s">
        <v>5870</v>
      </c>
    </row>
    <row r="273" spans="1:21" ht="28.5" customHeight="1">
      <c r="A273" s="5" t="s">
        <v>906</v>
      </c>
      <c r="B273" s="5" t="s">
        <v>24</v>
      </c>
      <c r="C273" s="3" t="s">
        <v>907</v>
      </c>
      <c r="D273" s="6">
        <v>2024</v>
      </c>
      <c r="E273" s="3" t="s">
        <v>908</v>
      </c>
      <c r="F273" s="5" t="s">
        <v>115</v>
      </c>
      <c r="G273" s="10" t="s">
        <v>111</v>
      </c>
      <c r="H273" s="3" t="s">
        <v>5864</v>
      </c>
      <c r="I273" s="3"/>
      <c r="J273" s="3" t="s">
        <v>95</v>
      </c>
      <c r="K273" s="3" t="s">
        <v>7016</v>
      </c>
      <c r="L273" s="3" t="s">
        <v>7017</v>
      </c>
      <c r="M273" t="s">
        <v>7018</v>
      </c>
      <c r="O273" s="3" t="s">
        <v>5867</v>
      </c>
      <c r="P273" s="12">
        <v>46305</v>
      </c>
      <c r="Q273" s="3"/>
      <c r="R273" s="3" t="s">
        <v>7019</v>
      </c>
      <c r="S273" s="3" t="s">
        <v>5870</v>
      </c>
      <c r="T273" s="3" t="s">
        <v>5869</v>
      </c>
      <c r="U273" s="3" t="s">
        <v>5870</v>
      </c>
    </row>
    <row r="274" spans="1:21" ht="42.75" customHeight="1">
      <c r="A274" s="5" t="s">
        <v>909</v>
      </c>
      <c r="B274" s="5" t="s">
        <v>24</v>
      </c>
      <c r="C274" s="3" t="s">
        <v>910</v>
      </c>
      <c r="D274" s="6">
        <v>2023</v>
      </c>
      <c r="E274" s="3" t="s">
        <v>911</v>
      </c>
      <c r="F274" s="5" t="s">
        <v>115</v>
      </c>
      <c r="G274" s="10" t="s">
        <v>111</v>
      </c>
      <c r="H274" s="3" t="s">
        <v>5864</v>
      </c>
      <c r="I274" s="3"/>
      <c r="J274" s="3" t="s">
        <v>95</v>
      </c>
      <c r="K274" s="3" t="s">
        <v>7020</v>
      </c>
      <c r="L274" s="3" t="s">
        <v>7021</v>
      </c>
      <c r="M274" t="s">
        <v>7022</v>
      </c>
      <c r="O274" s="3" t="s">
        <v>5867</v>
      </c>
      <c r="P274" s="12">
        <v>46305</v>
      </c>
      <c r="Q274" s="3"/>
      <c r="R274" s="3" t="s">
        <v>7023</v>
      </c>
      <c r="S274" s="3" t="s">
        <v>5869</v>
      </c>
      <c r="T274" s="3" t="s">
        <v>5869</v>
      </c>
      <c r="U274" s="3" t="s">
        <v>5870</v>
      </c>
    </row>
    <row r="275" spans="1:21" ht="42.75" customHeight="1">
      <c r="A275" s="5" t="s">
        <v>912</v>
      </c>
      <c r="B275" s="5" t="s">
        <v>24</v>
      </c>
      <c r="C275" s="3" t="s">
        <v>811</v>
      </c>
      <c r="D275" s="6">
        <v>2025</v>
      </c>
      <c r="E275" s="3" t="s">
        <v>913</v>
      </c>
      <c r="F275" s="5" t="s">
        <v>110</v>
      </c>
      <c r="G275" s="10" t="s">
        <v>111</v>
      </c>
      <c r="H275" s="3" t="s">
        <v>5864</v>
      </c>
      <c r="I275" s="3"/>
      <c r="J275" s="3" t="s">
        <v>95</v>
      </c>
      <c r="K275" s="3" t="s">
        <v>6505</v>
      </c>
      <c r="L275" s="3" t="s">
        <v>6506</v>
      </c>
      <c r="M275" t="s">
        <v>6507</v>
      </c>
      <c r="O275" s="3" t="s">
        <v>5867</v>
      </c>
      <c r="P275" s="12">
        <v>46303</v>
      </c>
      <c r="Q275" s="3"/>
      <c r="R275" s="3" t="s">
        <v>6508</v>
      </c>
      <c r="S275" s="3" t="s">
        <v>5869</v>
      </c>
      <c r="T275" s="3" t="s">
        <v>5870</v>
      </c>
      <c r="U275" s="3" t="s">
        <v>5870</v>
      </c>
    </row>
    <row r="276" spans="1:21" ht="42.75" customHeight="1">
      <c r="A276" s="5" t="s">
        <v>914</v>
      </c>
      <c r="B276" s="5" t="s">
        <v>24</v>
      </c>
      <c r="C276" s="3" t="s">
        <v>915</v>
      </c>
      <c r="D276" s="6">
        <v>2024</v>
      </c>
      <c r="E276" s="3" t="s">
        <v>916</v>
      </c>
      <c r="F276" s="5" t="s">
        <v>115</v>
      </c>
      <c r="G276" s="10" t="s">
        <v>111</v>
      </c>
      <c r="H276" s="3" t="s">
        <v>5864</v>
      </c>
      <c r="I276" s="3"/>
      <c r="J276" s="3" t="s">
        <v>95</v>
      </c>
      <c r="K276" s="3" t="s">
        <v>6509</v>
      </c>
      <c r="L276" s="3" t="s">
        <v>6510</v>
      </c>
      <c r="M276" t="s">
        <v>6511</v>
      </c>
      <c r="O276" s="3" t="s">
        <v>5867</v>
      </c>
      <c r="P276" s="12">
        <v>46303</v>
      </c>
      <c r="Q276" s="3"/>
      <c r="R276" s="3" t="s">
        <v>6512</v>
      </c>
      <c r="S276" s="3" t="s">
        <v>5869</v>
      </c>
      <c r="T276" s="3" t="s">
        <v>5869</v>
      </c>
      <c r="U276" s="3" t="s">
        <v>5870</v>
      </c>
    </row>
    <row r="277" spans="1:21" ht="28.5" customHeight="1">
      <c r="A277" s="5" t="s">
        <v>917</v>
      </c>
      <c r="B277" s="5" t="s">
        <v>24</v>
      </c>
      <c r="C277" s="3" t="s">
        <v>918</v>
      </c>
      <c r="D277" s="6">
        <v>2019</v>
      </c>
      <c r="E277" s="3" t="s">
        <v>919</v>
      </c>
      <c r="F277" s="5" t="s">
        <v>115</v>
      </c>
      <c r="G277" s="10" t="s">
        <v>111</v>
      </c>
      <c r="H277" s="3" t="s">
        <v>5871</v>
      </c>
      <c r="I277" s="3" t="s">
        <v>5737</v>
      </c>
      <c r="J277" s="3"/>
      <c r="K277" s="3"/>
      <c r="L277" s="3"/>
      <c r="O277" s="3" t="s">
        <v>5867</v>
      </c>
      <c r="P277" s="12">
        <v>46303</v>
      </c>
      <c r="Q277" s="3"/>
      <c r="R277" s="3" t="s">
        <v>6995</v>
      </c>
      <c r="S277" s="3"/>
      <c r="T277" s="3"/>
      <c r="U277" s="3"/>
    </row>
    <row r="278" spans="1:21" ht="42.75" customHeight="1">
      <c r="A278" s="5" t="s">
        <v>920</v>
      </c>
      <c r="B278" s="5" t="s">
        <v>24</v>
      </c>
      <c r="C278" s="3" t="s">
        <v>921</v>
      </c>
      <c r="D278" s="6">
        <v>2022</v>
      </c>
      <c r="E278" s="3" t="s">
        <v>922</v>
      </c>
      <c r="F278" s="5" t="s">
        <v>115</v>
      </c>
      <c r="G278" s="10" t="s">
        <v>111</v>
      </c>
      <c r="H278" s="3" t="s">
        <v>5864</v>
      </c>
      <c r="I278" s="3"/>
      <c r="J278" s="3" t="s">
        <v>6379</v>
      </c>
      <c r="K278" s="3" t="s">
        <v>6513</v>
      </c>
      <c r="L278" s="3" t="s">
        <v>6514</v>
      </c>
      <c r="M278" t="s">
        <v>6515</v>
      </c>
      <c r="O278" s="3" t="s">
        <v>5867</v>
      </c>
      <c r="P278" s="12">
        <v>46303</v>
      </c>
      <c r="Q278" s="3"/>
      <c r="R278" s="3" t="s">
        <v>6516</v>
      </c>
      <c r="S278" s="3" t="s">
        <v>5870</v>
      </c>
      <c r="T278" s="3" t="s">
        <v>5870</v>
      </c>
      <c r="U278" s="3" t="s">
        <v>5869</v>
      </c>
    </row>
    <row r="279" spans="1:21" ht="57" customHeight="1">
      <c r="A279" s="5" t="s">
        <v>923</v>
      </c>
      <c r="B279" s="5" t="s">
        <v>24</v>
      </c>
      <c r="C279" s="3" t="s">
        <v>924</v>
      </c>
      <c r="D279" s="6">
        <v>2026</v>
      </c>
      <c r="E279" s="3" t="s">
        <v>925</v>
      </c>
      <c r="F279" s="5" t="s">
        <v>110</v>
      </c>
      <c r="G279" s="10" t="s">
        <v>111</v>
      </c>
      <c r="H279" s="3" t="s">
        <v>5864</v>
      </c>
      <c r="I279" s="3"/>
      <c r="J279" s="3" t="s">
        <v>6517</v>
      </c>
      <c r="K279" s="3" t="s">
        <v>6518</v>
      </c>
      <c r="L279" s="3" t="s">
        <v>6519</v>
      </c>
      <c r="M279" t="s">
        <v>6520</v>
      </c>
      <c r="O279" s="3" t="s">
        <v>5867</v>
      </c>
      <c r="P279" s="12">
        <v>46303</v>
      </c>
      <c r="Q279" s="3"/>
      <c r="R279" s="3" t="s">
        <v>6521</v>
      </c>
      <c r="S279" s="3" t="s">
        <v>5870</v>
      </c>
      <c r="T279" s="3" t="s">
        <v>5870</v>
      </c>
      <c r="U279" s="3" t="s">
        <v>5869</v>
      </c>
    </row>
    <row r="280" spans="1:21" ht="42.75" customHeight="1">
      <c r="A280" s="5" t="s">
        <v>926</v>
      </c>
      <c r="B280" s="5" t="s">
        <v>24</v>
      </c>
      <c r="C280" s="3" t="s">
        <v>927</v>
      </c>
      <c r="D280" s="6">
        <v>2025</v>
      </c>
      <c r="E280" s="3" t="s">
        <v>928</v>
      </c>
      <c r="F280" s="5" t="s">
        <v>115</v>
      </c>
      <c r="G280" s="10" t="s">
        <v>111</v>
      </c>
      <c r="H280" s="3" t="s">
        <v>5864</v>
      </c>
      <c r="I280" s="3"/>
      <c r="J280" s="3" t="s">
        <v>95</v>
      </c>
      <c r="K280" s="3" t="s">
        <v>6522</v>
      </c>
      <c r="L280" s="3" t="s">
        <v>6523</v>
      </c>
      <c r="M280" t="s">
        <v>6524</v>
      </c>
      <c r="O280" s="3" t="s">
        <v>5867</v>
      </c>
      <c r="P280" s="12">
        <v>46303</v>
      </c>
      <c r="Q280" s="3"/>
      <c r="R280" s="3" t="s">
        <v>6525</v>
      </c>
      <c r="S280" s="3" t="s">
        <v>5869</v>
      </c>
      <c r="T280" s="3" t="s">
        <v>5869</v>
      </c>
      <c r="U280" s="3" t="s">
        <v>5870</v>
      </c>
    </row>
    <row r="281" spans="1:21" ht="28.5" customHeight="1">
      <c r="A281" s="5" t="s">
        <v>929</v>
      </c>
      <c r="B281" s="5" t="s">
        <v>24</v>
      </c>
      <c r="C281" s="3" t="s">
        <v>930</v>
      </c>
      <c r="D281" s="6">
        <v>2020</v>
      </c>
      <c r="E281" s="3" t="s">
        <v>931</v>
      </c>
      <c r="F281" s="5" t="s">
        <v>115</v>
      </c>
      <c r="G281" s="10" t="s">
        <v>111</v>
      </c>
      <c r="H281" s="3" t="s">
        <v>5864</v>
      </c>
      <c r="I281" s="3"/>
      <c r="J281" s="3" t="s">
        <v>95</v>
      </c>
      <c r="K281" s="3" t="s">
        <v>6526</v>
      </c>
      <c r="L281" s="3" t="s">
        <v>6527</v>
      </c>
      <c r="M281" t="s">
        <v>6528</v>
      </c>
      <c r="O281" s="3" t="s">
        <v>5867</v>
      </c>
      <c r="P281" s="12">
        <v>46303</v>
      </c>
      <c r="Q281" s="3"/>
      <c r="R281" s="3" t="s">
        <v>6529</v>
      </c>
      <c r="S281" s="3" t="s">
        <v>5869</v>
      </c>
      <c r="T281" s="3" t="s">
        <v>5869</v>
      </c>
      <c r="U281" s="3" t="s">
        <v>5870</v>
      </c>
    </row>
    <row r="282" spans="1:21" ht="28.5" customHeight="1">
      <c r="A282" s="5" t="s">
        <v>932</v>
      </c>
      <c r="B282" s="5" t="s">
        <v>24</v>
      </c>
      <c r="C282" s="3" t="s">
        <v>933</v>
      </c>
      <c r="D282" s="6">
        <v>2022</v>
      </c>
      <c r="E282" s="3" t="s">
        <v>934</v>
      </c>
      <c r="F282" s="5" t="s">
        <v>110</v>
      </c>
      <c r="G282" s="10" t="s">
        <v>111</v>
      </c>
      <c r="H282" s="3" t="s">
        <v>5864</v>
      </c>
      <c r="I282" s="3"/>
      <c r="J282" s="3" t="s">
        <v>6388</v>
      </c>
      <c r="K282" s="3" t="s">
        <v>6530</v>
      </c>
      <c r="L282" s="3" t="s">
        <v>6531</v>
      </c>
      <c r="M282" t="s">
        <v>6532</v>
      </c>
      <c r="O282" s="3" t="s">
        <v>5867</v>
      </c>
      <c r="P282" s="12">
        <v>46303</v>
      </c>
      <c r="Q282" s="3"/>
      <c r="R282" s="3" t="s">
        <v>6533</v>
      </c>
      <c r="S282" s="3" t="s">
        <v>5870</v>
      </c>
      <c r="T282" s="3" t="s">
        <v>5870</v>
      </c>
      <c r="U282" s="3" t="s">
        <v>5870</v>
      </c>
    </row>
    <row r="283" spans="1:21" ht="28.5" customHeight="1">
      <c r="A283" s="5" t="s">
        <v>935</v>
      </c>
      <c r="B283" s="5" t="s">
        <v>24</v>
      </c>
      <c r="C283" s="3" t="s">
        <v>936</v>
      </c>
      <c r="D283" s="6">
        <v>2026</v>
      </c>
      <c r="E283" s="3" t="s">
        <v>937</v>
      </c>
      <c r="F283" s="5" t="s">
        <v>110</v>
      </c>
      <c r="G283" s="10" t="s">
        <v>111</v>
      </c>
      <c r="H283" s="3" t="s">
        <v>5864</v>
      </c>
      <c r="I283" s="3"/>
      <c r="J283" s="3" t="s">
        <v>95</v>
      </c>
      <c r="K283" s="3" t="s">
        <v>6534</v>
      </c>
      <c r="L283" s="3" t="s">
        <v>6535</v>
      </c>
      <c r="M283" t="s">
        <v>6536</v>
      </c>
      <c r="O283" s="3" t="s">
        <v>5867</v>
      </c>
      <c r="P283" s="12">
        <v>46303</v>
      </c>
      <c r="Q283" s="3"/>
      <c r="R283" s="3" t="s">
        <v>6537</v>
      </c>
      <c r="S283" s="3" t="s">
        <v>5869</v>
      </c>
      <c r="T283" s="3" t="s">
        <v>5869</v>
      </c>
      <c r="U283" s="3" t="s">
        <v>5870</v>
      </c>
    </row>
    <row r="284" spans="1:21" ht="28.5" customHeight="1">
      <c r="A284" s="5" t="s">
        <v>938</v>
      </c>
      <c r="B284" s="5" t="s">
        <v>24</v>
      </c>
      <c r="C284" s="3" t="s">
        <v>939</v>
      </c>
      <c r="D284" s="6">
        <v>2008</v>
      </c>
      <c r="E284" s="3" t="s">
        <v>940</v>
      </c>
      <c r="F284" s="5" t="s">
        <v>110</v>
      </c>
      <c r="G284" s="10" t="s">
        <v>111</v>
      </c>
      <c r="H284" s="3" t="s">
        <v>5864</v>
      </c>
      <c r="I284" s="3"/>
      <c r="J284" s="3" t="s">
        <v>95</v>
      </c>
      <c r="K284" s="3" t="s">
        <v>6538</v>
      </c>
      <c r="L284" s="3" t="s">
        <v>6539</v>
      </c>
      <c r="M284" t="s">
        <v>6540</v>
      </c>
      <c r="O284" s="3" t="s">
        <v>5867</v>
      </c>
      <c r="P284" s="12">
        <v>46303</v>
      </c>
      <c r="Q284" s="3"/>
      <c r="R284" s="3" t="s">
        <v>6541</v>
      </c>
      <c r="S284" s="3" t="s">
        <v>5869</v>
      </c>
      <c r="T284" s="3" t="s">
        <v>5869</v>
      </c>
      <c r="U284" s="3" t="s">
        <v>5870</v>
      </c>
    </row>
    <row r="285" spans="1:21" ht="85.5" customHeight="1">
      <c r="A285" s="5" t="s">
        <v>941</v>
      </c>
      <c r="B285" s="5" t="s">
        <v>24</v>
      </c>
      <c r="C285" s="3" t="s">
        <v>942</v>
      </c>
      <c r="D285" s="6">
        <v>2025</v>
      </c>
      <c r="E285" s="3" t="s">
        <v>943</v>
      </c>
      <c r="F285" s="5" t="s">
        <v>115</v>
      </c>
      <c r="G285" s="10" t="s">
        <v>111</v>
      </c>
      <c r="H285" s="3" t="s">
        <v>5871</v>
      </c>
      <c r="I285" s="3" t="s">
        <v>5735</v>
      </c>
      <c r="J285" s="3"/>
      <c r="K285" s="3"/>
      <c r="L285" s="3"/>
      <c r="O285" s="3" t="s">
        <v>5867</v>
      </c>
      <c r="P285" s="12">
        <v>46303</v>
      </c>
      <c r="Q285" s="3" t="s">
        <v>5783</v>
      </c>
      <c r="R285" s="3" t="s">
        <v>6542</v>
      </c>
      <c r="S285" s="3"/>
      <c r="T285" s="3"/>
      <c r="U285" s="3"/>
    </row>
    <row r="286" spans="1:21" ht="42.75" customHeight="1">
      <c r="A286" s="5" t="s">
        <v>944</v>
      </c>
      <c r="B286" s="5" t="s">
        <v>24</v>
      </c>
      <c r="C286" s="3" t="s">
        <v>945</v>
      </c>
      <c r="D286" s="6">
        <v>2013</v>
      </c>
      <c r="E286" s="3" t="s">
        <v>946</v>
      </c>
      <c r="F286" s="5" t="s">
        <v>110</v>
      </c>
      <c r="G286" s="10" t="s">
        <v>111</v>
      </c>
      <c r="H286" s="3" t="s">
        <v>5864</v>
      </c>
      <c r="I286" s="3"/>
      <c r="J286" s="3" t="s">
        <v>95</v>
      </c>
      <c r="K286" s="3" t="s">
        <v>6543</v>
      </c>
      <c r="L286" s="3" t="s">
        <v>6544</v>
      </c>
      <c r="M286" t="s">
        <v>6545</v>
      </c>
      <c r="O286" s="3" t="s">
        <v>5867</v>
      </c>
      <c r="P286" s="12">
        <v>46303</v>
      </c>
      <c r="Q286" s="3"/>
      <c r="R286" s="3" t="s">
        <v>6546</v>
      </c>
      <c r="S286" s="3" t="s">
        <v>5869</v>
      </c>
      <c r="T286" s="3" t="s">
        <v>5870</v>
      </c>
      <c r="U286" s="3" t="s">
        <v>5870</v>
      </c>
    </row>
    <row r="287" spans="1:21" ht="42.75" customHeight="1">
      <c r="A287" s="5" t="s">
        <v>947</v>
      </c>
      <c r="B287" s="5" t="s">
        <v>24</v>
      </c>
      <c r="C287" s="3" t="s">
        <v>948</v>
      </c>
      <c r="D287" s="6">
        <v>2022</v>
      </c>
      <c r="E287" s="3" t="s">
        <v>949</v>
      </c>
      <c r="F287" s="5" t="s">
        <v>115</v>
      </c>
      <c r="G287" s="10" t="s">
        <v>111</v>
      </c>
      <c r="H287" s="3" t="s">
        <v>5864</v>
      </c>
      <c r="I287" s="3"/>
      <c r="J287" s="3" t="s">
        <v>6517</v>
      </c>
      <c r="K287" s="3" t="s">
        <v>6547</v>
      </c>
      <c r="L287" s="3" t="s">
        <v>6548</v>
      </c>
      <c r="M287" t="s">
        <v>6549</v>
      </c>
      <c r="O287" s="3" t="s">
        <v>5867</v>
      </c>
      <c r="P287" s="12">
        <v>46303</v>
      </c>
      <c r="Q287" s="3"/>
      <c r="R287" s="3" t="s">
        <v>6550</v>
      </c>
      <c r="S287" s="3" t="s">
        <v>5870</v>
      </c>
      <c r="T287" s="3" t="s">
        <v>5870</v>
      </c>
      <c r="U287" s="3" t="s">
        <v>5869</v>
      </c>
    </row>
    <row r="288" spans="1:21" ht="42.75" customHeight="1">
      <c r="A288" s="5" t="s">
        <v>950</v>
      </c>
      <c r="B288" s="5" t="s">
        <v>24</v>
      </c>
      <c r="C288" s="3" t="s">
        <v>951</v>
      </c>
      <c r="D288" s="6">
        <v>2025</v>
      </c>
      <c r="E288" s="3" t="s">
        <v>952</v>
      </c>
      <c r="F288" s="5" t="s">
        <v>115</v>
      </c>
      <c r="G288" s="10" t="s">
        <v>111</v>
      </c>
      <c r="H288" s="3" t="s">
        <v>5864</v>
      </c>
      <c r="I288" s="3"/>
      <c r="J288" s="3" t="s">
        <v>95</v>
      </c>
      <c r="K288" s="3" t="s">
        <v>6551</v>
      </c>
      <c r="L288" s="3" t="s">
        <v>6552</v>
      </c>
      <c r="M288" t="s">
        <v>6553</v>
      </c>
      <c r="O288" s="3" t="s">
        <v>5867</v>
      </c>
      <c r="P288" s="12">
        <v>46303</v>
      </c>
      <c r="Q288" s="3"/>
      <c r="R288" s="3" t="s">
        <v>6554</v>
      </c>
      <c r="S288" s="3" t="s">
        <v>5869</v>
      </c>
      <c r="T288" s="3" t="s">
        <v>5869</v>
      </c>
      <c r="U288" s="3" t="s">
        <v>5870</v>
      </c>
    </row>
    <row r="289" spans="1:21" ht="57" customHeight="1">
      <c r="A289" s="5" t="s">
        <v>953</v>
      </c>
      <c r="B289" s="5" t="s">
        <v>24</v>
      </c>
      <c r="C289" s="3" t="s">
        <v>954</v>
      </c>
      <c r="D289" s="6">
        <v>2024</v>
      </c>
      <c r="E289" s="3" t="s">
        <v>955</v>
      </c>
      <c r="F289" s="5" t="s">
        <v>115</v>
      </c>
      <c r="G289" s="10" t="s">
        <v>111</v>
      </c>
      <c r="H289" s="3" t="s">
        <v>5864</v>
      </c>
      <c r="I289" s="3"/>
      <c r="J289" s="3" t="s">
        <v>95</v>
      </c>
      <c r="K289" s="3" t="s">
        <v>6555</v>
      </c>
      <c r="L289" s="3" t="s">
        <v>6556</v>
      </c>
      <c r="M289" t="s">
        <v>6557</v>
      </c>
      <c r="O289" s="3" t="s">
        <v>5867</v>
      </c>
      <c r="P289" s="12">
        <v>46304</v>
      </c>
      <c r="Q289" s="3"/>
      <c r="R289" s="3" t="s">
        <v>6558</v>
      </c>
      <c r="S289" s="3" t="s">
        <v>5869</v>
      </c>
      <c r="T289" s="3" t="s">
        <v>5870</v>
      </c>
      <c r="U289" s="3" t="s">
        <v>5870</v>
      </c>
    </row>
    <row r="290" spans="1:21" ht="71.25" customHeight="1">
      <c r="A290" s="5" t="s">
        <v>956</v>
      </c>
      <c r="B290" s="5" t="s">
        <v>24</v>
      </c>
      <c r="C290" s="3" t="s">
        <v>957</v>
      </c>
      <c r="D290" s="6">
        <v>2023</v>
      </c>
      <c r="E290" s="3" t="s">
        <v>958</v>
      </c>
      <c r="F290" s="5" t="s">
        <v>115</v>
      </c>
      <c r="G290" s="10" t="s">
        <v>111</v>
      </c>
      <c r="H290" s="3" t="s">
        <v>5864</v>
      </c>
      <c r="I290" s="3"/>
      <c r="J290" s="3" t="s">
        <v>95</v>
      </c>
      <c r="K290" s="3" t="s">
        <v>6559</v>
      </c>
      <c r="L290" s="3" t="s">
        <v>6560</v>
      </c>
      <c r="M290" t="s">
        <v>6561</v>
      </c>
      <c r="O290" s="3" t="s">
        <v>5867</v>
      </c>
      <c r="P290" s="12">
        <v>46304</v>
      </c>
      <c r="Q290" s="3"/>
      <c r="R290" s="3" t="s">
        <v>6562</v>
      </c>
      <c r="S290" s="3" t="s">
        <v>5869</v>
      </c>
      <c r="T290" s="3" t="s">
        <v>5869</v>
      </c>
      <c r="U290" s="3" t="s">
        <v>5869</v>
      </c>
    </row>
    <row r="291" spans="1:21" ht="57" customHeight="1">
      <c r="A291" s="5" t="s">
        <v>959</v>
      </c>
      <c r="B291" s="5" t="s">
        <v>24</v>
      </c>
      <c r="C291" s="3" t="s">
        <v>960</v>
      </c>
      <c r="D291" s="6">
        <v>2022</v>
      </c>
      <c r="E291" s="3" t="s">
        <v>961</v>
      </c>
      <c r="F291" s="5" t="s">
        <v>110</v>
      </c>
      <c r="G291" s="10" t="s">
        <v>111</v>
      </c>
      <c r="H291" s="3" t="s">
        <v>5864</v>
      </c>
      <c r="I291" s="3"/>
      <c r="J291" s="3" t="s">
        <v>95</v>
      </c>
      <c r="K291" s="3" t="s">
        <v>6563</v>
      </c>
      <c r="L291" s="3" t="s">
        <v>6564</v>
      </c>
      <c r="M291" t="s">
        <v>6565</v>
      </c>
      <c r="O291" s="3" t="s">
        <v>5867</v>
      </c>
      <c r="P291" s="12">
        <v>46304</v>
      </c>
      <c r="Q291" s="3"/>
      <c r="R291" s="3" t="s">
        <v>6566</v>
      </c>
      <c r="S291" s="3" t="s">
        <v>5870</v>
      </c>
      <c r="T291" s="3" t="s">
        <v>5870</v>
      </c>
      <c r="U291" s="3" t="s">
        <v>5870</v>
      </c>
    </row>
    <row r="292" spans="1:21" ht="42.75" customHeight="1">
      <c r="A292" s="5" t="s">
        <v>962</v>
      </c>
      <c r="B292" s="5" t="s">
        <v>24</v>
      </c>
      <c r="C292" s="3" t="s">
        <v>963</v>
      </c>
      <c r="D292" s="6">
        <v>2012</v>
      </c>
      <c r="E292" s="3" t="s">
        <v>964</v>
      </c>
      <c r="F292" s="5" t="s">
        <v>110</v>
      </c>
      <c r="G292" s="10" t="s">
        <v>111</v>
      </c>
      <c r="H292" s="3" t="s">
        <v>5864</v>
      </c>
      <c r="I292" s="3"/>
      <c r="J292" s="3" t="s">
        <v>95</v>
      </c>
      <c r="K292" s="3" t="s">
        <v>6567</v>
      </c>
      <c r="L292" s="3" t="s">
        <v>6568</v>
      </c>
      <c r="M292" t="s">
        <v>6569</v>
      </c>
      <c r="O292" s="3" t="s">
        <v>5867</v>
      </c>
      <c r="P292" s="12">
        <v>46304</v>
      </c>
      <c r="Q292" s="3"/>
      <c r="R292" s="3" t="s">
        <v>6570</v>
      </c>
      <c r="S292" s="3" t="s">
        <v>5870</v>
      </c>
      <c r="T292" s="3" t="s">
        <v>5870</v>
      </c>
      <c r="U292" s="3" t="s">
        <v>5870</v>
      </c>
    </row>
    <row r="293" spans="1:21" ht="28.5" customHeight="1">
      <c r="A293" s="5" t="s">
        <v>965</v>
      </c>
      <c r="B293" s="5" t="s">
        <v>24</v>
      </c>
      <c r="C293" s="3" t="s">
        <v>966</v>
      </c>
      <c r="D293" s="6">
        <v>2021</v>
      </c>
      <c r="E293" s="3" t="s">
        <v>967</v>
      </c>
      <c r="F293" s="5" t="s">
        <v>115</v>
      </c>
      <c r="G293" s="10" t="s">
        <v>111</v>
      </c>
      <c r="H293" s="3" t="s">
        <v>5864</v>
      </c>
      <c r="I293" s="3"/>
      <c r="J293" s="3" t="s">
        <v>95</v>
      </c>
      <c r="K293" s="3" t="s">
        <v>6571</v>
      </c>
      <c r="L293" s="3" t="s">
        <v>6572</v>
      </c>
      <c r="M293" t="s">
        <v>6573</v>
      </c>
      <c r="O293" s="3" t="s">
        <v>5867</v>
      </c>
      <c r="P293" s="12">
        <v>46304</v>
      </c>
      <c r="Q293" s="3"/>
      <c r="R293" s="3" t="s">
        <v>6574</v>
      </c>
      <c r="S293" s="3" t="s">
        <v>5870</v>
      </c>
      <c r="T293" s="3" t="s">
        <v>5870</v>
      </c>
      <c r="U293" s="3" t="s">
        <v>5870</v>
      </c>
    </row>
    <row r="294" spans="1:21" ht="42.75" customHeight="1">
      <c r="A294" s="5" t="s">
        <v>968</v>
      </c>
      <c r="B294" s="5" t="s">
        <v>24</v>
      </c>
      <c r="C294" s="3" t="s">
        <v>969</v>
      </c>
      <c r="D294" s="6">
        <v>2022</v>
      </c>
      <c r="E294" s="3" t="s">
        <v>970</v>
      </c>
      <c r="F294" s="5" t="s">
        <v>110</v>
      </c>
      <c r="G294" s="10" t="s">
        <v>111</v>
      </c>
      <c r="H294" s="3" t="s">
        <v>5864</v>
      </c>
      <c r="I294" s="3"/>
      <c r="J294" s="3" t="s">
        <v>95</v>
      </c>
      <c r="K294" s="3" t="s">
        <v>6575</v>
      </c>
      <c r="L294" s="3" t="s">
        <v>6576</v>
      </c>
      <c r="M294" t="s">
        <v>6577</v>
      </c>
      <c r="O294" s="3" t="s">
        <v>5867</v>
      </c>
      <c r="P294" s="12">
        <v>46304</v>
      </c>
      <c r="Q294" s="3"/>
      <c r="R294" s="3" t="s">
        <v>6578</v>
      </c>
      <c r="S294" s="3" t="s">
        <v>5870</v>
      </c>
      <c r="T294" s="3" t="s">
        <v>5870</v>
      </c>
      <c r="U294" s="3" t="s">
        <v>5870</v>
      </c>
    </row>
    <row r="295" spans="1:21" ht="42.75" customHeight="1">
      <c r="A295" s="5" t="s">
        <v>971</v>
      </c>
      <c r="B295" s="5" t="s">
        <v>24</v>
      </c>
      <c r="C295" s="3" t="s">
        <v>972</v>
      </c>
      <c r="D295" s="6">
        <v>2019</v>
      </c>
      <c r="E295" s="3" t="s">
        <v>973</v>
      </c>
      <c r="F295" s="5" t="s">
        <v>110</v>
      </c>
      <c r="G295" s="10" t="s">
        <v>111</v>
      </c>
      <c r="H295" s="3" t="s">
        <v>5864</v>
      </c>
      <c r="I295" s="3"/>
      <c r="J295" s="3" t="s">
        <v>95</v>
      </c>
      <c r="K295" s="3" t="s">
        <v>6579</v>
      </c>
      <c r="L295" s="3" t="s">
        <v>6580</v>
      </c>
      <c r="M295" t="s">
        <v>6581</v>
      </c>
      <c r="O295" s="3" t="s">
        <v>5867</v>
      </c>
      <c r="P295" s="12">
        <v>46304</v>
      </c>
      <c r="Q295" s="3"/>
      <c r="R295" s="3" t="s">
        <v>6582</v>
      </c>
      <c r="S295" s="3" t="s">
        <v>5869</v>
      </c>
      <c r="T295" s="3" t="s">
        <v>5869</v>
      </c>
      <c r="U295" s="3" t="s">
        <v>5869</v>
      </c>
    </row>
    <row r="296" spans="1:21" ht="28.5" customHeight="1">
      <c r="A296" s="5" t="s">
        <v>974</v>
      </c>
      <c r="B296" s="5" t="s">
        <v>24</v>
      </c>
      <c r="C296" s="3" t="s">
        <v>918</v>
      </c>
      <c r="D296" s="6">
        <v>2021</v>
      </c>
      <c r="E296" s="3" t="s">
        <v>975</v>
      </c>
      <c r="F296" s="5" t="s">
        <v>115</v>
      </c>
      <c r="G296" s="10" t="s">
        <v>111</v>
      </c>
      <c r="H296" s="3" t="s">
        <v>5864</v>
      </c>
      <c r="I296" s="3"/>
      <c r="J296" s="3" t="s">
        <v>6379</v>
      </c>
      <c r="K296" s="3" t="s">
        <v>6583</v>
      </c>
      <c r="L296" s="3" t="s">
        <v>6584</v>
      </c>
      <c r="M296" t="s">
        <v>6585</v>
      </c>
      <c r="O296" s="3" t="s">
        <v>5867</v>
      </c>
      <c r="P296" s="12">
        <v>46304</v>
      </c>
      <c r="Q296" s="3"/>
      <c r="R296" s="3" t="s">
        <v>6586</v>
      </c>
      <c r="S296" s="3" t="s">
        <v>5869</v>
      </c>
      <c r="T296" s="3" t="s">
        <v>5869</v>
      </c>
      <c r="U296" s="3" t="s">
        <v>5869</v>
      </c>
    </row>
    <row r="297" spans="1:21" ht="71.25" customHeight="1">
      <c r="A297" s="5" t="s">
        <v>976</v>
      </c>
      <c r="B297" s="5" t="s">
        <v>24</v>
      </c>
      <c r="C297" s="3" t="s">
        <v>977</v>
      </c>
      <c r="D297" s="6">
        <v>2023</v>
      </c>
      <c r="E297" s="3" t="s">
        <v>978</v>
      </c>
      <c r="F297" s="5" t="s">
        <v>115</v>
      </c>
      <c r="G297" s="10" t="s">
        <v>111</v>
      </c>
      <c r="H297" s="3" t="s">
        <v>5864</v>
      </c>
      <c r="I297" s="3"/>
      <c r="J297" s="3" t="s">
        <v>6379</v>
      </c>
      <c r="K297" s="3" t="s">
        <v>6587</v>
      </c>
      <c r="L297" s="3" t="s">
        <v>6588</v>
      </c>
      <c r="M297" t="s">
        <v>6589</v>
      </c>
      <c r="O297" s="3" t="s">
        <v>5867</v>
      </c>
      <c r="P297" s="12">
        <v>46304</v>
      </c>
      <c r="Q297" s="3"/>
      <c r="R297" s="3" t="s">
        <v>6590</v>
      </c>
      <c r="S297" s="3" t="s">
        <v>5869</v>
      </c>
      <c r="T297" s="3" t="s">
        <v>5869</v>
      </c>
      <c r="U297" s="3" t="s">
        <v>5869</v>
      </c>
    </row>
    <row r="298" spans="1:21" ht="28.5" customHeight="1">
      <c r="A298" s="5" t="s">
        <v>979</v>
      </c>
      <c r="B298" s="5" t="s">
        <v>24</v>
      </c>
      <c r="C298" s="3" t="s">
        <v>980</v>
      </c>
      <c r="D298" s="6">
        <v>2025</v>
      </c>
      <c r="E298" s="3" t="s">
        <v>981</v>
      </c>
      <c r="F298" s="5" t="s">
        <v>115</v>
      </c>
      <c r="G298" s="10" t="s">
        <v>111</v>
      </c>
      <c r="H298" s="3" t="s">
        <v>5864</v>
      </c>
      <c r="I298" s="3"/>
      <c r="J298" s="3" t="s">
        <v>95</v>
      </c>
      <c r="K298" s="3" t="s">
        <v>6591</v>
      </c>
      <c r="L298" s="3" t="s">
        <v>6592</v>
      </c>
      <c r="M298" t="s">
        <v>6593</v>
      </c>
      <c r="O298" s="3" t="s">
        <v>5867</v>
      </c>
      <c r="P298" s="12">
        <v>46304</v>
      </c>
      <c r="Q298" s="3"/>
      <c r="R298" s="3" t="s">
        <v>6594</v>
      </c>
      <c r="S298" s="3" t="s">
        <v>5869</v>
      </c>
      <c r="T298" s="3" t="s">
        <v>5869</v>
      </c>
      <c r="U298" s="3" t="s">
        <v>5870</v>
      </c>
    </row>
    <row r="299" spans="1:21" ht="42.75" customHeight="1">
      <c r="A299" s="5" t="s">
        <v>982</v>
      </c>
      <c r="B299" s="5" t="s">
        <v>24</v>
      </c>
      <c r="C299" s="3" t="s">
        <v>983</v>
      </c>
      <c r="D299" s="6">
        <v>2014</v>
      </c>
      <c r="E299" s="3" t="s">
        <v>984</v>
      </c>
      <c r="F299" s="5" t="s">
        <v>110</v>
      </c>
      <c r="G299" s="10" t="s">
        <v>111</v>
      </c>
      <c r="H299" s="3" t="s">
        <v>5864</v>
      </c>
      <c r="I299" s="3"/>
      <c r="J299" s="3" t="s">
        <v>95</v>
      </c>
      <c r="K299" s="3" t="s">
        <v>6595</v>
      </c>
      <c r="L299" s="3" t="s">
        <v>6596</v>
      </c>
      <c r="M299" t="s">
        <v>6597</v>
      </c>
      <c r="O299" s="3" t="s">
        <v>5867</v>
      </c>
      <c r="P299" s="12">
        <v>46304</v>
      </c>
      <c r="Q299" s="3"/>
      <c r="R299" s="3" t="s">
        <v>6598</v>
      </c>
      <c r="S299" s="3" t="s">
        <v>5870</v>
      </c>
      <c r="T299" s="3" t="s">
        <v>5869</v>
      </c>
      <c r="U299" s="3" t="s">
        <v>5870</v>
      </c>
    </row>
    <row r="300" spans="1:21" ht="42.75" customHeight="1">
      <c r="A300" s="5" t="s">
        <v>985</v>
      </c>
      <c r="B300" s="5" t="s">
        <v>24</v>
      </c>
      <c r="C300" s="3" t="s">
        <v>983</v>
      </c>
      <c r="D300" s="6">
        <v>2012</v>
      </c>
      <c r="E300" s="3" t="s">
        <v>984</v>
      </c>
      <c r="F300" s="5" t="s">
        <v>115</v>
      </c>
      <c r="G300" s="10" t="s">
        <v>111</v>
      </c>
      <c r="H300" s="3" t="s">
        <v>5871</v>
      </c>
      <c r="I300" s="3" t="s">
        <v>5745</v>
      </c>
      <c r="J300" s="3"/>
      <c r="K300" s="3"/>
      <c r="L300" s="3"/>
      <c r="O300" s="3" t="s">
        <v>5867</v>
      </c>
      <c r="P300" s="12">
        <v>46304</v>
      </c>
      <c r="Q300" s="3"/>
      <c r="R300" s="3" t="s">
        <v>6599</v>
      </c>
      <c r="S300" s="3"/>
      <c r="T300" s="3"/>
      <c r="U300" s="3"/>
    </row>
    <row r="301" spans="1:21" ht="99.75" customHeight="1">
      <c r="A301" s="5" t="s">
        <v>986</v>
      </c>
      <c r="B301" s="5" t="s">
        <v>24</v>
      </c>
      <c r="C301" s="3" t="s">
        <v>987</v>
      </c>
      <c r="D301" s="6">
        <v>2025</v>
      </c>
      <c r="E301" s="3" t="s">
        <v>988</v>
      </c>
      <c r="F301" s="5" t="s">
        <v>115</v>
      </c>
      <c r="G301" s="10" t="s">
        <v>111</v>
      </c>
      <c r="H301" s="3" t="s">
        <v>5864</v>
      </c>
      <c r="I301" s="3"/>
      <c r="J301" s="3" t="s">
        <v>6517</v>
      </c>
      <c r="K301" s="3" t="s">
        <v>6600</v>
      </c>
      <c r="L301" s="3" t="s">
        <v>6601</v>
      </c>
      <c r="M301" t="s">
        <v>6602</v>
      </c>
      <c r="O301" s="3" t="s">
        <v>5867</v>
      </c>
      <c r="P301" s="12">
        <v>46304</v>
      </c>
      <c r="Q301" s="3"/>
      <c r="R301" s="3" t="s">
        <v>6603</v>
      </c>
      <c r="S301" s="3" t="s">
        <v>5870</v>
      </c>
      <c r="T301" s="3" t="s">
        <v>5869</v>
      </c>
      <c r="U301" s="3" t="s">
        <v>5870</v>
      </c>
    </row>
    <row r="302" spans="1:21" ht="28.5" customHeight="1">
      <c r="A302" s="5" t="s">
        <v>989</v>
      </c>
      <c r="B302" s="5" t="s">
        <v>24</v>
      </c>
      <c r="C302" s="3" t="s">
        <v>990</v>
      </c>
      <c r="D302" s="6">
        <v>2010</v>
      </c>
      <c r="E302" s="3" t="s">
        <v>991</v>
      </c>
      <c r="F302" s="5" t="s">
        <v>110</v>
      </c>
      <c r="G302" s="10" t="s">
        <v>111</v>
      </c>
      <c r="H302" s="3" t="s">
        <v>5864</v>
      </c>
      <c r="I302" s="3"/>
      <c r="J302" s="3" t="s">
        <v>95</v>
      </c>
      <c r="K302" s="3" t="s">
        <v>6604</v>
      </c>
      <c r="L302" s="3" t="s">
        <v>6605</v>
      </c>
      <c r="M302" t="s">
        <v>6606</v>
      </c>
      <c r="O302" s="3" t="s">
        <v>5867</v>
      </c>
      <c r="P302" s="12">
        <v>46304</v>
      </c>
      <c r="Q302" s="3"/>
      <c r="R302" s="3" t="s">
        <v>6607</v>
      </c>
      <c r="S302" s="3" t="s">
        <v>5869</v>
      </c>
      <c r="T302" s="3" t="s">
        <v>5869</v>
      </c>
      <c r="U302" s="3" t="s">
        <v>5870</v>
      </c>
    </row>
    <row r="303" spans="1:21" ht="28.5" customHeight="1">
      <c r="A303" s="5" t="s">
        <v>992</v>
      </c>
      <c r="B303" s="5" t="s">
        <v>24</v>
      </c>
      <c r="C303" s="3" t="s">
        <v>918</v>
      </c>
      <c r="D303" s="6">
        <v>2019</v>
      </c>
      <c r="E303" s="3" t="s">
        <v>993</v>
      </c>
      <c r="F303" s="5" t="s">
        <v>115</v>
      </c>
      <c r="G303" s="10" t="s">
        <v>111</v>
      </c>
      <c r="H303" s="3" t="s">
        <v>5871</v>
      </c>
      <c r="I303" s="3" t="s">
        <v>5737</v>
      </c>
      <c r="J303" s="3"/>
      <c r="K303" s="3"/>
      <c r="L303" s="3"/>
      <c r="O303" s="3" t="s">
        <v>5867</v>
      </c>
      <c r="P303" s="12">
        <v>46304</v>
      </c>
      <c r="Q303" s="3"/>
      <c r="R303" s="3" t="s">
        <v>6608</v>
      </c>
      <c r="S303" s="3"/>
      <c r="T303" s="3"/>
      <c r="U303" s="3"/>
    </row>
    <row r="304" spans="1:21" ht="57" customHeight="1">
      <c r="A304" s="5" t="s">
        <v>994</v>
      </c>
      <c r="B304" s="5" t="s">
        <v>24</v>
      </c>
      <c r="C304" s="3" t="s">
        <v>995</v>
      </c>
      <c r="D304" s="6">
        <v>2022</v>
      </c>
      <c r="E304" s="3" t="s">
        <v>996</v>
      </c>
      <c r="F304" s="5" t="s">
        <v>115</v>
      </c>
      <c r="G304" s="10" t="s">
        <v>111</v>
      </c>
      <c r="H304" s="3" t="s">
        <v>5864</v>
      </c>
      <c r="I304" s="3"/>
      <c r="J304" s="3" t="s">
        <v>95</v>
      </c>
      <c r="K304" s="3" t="s">
        <v>6609</v>
      </c>
      <c r="L304" s="3" t="s">
        <v>6610</v>
      </c>
      <c r="M304" t="s">
        <v>6611</v>
      </c>
      <c r="O304" s="3" t="s">
        <v>5867</v>
      </c>
      <c r="P304" s="12">
        <v>46304</v>
      </c>
      <c r="Q304" s="3"/>
      <c r="R304" s="3" t="s">
        <v>6612</v>
      </c>
      <c r="S304" s="3" t="s">
        <v>5870</v>
      </c>
      <c r="T304" s="3" t="s">
        <v>5870</v>
      </c>
      <c r="U304" s="3" t="s">
        <v>5870</v>
      </c>
    </row>
    <row r="305" spans="1:21" ht="42.75" customHeight="1">
      <c r="A305" s="5" t="s">
        <v>997</v>
      </c>
      <c r="B305" s="5" t="s">
        <v>24</v>
      </c>
      <c r="C305" s="3" t="s">
        <v>998</v>
      </c>
      <c r="D305" s="6">
        <v>2022</v>
      </c>
      <c r="E305" s="3" t="s">
        <v>999</v>
      </c>
      <c r="F305" s="5" t="s">
        <v>115</v>
      </c>
      <c r="G305" s="10" t="s">
        <v>111</v>
      </c>
      <c r="H305" s="3" t="s">
        <v>5864</v>
      </c>
      <c r="I305" s="3"/>
      <c r="J305" s="3" t="s">
        <v>6388</v>
      </c>
      <c r="K305" s="3" t="s">
        <v>6613</v>
      </c>
      <c r="L305" s="3" t="s">
        <v>6614</v>
      </c>
      <c r="M305" t="s">
        <v>6615</v>
      </c>
      <c r="O305" s="3" t="s">
        <v>5867</v>
      </c>
      <c r="P305" s="12">
        <v>46304</v>
      </c>
      <c r="Q305" s="3"/>
      <c r="R305" s="3" t="s">
        <v>6616</v>
      </c>
      <c r="S305" s="3" t="s">
        <v>5870</v>
      </c>
      <c r="T305" s="3" t="s">
        <v>5870</v>
      </c>
      <c r="U305" s="3" t="s">
        <v>5870</v>
      </c>
    </row>
    <row r="306" spans="1:21" ht="28.5" customHeight="1">
      <c r="A306" s="5" t="s">
        <v>1000</v>
      </c>
      <c r="B306" s="5" t="s">
        <v>24</v>
      </c>
      <c r="C306" s="3" t="s">
        <v>1001</v>
      </c>
      <c r="D306" s="6">
        <v>2024</v>
      </c>
      <c r="E306" s="3" t="s">
        <v>1002</v>
      </c>
      <c r="F306" s="5" t="s">
        <v>110</v>
      </c>
      <c r="G306" s="10" t="s">
        <v>111</v>
      </c>
      <c r="H306" s="3" t="s">
        <v>5864</v>
      </c>
      <c r="I306" s="3"/>
      <c r="J306" s="3" t="s">
        <v>6388</v>
      </c>
      <c r="K306" s="3" t="s">
        <v>6617</v>
      </c>
      <c r="L306" s="3" t="s">
        <v>6618</v>
      </c>
      <c r="M306" t="s">
        <v>6619</v>
      </c>
      <c r="O306" s="3" t="s">
        <v>5867</v>
      </c>
      <c r="P306" s="12">
        <v>46304</v>
      </c>
      <c r="Q306" s="3"/>
      <c r="R306" s="3" t="s">
        <v>6620</v>
      </c>
      <c r="S306" s="3" t="s">
        <v>5869</v>
      </c>
      <c r="T306" s="3" t="s">
        <v>5870</v>
      </c>
      <c r="U306" s="3" t="s">
        <v>5870</v>
      </c>
    </row>
    <row r="307" spans="1:21" ht="57" customHeight="1">
      <c r="A307" s="5" t="s">
        <v>1003</v>
      </c>
      <c r="B307" s="5" t="s">
        <v>20</v>
      </c>
      <c r="C307" s="3" t="s">
        <v>1004</v>
      </c>
      <c r="D307" s="6">
        <v>2026</v>
      </c>
      <c r="E307" s="3" t="s">
        <v>1005</v>
      </c>
      <c r="F307" s="5" t="s">
        <v>119</v>
      </c>
      <c r="G307" s="10" t="s">
        <v>111</v>
      </c>
      <c r="H307" s="3" t="s">
        <v>5871</v>
      </c>
      <c r="I307" s="3" t="s">
        <v>5735</v>
      </c>
      <c r="J307" s="3"/>
      <c r="K307" s="3"/>
      <c r="L307" s="3"/>
      <c r="O307" s="3" t="s">
        <v>5872</v>
      </c>
      <c r="P307" s="12">
        <v>46304</v>
      </c>
      <c r="Q307" s="3" t="s">
        <v>5767</v>
      </c>
      <c r="R307" s="3" t="s">
        <v>6621</v>
      </c>
      <c r="S307" s="3"/>
      <c r="T307" s="3"/>
      <c r="U307" s="3"/>
    </row>
    <row r="308" spans="1:21" ht="42.75" customHeight="1">
      <c r="A308" s="5" t="s">
        <v>1006</v>
      </c>
      <c r="B308" s="5" t="s">
        <v>20</v>
      </c>
      <c r="C308" s="3" t="s">
        <v>1007</v>
      </c>
      <c r="D308" s="6">
        <v>2023</v>
      </c>
      <c r="E308" s="3" t="s">
        <v>1008</v>
      </c>
      <c r="F308" s="5" t="s">
        <v>119</v>
      </c>
      <c r="G308" s="10" t="s">
        <v>111</v>
      </c>
      <c r="H308" s="3" t="s">
        <v>5864</v>
      </c>
      <c r="I308" s="3"/>
      <c r="J308" s="3" t="s">
        <v>6622</v>
      </c>
      <c r="K308" s="3" t="s">
        <v>6623</v>
      </c>
      <c r="L308" s="3" t="s">
        <v>6624</v>
      </c>
      <c r="M308" t="s">
        <v>6625</v>
      </c>
      <c r="O308" s="3" t="s">
        <v>5872</v>
      </c>
      <c r="P308" s="12">
        <v>46304</v>
      </c>
      <c r="Q308" s="3"/>
      <c r="R308" s="3" t="s">
        <v>6626</v>
      </c>
      <c r="S308" s="3" t="s">
        <v>111</v>
      </c>
      <c r="T308" s="3" t="s">
        <v>5870</v>
      </c>
      <c r="U308" s="3" t="s">
        <v>5870</v>
      </c>
    </row>
    <row r="309" spans="1:21" ht="42.75" customHeight="1">
      <c r="A309" s="5" t="s">
        <v>1009</v>
      </c>
      <c r="B309" s="5" t="s">
        <v>20</v>
      </c>
      <c r="C309" s="3" t="s">
        <v>1010</v>
      </c>
      <c r="D309" s="6">
        <v>2025</v>
      </c>
      <c r="E309" s="3" t="s">
        <v>1011</v>
      </c>
      <c r="F309" s="5" t="s">
        <v>110</v>
      </c>
      <c r="G309" s="10" t="s">
        <v>111</v>
      </c>
      <c r="H309" s="3" t="s">
        <v>5864</v>
      </c>
      <c r="I309" s="3"/>
      <c r="J309" s="3" t="s">
        <v>6627</v>
      </c>
      <c r="K309" s="3" t="s">
        <v>6628</v>
      </c>
      <c r="L309" s="3" t="s">
        <v>6629</v>
      </c>
      <c r="M309" t="s">
        <v>6630</v>
      </c>
      <c r="O309" s="3" t="s">
        <v>5867</v>
      </c>
      <c r="P309" s="12">
        <v>46304</v>
      </c>
      <c r="Q309" s="3"/>
      <c r="R309" s="3" t="s">
        <v>6631</v>
      </c>
      <c r="S309" s="3" t="s">
        <v>111</v>
      </c>
      <c r="T309" s="3" t="s">
        <v>5869</v>
      </c>
      <c r="U309" s="3" t="s">
        <v>5870</v>
      </c>
    </row>
    <row r="310" spans="1:21" ht="42.75" customHeight="1">
      <c r="A310" s="5" t="s">
        <v>1012</v>
      </c>
      <c r="B310" s="5" t="s">
        <v>20</v>
      </c>
      <c r="C310" s="3" t="s">
        <v>1013</v>
      </c>
      <c r="D310" s="6">
        <v>2026</v>
      </c>
      <c r="E310" s="3" t="s">
        <v>1014</v>
      </c>
      <c r="F310" s="5" t="s">
        <v>119</v>
      </c>
      <c r="G310" s="10" t="s">
        <v>111</v>
      </c>
      <c r="H310" s="3" t="s">
        <v>5871</v>
      </c>
      <c r="I310" s="3" t="s">
        <v>5735</v>
      </c>
      <c r="J310" s="3"/>
      <c r="K310" s="3"/>
      <c r="L310" s="3"/>
      <c r="O310" s="3" t="s">
        <v>5872</v>
      </c>
      <c r="P310" s="12">
        <v>46304</v>
      </c>
      <c r="Q310" s="3" t="s">
        <v>5773</v>
      </c>
      <c r="R310" s="3" t="s">
        <v>6632</v>
      </c>
      <c r="S310" s="3"/>
      <c r="T310" s="3"/>
      <c r="U310" s="3"/>
    </row>
    <row r="311" spans="1:21" ht="42.75" customHeight="1">
      <c r="A311" s="5" t="s">
        <v>1015</v>
      </c>
      <c r="B311" s="5" t="s">
        <v>20</v>
      </c>
      <c r="C311" s="3" t="s">
        <v>1016</v>
      </c>
      <c r="D311" s="6">
        <v>2026</v>
      </c>
      <c r="E311" s="3" t="s">
        <v>1017</v>
      </c>
      <c r="F311" s="5" t="s">
        <v>115</v>
      </c>
      <c r="G311" s="10" t="s">
        <v>111</v>
      </c>
      <c r="H311" s="3" t="s">
        <v>5864</v>
      </c>
      <c r="I311" s="3"/>
      <c r="J311" s="3" t="s">
        <v>6633</v>
      </c>
      <c r="K311" s="3" t="s">
        <v>6634</v>
      </c>
      <c r="L311" s="3" t="s">
        <v>6635</v>
      </c>
      <c r="M311" t="s">
        <v>6636</v>
      </c>
      <c r="O311" s="3" t="s">
        <v>5867</v>
      </c>
      <c r="P311" s="12">
        <v>46304</v>
      </c>
      <c r="Q311" s="3"/>
      <c r="R311" s="3" t="s">
        <v>6637</v>
      </c>
      <c r="S311" s="3" t="s">
        <v>111</v>
      </c>
      <c r="T311" s="3" t="s">
        <v>5870</v>
      </c>
      <c r="U311" s="3" t="s">
        <v>5870</v>
      </c>
    </row>
    <row r="312" spans="1:21" ht="28.5" customHeight="1">
      <c r="A312" s="5" t="s">
        <v>1018</v>
      </c>
      <c r="B312" s="5" t="s">
        <v>20</v>
      </c>
      <c r="C312" s="3" t="s">
        <v>1019</v>
      </c>
      <c r="D312" s="6">
        <v>2026</v>
      </c>
      <c r="E312" s="3" t="s">
        <v>1020</v>
      </c>
      <c r="F312" s="5" t="s">
        <v>115</v>
      </c>
      <c r="G312" s="10" t="s">
        <v>111</v>
      </c>
      <c r="H312" s="3" t="s">
        <v>5871</v>
      </c>
      <c r="I312" s="3" t="s">
        <v>5735</v>
      </c>
      <c r="J312" s="3"/>
      <c r="K312" s="3"/>
      <c r="L312" s="3"/>
      <c r="O312" s="3" t="s">
        <v>5867</v>
      </c>
      <c r="P312" s="12">
        <v>46304</v>
      </c>
      <c r="Q312" s="3" t="s">
        <v>5763</v>
      </c>
      <c r="R312" s="3" t="s">
        <v>6638</v>
      </c>
      <c r="S312" s="3"/>
      <c r="T312" s="3"/>
      <c r="U312" s="3"/>
    </row>
    <row r="313" spans="1:21" ht="28.5" customHeight="1">
      <c r="A313" s="5" t="s">
        <v>1021</v>
      </c>
      <c r="B313" s="5" t="s">
        <v>20</v>
      </c>
      <c r="C313" s="3" t="s">
        <v>1022</v>
      </c>
      <c r="D313" s="6">
        <v>2024</v>
      </c>
      <c r="E313" s="3" t="s">
        <v>1023</v>
      </c>
      <c r="F313" s="5" t="s">
        <v>110</v>
      </c>
      <c r="G313" s="10" t="s">
        <v>111</v>
      </c>
      <c r="H313" s="3" t="s">
        <v>5864</v>
      </c>
      <c r="I313" s="3"/>
      <c r="J313" s="3" t="s">
        <v>6639</v>
      </c>
      <c r="K313" s="3" t="s">
        <v>6640</v>
      </c>
      <c r="L313" s="3" t="s">
        <v>6641</v>
      </c>
      <c r="M313" t="s">
        <v>6642</v>
      </c>
      <c r="O313" s="3" t="s">
        <v>5867</v>
      </c>
      <c r="P313" s="12">
        <v>46304</v>
      </c>
      <c r="Q313" s="3"/>
      <c r="R313" s="3" t="s">
        <v>6643</v>
      </c>
      <c r="S313" s="3" t="s">
        <v>111</v>
      </c>
      <c r="T313" s="3" t="s">
        <v>5869</v>
      </c>
      <c r="U313" s="3" t="s">
        <v>5870</v>
      </c>
    </row>
    <row r="314" spans="1:21" ht="42.75" customHeight="1">
      <c r="A314" s="5" t="s">
        <v>1024</v>
      </c>
      <c r="B314" s="5" t="s">
        <v>20</v>
      </c>
      <c r="C314" s="3" t="s">
        <v>1025</v>
      </c>
      <c r="D314" s="6">
        <v>2025</v>
      </c>
      <c r="E314" s="3" t="s">
        <v>1026</v>
      </c>
      <c r="F314" s="5" t="s">
        <v>110</v>
      </c>
      <c r="G314" s="10" t="s">
        <v>111</v>
      </c>
      <c r="H314" s="3" t="s">
        <v>5871</v>
      </c>
      <c r="I314" s="3" t="s">
        <v>5735</v>
      </c>
      <c r="J314" s="3"/>
      <c r="K314" s="3"/>
      <c r="L314" s="3"/>
      <c r="O314" s="3" t="s">
        <v>5867</v>
      </c>
      <c r="P314" s="12">
        <v>46304</v>
      </c>
      <c r="Q314" s="3" t="s">
        <v>5773</v>
      </c>
      <c r="R314" s="3" t="s">
        <v>6644</v>
      </c>
      <c r="S314" s="3"/>
      <c r="T314" s="3"/>
      <c r="U314" s="3"/>
    </row>
    <row r="315" spans="1:21" ht="42.75" customHeight="1">
      <c r="A315" s="5" t="s">
        <v>1027</v>
      </c>
      <c r="B315" s="5" t="s">
        <v>20</v>
      </c>
      <c r="C315" s="3" t="s">
        <v>1028</v>
      </c>
      <c r="D315" s="6">
        <v>2026</v>
      </c>
      <c r="E315" s="3" t="s">
        <v>1029</v>
      </c>
      <c r="F315" s="5" t="s">
        <v>115</v>
      </c>
      <c r="G315" s="10" t="s">
        <v>111</v>
      </c>
      <c r="H315" s="3" t="s">
        <v>5871</v>
      </c>
      <c r="I315" s="3" t="s">
        <v>5735</v>
      </c>
      <c r="J315" s="3"/>
      <c r="K315" s="3"/>
      <c r="L315" s="3"/>
      <c r="O315" s="3" t="s">
        <v>5867</v>
      </c>
      <c r="P315" s="12">
        <v>46304</v>
      </c>
      <c r="Q315" s="3" t="s">
        <v>5769</v>
      </c>
      <c r="R315" s="3" t="s">
        <v>6645</v>
      </c>
      <c r="S315" s="3"/>
      <c r="T315" s="3"/>
      <c r="U315" s="3"/>
    </row>
    <row r="316" spans="1:21" ht="57" customHeight="1">
      <c r="A316" s="5" t="s">
        <v>1030</v>
      </c>
      <c r="B316" s="5" t="s">
        <v>20</v>
      </c>
      <c r="C316" s="3" t="s">
        <v>1031</v>
      </c>
      <c r="D316" s="6">
        <v>2021</v>
      </c>
      <c r="E316" s="3" t="s">
        <v>1032</v>
      </c>
      <c r="F316" s="5" t="s">
        <v>119</v>
      </c>
      <c r="G316" s="10" t="s">
        <v>111</v>
      </c>
      <c r="H316" s="3" t="s">
        <v>5864</v>
      </c>
      <c r="I316" s="3"/>
      <c r="J316" s="3" t="s">
        <v>6646</v>
      </c>
      <c r="K316" s="3" t="s">
        <v>6647</v>
      </c>
      <c r="L316" s="3" t="s">
        <v>6648</v>
      </c>
      <c r="M316" t="s">
        <v>6649</v>
      </c>
      <c r="O316" s="3" t="s">
        <v>5872</v>
      </c>
      <c r="P316" s="12">
        <v>46304</v>
      </c>
      <c r="Q316" s="3"/>
      <c r="R316" s="3" t="s">
        <v>6650</v>
      </c>
      <c r="S316" s="3" t="s">
        <v>111</v>
      </c>
      <c r="T316" s="3" t="s">
        <v>5870</v>
      </c>
      <c r="U316" s="3" t="s">
        <v>5870</v>
      </c>
    </row>
    <row r="317" spans="1:21" ht="42.75" customHeight="1">
      <c r="A317" s="5" t="s">
        <v>1033</v>
      </c>
      <c r="B317" s="5" t="s">
        <v>20</v>
      </c>
      <c r="C317" s="3" t="s">
        <v>1034</v>
      </c>
      <c r="D317" s="6">
        <v>2024</v>
      </c>
      <c r="E317" s="3" t="s">
        <v>1035</v>
      </c>
      <c r="F317" s="5" t="s">
        <v>115</v>
      </c>
      <c r="G317" s="10" t="s">
        <v>111</v>
      </c>
      <c r="H317" s="3" t="s">
        <v>5864</v>
      </c>
      <c r="I317" s="3"/>
      <c r="J317" s="3" t="s">
        <v>6651</v>
      </c>
      <c r="K317" s="3" t="s">
        <v>6652</v>
      </c>
      <c r="L317" s="3" t="s">
        <v>6653</v>
      </c>
      <c r="M317" t="s">
        <v>6654</v>
      </c>
      <c r="O317" s="3" t="s">
        <v>5867</v>
      </c>
      <c r="P317" s="12">
        <v>46304</v>
      </c>
      <c r="Q317" s="3"/>
      <c r="R317" s="3" t="s">
        <v>6655</v>
      </c>
      <c r="S317" s="3" t="s">
        <v>111</v>
      </c>
      <c r="T317" s="3" t="s">
        <v>5870</v>
      </c>
      <c r="U317" s="3" t="s">
        <v>5870</v>
      </c>
    </row>
    <row r="318" spans="1:21" ht="28.5" customHeight="1">
      <c r="A318" s="5" t="s">
        <v>1036</v>
      </c>
      <c r="B318" s="5" t="s">
        <v>20</v>
      </c>
      <c r="C318" s="3" t="s">
        <v>1037</v>
      </c>
      <c r="D318" s="6">
        <v>2025</v>
      </c>
      <c r="E318" s="3" t="s">
        <v>1038</v>
      </c>
      <c r="F318" s="5" t="s">
        <v>115</v>
      </c>
      <c r="G318" s="10" t="s">
        <v>111</v>
      </c>
      <c r="H318" s="3" t="s">
        <v>5864</v>
      </c>
      <c r="I318" s="3"/>
      <c r="J318" s="3" t="s">
        <v>6656</v>
      </c>
      <c r="K318" s="3" t="s">
        <v>6657</v>
      </c>
      <c r="L318" s="3" t="s">
        <v>6658</v>
      </c>
      <c r="M318" t="s">
        <v>6659</v>
      </c>
      <c r="O318" s="3" t="s">
        <v>5867</v>
      </c>
      <c r="P318" s="12">
        <v>46304</v>
      </c>
      <c r="Q318" s="3"/>
      <c r="R318" s="3" t="s">
        <v>6660</v>
      </c>
      <c r="S318" s="3" t="s">
        <v>5902</v>
      </c>
      <c r="T318" s="3" t="s">
        <v>5870</v>
      </c>
      <c r="U318" s="3" t="s">
        <v>5870</v>
      </c>
    </row>
    <row r="319" spans="1:21" ht="42.75" customHeight="1">
      <c r="A319" s="5" t="s">
        <v>1039</v>
      </c>
      <c r="B319" s="5" t="s">
        <v>20</v>
      </c>
      <c r="C319" s="3" t="s">
        <v>1040</v>
      </c>
      <c r="D319" s="6">
        <v>2026</v>
      </c>
      <c r="E319" s="3" t="s">
        <v>1041</v>
      </c>
      <c r="F319" s="5" t="s">
        <v>110</v>
      </c>
      <c r="G319" s="10" t="s">
        <v>111</v>
      </c>
      <c r="H319" s="3" t="s">
        <v>5864</v>
      </c>
      <c r="I319" s="3"/>
      <c r="J319" s="3" t="s">
        <v>6661</v>
      </c>
      <c r="K319" s="3" t="s">
        <v>6662</v>
      </c>
      <c r="L319" s="3" t="s">
        <v>6663</v>
      </c>
      <c r="M319" t="s">
        <v>6664</v>
      </c>
      <c r="O319" s="3" t="s">
        <v>5867</v>
      </c>
      <c r="P319" s="12">
        <v>46304</v>
      </c>
      <c r="Q319" s="3"/>
      <c r="R319" s="3" t="s">
        <v>6665</v>
      </c>
      <c r="S319" s="3" t="s">
        <v>111</v>
      </c>
      <c r="T319" s="3" t="s">
        <v>5869</v>
      </c>
      <c r="U319" s="3" t="s">
        <v>5870</v>
      </c>
    </row>
    <row r="320" spans="1:21" ht="28.5" customHeight="1">
      <c r="A320" s="5" t="s">
        <v>1042</v>
      </c>
      <c r="B320" s="5" t="s">
        <v>20</v>
      </c>
      <c r="C320" s="3" t="s">
        <v>1043</v>
      </c>
      <c r="D320" s="6">
        <v>2025</v>
      </c>
      <c r="E320" s="3" t="s">
        <v>1044</v>
      </c>
      <c r="F320" s="5" t="s">
        <v>115</v>
      </c>
      <c r="G320" s="10" t="s">
        <v>111</v>
      </c>
      <c r="H320" s="3" t="s">
        <v>5864</v>
      </c>
      <c r="I320" s="3"/>
      <c r="J320" s="3" t="s">
        <v>6666</v>
      </c>
      <c r="K320" s="3" t="s">
        <v>6667</v>
      </c>
      <c r="L320" s="3" t="s">
        <v>6668</v>
      </c>
      <c r="M320" t="s">
        <v>6669</v>
      </c>
      <c r="O320" s="3" t="s">
        <v>5867</v>
      </c>
      <c r="P320" s="12">
        <v>46304</v>
      </c>
      <c r="Q320" s="3"/>
      <c r="R320" s="3" t="s">
        <v>6670</v>
      </c>
      <c r="S320" s="3" t="s">
        <v>5902</v>
      </c>
      <c r="T320" s="3" t="s">
        <v>5870</v>
      </c>
      <c r="U320" s="3" t="s">
        <v>5870</v>
      </c>
    </row>
    <row r="321" spans="1:21" ht="28.5" customHeight="1">
      <c r="A321" s="5" t="s">
        <v>1045</v>
      </c>
      <c r="B321" s="5" t="s">
        <v>20</v>
      </c>
      <c r="C321" s="3" t="s">
        <v>1046</v>
      </c>
      <c r="D321" s="6">
        <v>2026</v>
      </c>
      <c r="E321" s="3" t="s">
        <v>1047</v>
      </c>
      <c r="F321" s="5" t="s">
        <v>110</v>
      </c>
      <c r="G321" s="10" t="s">
        <v>111</v>
      </c>
      <c r="H321" s="3" t="s">
        <v>5871</v>
      </c>
      <c r="I321" s="3" t="s">
        <v>5735</v>
      </c>
      <c r="J321" s="3"/>
      <c r="K321" s="3"/>
      <c r="L321" s="3"/>
      <c r="O321" s="3" t="s">
        <v>5867</v>
      </c>
      <c r="P321" s="12">
        <v>46304</v>
      </c>
      <c r="Q321" s="3" t="s">
        <v>5771</v>
      </c>
      <c r="R321" s="3" t="s">
        <v>6671</v>
      </c>
      <c r="S321" s="3"/>
      <c r="T321" s="3"/>
      <c r="U321" s="3"/>
    </row>
    <row r="322" spans="1:21" ht="71.25" customHeight="1">
      <c r="A322" s="5" t="s">
        <v>1048</v>
      </c>
      <c r="B322" s="5" t="s">
        <v>20</v>
      </c>
      <c r="C322" s="3" t="s">
        <v>1049</v>
      </c>
      <c r="D322" s="6">
        <v>2023</v>
      </c>
      <c r="E322" s="3" t="s">
        <v>1050</v>
      </c>
      <c r="F322" s="5" t="s">
        <v>115</v>
      </c>
      <c r="G322" s="10" t="s">
        <v>111</v>
      </c>
      <c r="H322" s="3" t="s">
        <v>5864</v>
      </c>
      <c r="I322" s="3"/>
      <c r="J322" s="3" t="s">
        <v>6672</v>
      </c>
      <c r="K322" s="3" t="s">
        <v>6673</v>
      </c>
      <c r="L322" s="3" t="s">
        <v>6674</v>
      </c>
      <c r="M322" t="s">
        <v>6675</v>
      </c>
      <c r="O322" s="3" t="s">
        <v>5867</v>
      </c>
      <c r="P322" s="12">
        <v>46304</v>
      </c>
      <c r="Q322" s="3"/>
      <c r="R322" s="3" t="s">
        <v>6676</v>
      </c>
      <c r="S322" s="3" t="s">
        <v>111</v>
      </c>
      <c r="T322" s="3" t="s">
        <v>5870</v>
      </c>
      <c r="U322" s="3" t="s">
        <v>5870</v>
      </c>
    </row>
    <row r="323" spans="1:21" ht="28.5" customHeight="1">
      <c r="A323" s="5" t="s">
        <v>1051</v>
      </c>
      <c r="B323" s="5" t="s">
        <v>20</v>
      </c>
      <c r="C323" s="3" t="s">
        <v>1052</v>
      </c>
      <c r="D323" s="6">
        <v>2024</v>
      </c>
      <c r="E323" s="3" t="s">
        <v>1053</v>
      </c>
      <c r="F323" s="5" t="s">
        <v>110</v>
      </c>
      <c r="G323" s="10" t="s">
        <v>111</v>
      </c>
      <c r="H323" s="3" t="s">
        <v>5864</v>
      </c>
      <c r="I323" s="3"/>
      <c r="J323" s="3" t="s">
        <v>6677</v>
      </c>
      <c r="K323" s="3" t="s">
        <v>6678</v>
      </c>
      <c r="L323" s="3" t="s">
        <v>6679</v>
      </c>
      <c r="M323" t="s">
        <v>6680</v>
      </c>
      <c r="O323" s="3" t="s">
        <v>5867</v>
      </c>
      <c r="P323" s="12">
        <v>46304</v>
      </c>
      <c r="Q323" s="3"/>
      <c r="R323" s="3" t="s">
        <v>6681</v>
      </c>
      <c r="S323" s="3" t="s">
        <v>111</v>
      </c>
      <c r="T323" s="3" t="s">
        <v>5870</v>
      </c>
      <c r="U323" s="3" t="s">
        <v>5870</v>
      </c>
    </row>
    <row r="324" spans="1:21" ht="28.5" customHeight="1">
      <c r="A324" s="5" t="s">
        <v>1054</v>
      </c>
      <c r="B324" s="5" t="s">
        <v>20</v>
      </c>
      <c r="C324" s="3" t="s">
        <v>1055</v>
      </c>
      <c r="D324" s="6">
        <v>2026</v>
      </c>
      <c r="E324" s="3" t="s">
        <v>1056</v>
      </c>
      <c r="F324" s="5" t="s">
        <v>110</v>
      </c>
      <c r="G324" s="10" t="s">
        <v>111</v>
      </c>
      <c r="H324" s="3" t="s">
        <v>5864</v>
      </c>
      <c r="I324" s="3"/>
      <c r="J324" s="3" t="s">
        <v>7024</v>
      </c>
      <c r="K324" s="3" t="s">
        <v>7025</v>
      </c>
      <c r="L324" s="3" t="s">
        <v>7026</v>
      </c>
      <c r="M324" t="s">
        <v>7027</v>
      </c>
      <c r="O324" s="3" t="s">
        <v>5867</v>
      </c>
      <c r="P324" s="12">
        <v>46305</v>
      </c>
      <c r="Q324" s="3"/>
      <c r="R324" s="3" t="s">
        <v>7028</v>
      </c>
      <c r="S324" s="3" t="s">
        <v>111</v>
      </c>
      <c r="T324" s="3" t="s">
        <v>5869</v>
      </c>
      <c r="U324" s="3" t="s">
        <v>5870</v>
      </c>
    </row>
    <row r="325" spans="1:21" ht="28.5" customHeight="1">
      <c r="A325" s="5" t="s">
        <v>1057</v>
      </c>
      <c r="B325" s="5" t="s">
        <v>20</v>
      </c>
      <c r="C325" s="3" t="s">
        <v>1058</v>
      </c>
      <c r="D325" s="6">
        <v>2025</v>
      </c>
      <c r="E325" s="3" t="s">
        <v>1059</v>
      </c>
      <c r="F325" s="5" t="s">
        <v>115</v>
      </c>
      <c r="G325" s="10" t="s">
        <v>111</v>
      </c>
      <c r="H325" s="3" t="s">
        <v>5871</v>
      </c>
      <c r="I325" s="3" t="s">
        <v>5735</v>
      </c>
      <c r="J325" s="3"/>
      <c r="K325" s="3"/>
      <c r="L325" s="3"/>
      <c r="O325" s="3" t="s">
        <v>5867</v>
      </c>
      <c r="P325" s="12">
        <v>46305</v>
      </c>
      <c r="Q325" s="3" t="s">
        <v>5773</v>
      </c>
      <c r="R325" s="3" t="s">
        <v>7029</v>
      </c>
      <c r="S325" s="3"/>
      <c r="T325" s="3"/>
      <c r="U325" s="3"/>
    </row>
    <row r="326" spans="1:21" ht="42.75" customHeight="1">
      <c r="A326" s="5" t="s">
        <v>1060</v>
      </c>
      <c r="B326" s="5" t="s">
        <v>20</v>
      </c>
      <c r="C326" s="3" t="s">
        <v>1061</v>
      </c>
      <c r="D326" s="6">
        <v>2024</v>
      </c>
      <c r="E326" s="3" t="s">
        <v>1062</v>
      </c>
      <c r="F326" s="5" t="s">
        <v>119</v>
      </c>
      <c r="G326" s="10" t="s">
        <v>111</v>
      </c>
      <c r="H326" s="3" t="s">
        <v>5864</v>
      </c>
      <c r="I326" s="3"/>
      <c r="J326" s="3" t="s">
        <v>7031</v>
      </c>
      <c r="K326" s="3" t="s">
        <v>7032</v>
      </c>
      <c r="L326" s="3" t="s">
        <v>7033</v>
      </c>
      <c r="M326" t="s">
        <v>7034</v>
      </c>
      <c r="O326" s="3" t="s">
        <v>5872</v>
      </c>
      <c r="P326" s="12">
        <v>46305</v>
      </c>
      <c r="Q326" s="3"/>
      <c r="R326" s="3" t="s">
        <v>7035</v>
      </c>
      <c r="S326" s="3" t="s">
        <v>111</v>
      </c>
      <c r="T326" s="3" t="s">
        <v>5869</v>
      </c>
      <c r="U326" s="3" t="s">
        <v>5870</v>
      </c>
    </row>
    <row r="327" spans="1:21" ht="85.5" customHeight="1">
      <c r="A327" s="5" t="s">
        <v>1063</v>
      </c>
      <c r="B327" s="5" t="s">
        <v>20</v>
      </c>
      <c r="C327" s="3" t="s">
        <v>1064</v>
      </c>
      <c r="D327" s="6">
        <v>2026</v>
      </c>
      <c r="E327" s="3" t="s">
        <v>1065</v>
      </c>
      <c r="F327" s="5" t="s">
        <v>119</v>
      </c>
      <c r="G327" s="10" t="s">
        <v>111</v>
      </c>
      <c r="H327" s="3" t="s">
        <v>5864</v>
      </c>
      <c r="I327" s="3"/>
      <c r="J327" s="3" t="s">
        <v>6682</v>
      </c>
      <c r="K327" s="3" t="s">
        <v>6683</v>
      </c>
      <c r="L327" s="3" t="s">
        <v>6684</v>
      </c>
      <c r="M327" t="s">
        <v>6685</v>
      </c>
      <c r="O327" s="3" t="s">
        <v>5872</v>
      </c>
      <c r="P327" s="12">
        <v>46304</v>
      </c>
      <c r="Q327" s="3"/>
      <c r="R327" s="3" t="s">
        <v>6686</v>
      </c>
      <c r="S327" s="3" t="s">
        <v>111</v>
      </c>
      <c r="T327" s="3" t="s">
        <v>5869</v>
      </c>
      <c r="U327" s="3" t="s">
        <v>5870</v>
      </c>
    </row>
    <row r="328" spans="1:21" ht="42.75" customHeight="1">
      <c r="A328" s="5" t="s">
        <v>1066</v>
      </c>
      <c r="B328" s="5" t="s">
        <v>20</v>
      </c>
      <c r="C328" s="3" t="s">
        <v>1067</v>
      </c>
      <c r="D328" s="6">
        <v>2025</v>
      </c>
      <c r="E328" s="3" t="s">
        <v>1068</v>
      </c>
      <c r="F328" s="5" t="s">
        <v>110</v>
      </c>
      <c r="G328" s="10" t="s">
        <v>111</v>
      </c>
      <c r="H328" s="3" t="s">
        <v>5871</v>
      </c>
      <c r="I328" s="3" t="s">
        <v>5735</v>
      </c>
      <c r="J328" s="3"/>
      <c r="K328" s="3"/>
      <c r="L328" s="3"/>
      <c r="O328" s="3" t="s">
        <v>5867</v>
      </c>
      <c r="P328" s="12">
        <v>46304</v>
      </c>
      <c r="Q328" s="3" t="s">
        <v>5765</v>
      </c>
      <c r="R328" s="3" t="s">
        <v>6687</v>
      </c>
      <c r="S328" s="3"/>
      <c r="T328" s="3"/>
      <c r="U328" s="3"/>
    </row>
    <row r="329" spans="1:21" ht="28.5" customHeight="1">
      <c r="A329" s="5" t="s">
        <v>1069</v>
      </c>
      <c r="B329" s="5" t="s">
        <v>20</v>
      </c>
      <c r="C329" s="3" t="s">
        <v>1070</v>
      </c>
      <c r="D329" s="6">
        <v>2024</v>
      </c>
      <c r="E329" s="3" t="s">
        <v>1071</v>
      </c>
      <c r="F329" s="5" t="s">
        <v>110</v>
      </c>
      <c r="G329" s="10" t="s">
        <v>111</v>
      </c>
      <c r="H329" s="3" t="s">
        <v>5871</v>
      </c>
      <c r="I329" s="3" t="s">
        <v>5735</v>
      </c>
      <c r="J329" s="3"/>
      <c r="K329" s="3"/>
      <c r="L329" s="3"/>
      <c r="O329" s="3" t="s">
        <v>5867</v>
      </c>
      <c r="P329" s="12">
        <v>46304</v>
      </c>
      <c r="Q329" s="3" t="s">
        <v>5773</v>
      </c>
      <c r="R329" s="3" t="s">
        <v>6688</v>
      </c>
      <c r="S329" s="3"/>
      <c r="T329" s="3"/>
      <c r="U329" s="3"/>
    </row>
    <row r="330" spans="1:21" ht="42.75" customHeight="1">
      <c r="A330" s="5" t="s">
        <v>1072</v>
      </c>
      <c r="B330" s="5" t="s">
        <v>20</v>
      </c>
      <c r="C330" s="3" t="s">
        <v>1073</v>
      </c>
      <c r="D330" s="6">
        <v>2024</v>
      </c>
      <c r="E330" s="3" t="s">
        <v>1074</v>
      </c>
      <c r="F330" s="5" t="s">
        <v>115</v>
      </c>
      <c r="G330" s="10" t="s">
        <v>111</v>
      </c>
      <c r="H330" s="3" t="s">
        <v>5864</v>
      </c>
      <c r="I330" s="3"/>
      <c r="J330" s="3" t="s">
        <v>6689</v>
      </c>
      <c r="K330" s="3" t="s">
        <v>6690</v>
      </c>
      <c r="L330" s="3" t="s">
        <v>6691</v>
      </c>
      <c r="M330" t="s">
        <v>6692</v>
      </c>
      <c r="O330" s="3" t="s">
        <v>5867</v>
      </c>
      <c r="P330" s="12">
        <v>46304</v>
      </c>
      <c r="Q330" s="3"/>
      <c r="R330" s="3" t="s">
        <v>6693</v>
      </c>
      <c r="S330" s="3" t="s">
        <v>111</v>
      </c>
      <c r="T330" s="3" t="s">
        <v>5870</v>
      </c>
      <c r="U330" s="3" t="s">
        <v>5870</v>
      </c>
    </row>
    <row r="331" spans="1:21" ht="28.5" customHeight="1">
      <c r="A331" s="5" t="s">
        <v>1075</v>
      </c>
      <c r="B331" s="5" t="s">
        <v>20</v>
      </c>
      <c r="C331" s="3" t="s">
        <v>1076</v>
      </c>
      <c r="D331" s="6">
        <v>2024</v>
      </c>
      <c r="E331" s="3" t="s">
        <v>1077</v>
      </c>
      <c r="F331" s="5" t="s">
        <v>115</v>
      </c>
      <c r="G331" s="10" t="s">
        <v>111</v>
      </c>
      <c r="H331" s="3" t="s">
        <v>5864</v>
      </c>
      <c r="I331" s="3"/>
      <c r="J331" s="3" t="s">
        <v>6694</v>
      </c>
      <c r="K331" s="3" t="s">
        <v>6695</v>
      </c>
      <c r="L331" s="3" t="s">
        <v>6696</v>
      </c>
      <c r="M331" t="s">
        <v>6697</v>
      </c>
      <c r="O331" s="3" t="s">
        <v>5867</v>
      </c>
      <c r="P331" s="12">
        <v>46304</v>
      </c>
      <c r="Q331" s="3"/>
      <c r="R331" s="3" t="s">
        <v>6698</v>
      </c>
      <c r="S331" s="3" t="s">
        <v>111</v>
      </c>
      <c r="T331" s="3" t="s">
        <v>5869</v>
      </c>
      <c r="U331" s="3" t="s">
        <v>5870</v>
      </c>
    </row>
    <row r="332" spans="1:21" ht="42.75" customHeight="1">
      <c r="A332" s="5" t="s">
        <v>1078</v>
      </c>
      <c r="B332" s="5" t="s">
        <v>20</v>
      </c>
      <c r="C332" s="3" t="s">
        <v>1079</v>
      </c>
      <c r="D332" s="6">
        <v>2024</v>
      </c>
      <c r="E332" s="3" t="s">
        <v>1080</v>
      </c>
      <c r="F332" s="5" t="s">
        <v>119</v>
      </c>
      <c r="G332" s="10" t="s">
        <v>111</v>
      </c>
      <c r="H332" s="3" t="s">
        <v>5864</v>
      </c>
      <c r="I332" s="3"/>
      <c r="J332" s="3" t="s">
        <v>6699</v>
      </c>
      <c r="K332" s="3" t="s">
        <v>6700</v>
      </c>
      <c r="L332" s="3" t="s">
        <v>6701</v>
      </c>
      <c r="M332" t="s">
        <v>6702</v>
      </c>
      <c r="O332" s="3" t="s">
        <v>5872</v>
      </c>
      <c r="P332" s="12">
        <v>46304</v>
      </c>
      <c r="Q332" s="3"/>
      <c r="R332" s="3" t="s">
        <v>6703</v>
      </c>
      <c r="S332" s="3" t="s">
        <v>6317</v>
      </c>
      <c r="T332" s="3" t="s">
        <v>5870</v>
      </c>
      <c r="U332" s="3" t="s">
        <v>5870</v>
      </c>
    </row>
    <row r="333" spans="1:21" ht="42.75" customHeight="1">
      <c r="A333" s="5" t="s">
        <v>1081</v>
      </c>
      <c r="B333" s="5" t="s">
        <v>20</v>
      </c>
      <c r="C333" s="3" t="s">
        <v>1082</v>
      </c>
      <c r="D333" s="6">
        <v>2023</v>
      </c>
      <c r="E333" s="3" t="s">
        <v>1083</v>
      </c>
      <c r="F333" s="5" t="s">
        <v>115</v>
      </c>
      <c r="G333" s="10" t="s">
        <v>111</v>
      </c>
      <c r="H333" s="3" t="s">
        <v>5864</v>
      </c>
      <c r="I333" s="3"/>
      <c r="J333" s="3" t="s">
        <v>6704</v>
      </c>
      <c r="K333" s="3" t="s">
        <v>6705</v>
      </c>
      <c r="L333" s="3" t="s">
        <v>6706</v>
      </c>
      <c r="M333" t="s">
        <v>6707</v>
      </c>
      <c r="O333" s="3" t="s">
        <v>5867</v>
      </c>
      <c r="P333" s="12">
        <v>46304</v>
      </c>
      <c r="Q333" s="3"/>
      <c r="R333" s="3" t="s">
        <v>6708</v>
      </c>
      <c r="S333" s="3" t="s">
        <v>111</v>
      </c>
      <c r="T333" s="3" t="s">
        <v>5869</v>
      </c>
      <c r="U333" s="3" t="s">
        <v>5870</v>
      </c>
    </row>
    <row r="334" spans="1:21" ht="28.5" customHeight="1">
      <c r="A334" s="5" t="s">
        <v>1084</v>
      </c>
      <c r="B334" s="5" t="s">
        <v>20</v>
      </c>
      <c r="C334" s="3" t="s">
        <v>1085</v>
      </c>
      <c r="D334" s="6">
        <v>2024</v>
      </c>
      <c r="E334" s="3" t="s">
        <v>1086</v>
      </c>
      <c r="F334" s="5" t="s">
        <v>110</v>
      </c>
      <c r="G334" s="10" t="s">
        <v>111</v>
      </c>
      <c r="H334" s="3" t="s">
        <v>5864</v>
      </c>
      <c r="I334" s="3"/>
      <c r="J334" s="3" t="s">
        <v>6709</v>
      </c>
      <c r="K334" s="3" t="s">
        <v>6710</v>
      </c>
      <c r="L334" s="3" t="s">
        <v>6711</v>
      </c>
      <c r="M334" t="s">
        <v>6712</v>
      </c>
      <c r="O334" s="3" t="s">
        <v>5867</v>
      </c>
      <c r="P334" s="12">
        <v>46304</v>
      </c>
      <c r="Q334" s="3"/>
      <c r="R334" s="3" t="s">
        <v>6713</v>
      </c>
      <c r="S334" s="3" t="s">
        <v>111</v>
      </c>
      <c r="T334" s="3" t="s">
        <v>5870</v>
      </c>
      <c r="U334" s="3" t="s">
        <v>5870</v>
      </c>
    </row>
    <row r="335" spans="1:21" ht="57" customHeight="1">
      <c r="A335" s="5" t="s">
        <v>1087</v>
      </c>
      <c r="B335" s="5" t="s">
        <v>20</v>
      </c>
      <c r="C335" s="3" t="s">
        <v>1088</v>
      </c>
      <c r="D335" s="6">
        <v>2025</v>
      </c>
      <c r="E335" s="3" t="s">
        <v>1089</v>
      </c>
      <c r="F335" s="5" t="s">
        <v>119</v>
      </c>
      <c r="G335" s="10" t="s">
        <v>111</v>
      </c>
      <c r="H335" s="3" t="s">
        <v>5871</v>
      </c>
      <c r="I335" s="3" t="s">
        <v>5735</v>
      </c>
      <c r="J335" s="3"/>
      <c r="K335" s="3"/>
      <c r="L335" s="3"/>
      <c r="O335" s="3" t="s">
        <v>5872</v>
      </c>
      <c r="P335" s="12">
        <v>46305</v>
      </c>
      <c r="Q335" s="3" t="s">
        <v>5775</v>
      </c>
      <c r="R335" s="3" t="s">
        <v>7030</v>
      </c>
      <c r="S335" s="3"/>
      <c r="T335" s="3"/>
      <c r="U335" s="3"/>
    </row>
    <row r="336" spans="1:21" ht="42.75" customHeight="1">
      <c r="A336" s="5" t="s">
        <v>1090</v>
      </c>
      <c r="B336" s="5" t="s">
        <v>20</v>
      </c>
      <c r="C336" s="3" t="s">
        <v>1091</v>
      </c>
      <c r="D336" s="6">
        <v>2025</v>
      </c>
      <c r="E336" s="3" t="s">
        <v>1092</v>
      </c>
      <c r="F336" s="5" t="s">
        <v>110</v>
      </c>
      <c r="G336" s="10" t="s">
        <v>111</v>
      </c>
      <c r="H336" s="3" t="s">
        <v>5871</v>
      </c>
      <c r="I336" s="3" t="s">
        <v>5735</v>
      </c>
      <c r="J336" s="3"/>
      <c r="K336" s="3"/>
      <c r="L336" s="3"/>
      <c r="O336" s="3" t="s">
        <v>5867</v>
      </c>
      <c r="P336" s="12">
        <v>46304</v>
      </c>
      <c r="Q336" s="3" t="s">
        <v>5773</v>
      </c>
      <c r="R336" s="3" t="s">
        <v>6714</v>
      </c>
      <c r="S336" s="3"/>
      <c r="T336" s="3"/>
      <c r="U336" s="3"/>
    </row>
    <row r="337" spans="1:21" ht="42.75" customHeight="1">
      <c r="A337" s="5" t="s">
        <v>1093</v>
      </c>
      <c r="B337" s="5" t="s">
        <v>20</v>
      </c>
      <c r="C337" s="3" t="s">
        <v>1094</v>
      </c>
      <c r="D337" s="6">
        <v>2025</v>
      </c>
      <c r="E337" s="3" t="s">
        <v>1095</v>
      </c>
      <c r="F337" s="5" t="s">
        <v>115</v>
      </c>
      <c r="G337" s="10" t="s">
        <v>111</v>
      </c>
      <c r="H337" s="3" t="s">
        <v>5864</v>
      </c>
      <c r="I337" s="3"/>
      <c r="J337" s="3" t="s">
        <v>6715</v>
      </c>
      <c r="K337" s="3" t="s">
        <v>6716</v>
      </c>
      <c r="L337" s="3" t="s">
        <v>6717</v>
      </c>
      <c r="M337" t="s">
        <v>6718</v>
      </c>
      <c r="O337" s="3" t="s">
        <v>5872</v>
      </c>
      <c r="P337" s="12">
        <v>46304</v>
      </c>
      <c r="Q337" s="3"/>
      <c r="R337" s="3" t="s">
        <v>6719</v>
      </c>
      <c r="S337" s="3" t="s">
        <v>111</v>
      </c>
      <c r="T337" s="3" t="s">
        <v>5869</v>
      </c>
      <c r="U337" s="3" t="s">
        <v>5870</v>
      </c>
    </row>
    <row r="338" spans="1:21" ht="28.5" customHeight="1">
      <c r="A338" s="5" t="s">
        <v>1096</v>
      </c>
      <c r="B338" s="5" t="s">
        <v>20</v>
      </c>
      <c r="C338" s="3" t="s">
        <v>1097</v>
      </c>
      <c r="D338" s="6">
        <v>2024</v>
      </c>
      <c r="E338" s="3" t="s">
        <v>1098</v>
      </c>
      <c r="F338" s="5" t="s">
        <v>119</v>
      </c>
      <c r="G338" s="10" t="s">
        <v>111</v>
      </c>
      <c r="H338" s="3" t="s">
        <v>5864</v>
      </c>
      <c r="I338" s="3"/>
      <c r="J338" s="3" t="s">
        <v>6720</v>
      </c>
      <c r="K338" s="3" t="s">
        <v>6721</v>
      </c>
      <c r="L338" s="3" t="s">
        <v>6722</v>
      </c>
      <c r="M338" t="s">
        <v>6723</v>
      </c>
      <c r="O338" s="3" t="s">
        <v>5872</v>
      </c>
      <c r="P338" s="12">
        <v>46304</v>
      </c>
      <c r="Q338" s="3"/>
      <c r="R338" s="3" t="s">
        <v>6724</v>
      </c>
      <c r="S338" s="3" t="s">
        <v>5902</v>
      </c>
      <c r="T338" s="3" t="s">
        <v>5869</v>
      </c>
      <c r="U338" s="3" t="s">
        <v>5870</v>
      </c>
    </row>
    <row r="339" spans="1:21" ht="28.5" customHeight="1">
      <c r="A339" s="5" t="s">
        <v>1099</v>
      </c>
      <c r="B339" s="5" t="s">
        <v>20</v>
      </c>
      <c r="C339" s="3" t="s">
        <v>1100</v>
      </c>
      <c r="D339" s="6">
        <v>2024</v>
      </c>
      <c r="E339" s="3" t="s">
        <v>1101</v>
      </c>
      <c r="F339" s="5" t="s">
        <v>115</v>
      </c>
      <c r="G339" s="10" t="s">
        <v>111</v>
      </c>
      <c r="H339" s="3" t="s">
        <v>5871</v>
      </c>
      <c r="I339" s="3" t="s">
        <v>5735</v>
      </c>
      <c r="J339" s="3"/>
      <c r="K339" s="3"/>
      <c r="L339" s="3"/>
      <c r="O339" s="3" t="s">
        <v>5867</v>
      </c>
      <c r="P339" s="12">
        <v>46304</v>
      </c>
      <c r="Q339" s="3" t="s">
        <v>5773</v>
      </c>
      <c r="R339" s="3" t="s">
        <v>6725</v>
      </c>
      <c r="S339" s="3"/>
      <c r="T339" s="3"/>
      <c r="U339" s="3"/>
    </row>
    <row r="340" spans="1:21" ht="42.75" customHeight="1">
      <c r="A340" s="5" t="s">
        <v>1102</v>
      </c>
      <c r="B340" s="5" t="s">
        <v>20</v>
      </c>
      <c r="C340" s="3" t="s">
        <v>1103</v>
      </c>
      <c r="D340" s="6">
        <v>2025</v>
      </c>
      <c r="E340" s="3" t="s">
        <v>1104</v>
      </c>
      <c r="F340" s="5" t="s">
        <v>110</v>
      </c>
      <c r="G340" s="10" t="s">
        <v>111</v>
      </c>
      <c r="H340" s="3" t="s">
        <v>5864</v>
      </c>
      <c r="I340" s="3"/>
      <c r="J340" s="3" t="s">
        <v>6726</v>
      </c>
      <c r="K340" s="3" t="s">
        <v>6727</v>
      </c>
      <c r="L340" s="3" t="s">
        <v>6728</v>
      </c>
      <c r="M340" t="s">
        <v>6729</v>
      </c>
      <c r="O340" s="3" t="s">
        <v>5867</v>
      </c>
      <c r="P340" s="12">
        <v>46304</v>
      </c>
      <c r="Q340" s="3"/>
      <c r="R340" s="3" t="s">
        <v>6730</v>
      </c>
      <c r="S340" s="3" t="s">
        <v>6317</v>
      </c>
      <c r="T340" s="3" t="s">
        <v>5869</v>
      </c>
      <c r="U340" s="3" t="s">
        <v>5870</v>
      </c>
    </row>
    <row r="341" spans="1:21" ht="28.5" customHeight="1">
      <c r="A341" s="5" t="s">
        <v>1105</v>
      </c>
      <c r="B341" s="5" t="s">
        <v>20</v>
      </c>
      <c r="C341" s="3" t="s">
        <v>1106</v>
      </c>
      <c r="D341" s="6">
        <v>2024</v>
      </c>
      <c r="E341" s="3" t="s">
        <v>1107</v>
      </c>
      <c r="F341" s="5" t="s">
        <v>115</v>
      </c>
      <c r="G341" s="10" t="s">
        <v>111</v>
      </c>
      <c r="H341" s="3" t="s">
        <v>5864</v>
      </c>
      <c r="I341" s="3"/>
      <c r="J341" s="3" t="s">
        <v>6829</v>
      </c>
      <c r="K341" s="3" t="s">
        <v>6830</v>
      </c>
      <c r="L341" s="3" t="s">
        <v>6831</v>
      </c>
      <c r="M341" t="s">
        <v>6832</v>
      </c>
      <c r="O341" s="3" t="s">
        <v>5867</v>
      </c>
      <c r="P341" s="12">
        <v>46304</v>
      </c>
      <c r="Q341" s="3"/>
      <c r="R341" s="3" t="s">
        <v>6833</v>
      </c>
      <c r="S341" s="3" t="s">
        <v>111</v>
      </c>
      <c r="T341" s="3" t="s">
        <v>5869</v>
      </c>
      <c r="U341" s="3" t="s">
        <v>5870</v>
      </c>
    </row>
    <row r="342" spans="1:21" ht="57" customHeight="1">
      <c r="A342" s="5" t="s">
        <v>1108</v>
      </c>
      <c r="B342" s="5" t="s">
        <v>20</v>
      </c>
      <c r="C342" s="3" t="s">
        <v>1109</v>
      </c>
      <c r="D342" s="6">
        <v>2024</v>
      </c>
      <c r="E342" s="3" t="s">
        <v>1110</v>
      </c>
      <c r="F342" s="5" t="s">
        <v>110</v>
      </c>
      <c r="G342" s="10" t="s">
        <v>111</v>
      </c>
      <c r="H342" s="3" t="s">
        <v>5864</v>
      </c>
      <c r="I342" s="3"/>
      <c r="J342" s="3" t="s">
        <v>6731</v>
      </c>
      <c r="K342" s="3" t="s">
        <v>6732</v>
      </c>
      <c r="L342" s="3" t="s">
        <v>6733</v>
      </c>
      <c r="M342" t="s">
        <v>6734</v>
      </c>
      <c r="O342" s="3" t="s">
        <v>5867</v>
      </c>
      <c r="P342" s="12">
        <v>46304</v>
      </c>
      <c r="Q342" s="3"/>
      <c r="R342" s="3" t="s">
        <v>6735</v>
      </c>
      <c r="S342" s="3" t="s">
        <v>111</v>
      </c>
      <c r="T342" s="3" t="s">
        <v>5869</v>
      </c>
      <c r="U342" s="3" t="s">
        <v>5870</v>
      </c>
    </row>
    <row r="343" spans="1:21" ht="28.5" customHeight="1">
      <c r="A343" s="5" t="s">
        <v>1111</v>
      </c>
      <c r="B343" s="5" t="s">
        <v>20</v>
      </c>
      <c r="C343" s="3" t="s">
        <v>1112</v>
      </c>
      <c r="D343" s="6">
        <v>2026</v>
      </c>
      <c r="E343" s="3" t="s">
        <v>1113</v>
      </c>
      <c r="F343" s="5" t="s">
        <v>110</v>
      </c>
      <c r="G343" s="10" t="s">
        <v>111</v>
      </c>
      <c r="H343" s="3" t="s">
        <v>5871</v>
      </c>
      <c r="I343" s="3" t="s">
        <v>5735</v>
      </c>
      <c r="J343" s="3"/>
      <c r="K343" s="3"/>
      <c r="L343" s="3"/>
      <c r="O343" s="3" t="s">
        <v>5867</v>
      </c>
      <c r="P343" s="12">
        <v>46304</v>
      </c>
      <c r="Q343" s="3" t="s">
        <v>5769</v>
      </c>
      <c r="R343" s="3" t="s">
        <v>6736</v>
      </c>
      <c r="S343" s="3"/>
      <c r="T343" s="3"/>
      <c r="U343" s="3"/>
    </row>
    <row r="344" spans="1:21" ht="28.5" customHeight="1">
      <c r="A344" s="5" t="s">
        <v>1114</v>
      </c>
      <c r="B344" s="5" t="s">
        <v>20</v>
      </c>
      <c r="C344" s="3" t="s">
        <v>1115</v>
      </c>
      <c r="D344" s="6">
        <v>2026</v>
      </c>
      <c r="E344" s="3" t="s">
        <v>1116</v>
      </c>
      <c r="F344" s="5" t="s">
        <v>115</v>
      </c>
      <c r="G344" s="10" t="s">
        <v>111</v>
      </c>
      <c r="H344" s="3" t="s">
        <v>5864</v>
      </c>
      <c r="I344" s="3"/>
      <c r="J344" s="3" t="s">
        <v>6737</v>
      </c>
      <c r="K344" s="3" t="s">
        <v>6738</v>
      </c>
      <c r="L344" s="3" t="s">
        <v>6739</v>
      </c>
      <c r="M344" t="s">
        <v>6740</v>
      </c>
      <c r="O344" s="3" t="s">
        <v>5867</v>
      </c>
      <c r="P344" s="12">
        <v>46304</v>
      </c>
      <c r="Q344" s="3"/>
      <c r="R344" s="3" t="s">
        <v>6741</v>
      </c>
      <c r="S344" s="3" t="s">
        <v>111</v>
      </c>
      <c r="T344" s="3" t="s">
        <v>5869</v>
      </c>
      <c r="U344" s="3" t="s">
        <v>5870</v>
      </c>
    </row>
    <row r="345" spans="1:21" ht="42.75" customHeight="1">
      <c r="A345" s="5" t="s">
        <v>1117</v>
      </c>
      <c r="B345" s="5" t="s">
        <v>20</v>
      </c>
      <c r="C345" s="3" t="s">
        <v>1118</v>
      </c>
      <c r="D345" s="6">
        <v>2023</v>
      </c>
      <c r="E345" s="3" t="s">
        <v>1119</v>
      </c>
      <c r="F345" s="5" t="s">
        <v>110</v>
      </c>
      <c r="G345" s="10" t="s">
        <v>111</v>
      </c>
      <c r="H345" s="3" t="s">
        <v>5871</v>
      </c>
      <c r="I345" s="3" t="s">
        <v>5735</v>
      </c>
      <c r="J345" s="3"/>
      <c r="K345" s="3"/>
      <c r="L345" s="3"/>
      <c r="O345" s="3" t="s">
        <v>5867</v>
      </c>
      <c r="P345" s="12">
        <v>46304</v>
      </c>
      <c r="Q345" s="3" t="s">
        <v>5763</v>
      </c>
      <c r="R345" s="3" t="s">
        <v>6742</v>
      </c>
      <c r="S345" s="3"/>
      <c r="T345" s="3"/>
      <c r="U345" s="3"/>
    </row>
    <row r="346" spans="1:21" ht="57" customHeight="1">
      <c r="A346" s="5" t="s">
        <v>1120</v>
      </c>
      <c r="B346" s="5" t="s">
        <v>20</v>
      </c>
      <c r="C346" s="3" t="s">
        <v>1121</v>
      </c>
      <c r="D346" s="6">
        <v>2025</v>
      </c>
      <c r="E346" s="3" t="s">
        <v>1122</v>
      </c>
      <c r="F346" s="5" t="s">
        <v>110</v>
      </c>
      <c r="G346" s="10" t="s">
        <v>111</v>
      </c>
      <c r="H346" s="3" t="s">
        <v>5864</v>
      </c>
      <c r="I346" s="3"/>
      <c r="J346" s="3" t="s">
        <v>6743</v>
      </c>
      <c r="K346" s="3" t="s">
        <v>6744</v>
      </c>
      <c r="L346" s="3" t="s">
        <v>6745</v>
      </c>
      <c r="M346" t="s">
        <v>6746</v>
      </c>
      <c r="O346" s="3" t="s">
        <v>5867</v>
      </c>
      <c r="P346" s="12">
        <v>46304</v>
      </c>
      <c r="Q346" s="3"/>
      <c r="R346" s="3" t="s">
        <v>6747</v>
      </c>
      <c r="S346" s="3" t="s">
        <v>111</v>
      </c>
      <c r="T346" s="3" t="s">
        <v>5869</v>
      </c>
      <c r="U346" s="3" t="s">
        <v>5870</v>
      </c>
    </row>
    <row r="347" spans="1:21" ht="42.75" customHeight="1">
      <c r="A347" s="5" t="s">
        <v>1123</v>
      </c>
      <c r="B347" s="5" t="s">
        <v>20</v>
      </c>
      <c r="C347" s="3" t="s">
        <v>1109</v>
      </c>
      <c r="D347" s="6">
        <v>2025</v>
      </c>
      <c r="E347" s="3" t="s">
        <v>1124</v>
      </c>
      <c r="F347" s="5" t="s">
        <v>110</v>
      </c>
      <c r="G347" s="10" t="s">
        <v>111</v>
      </c>
      <c r="H347" s="3" t="s">
        <v>5864</v>
      </c>
      <c r="I347" s="3"/>
      <c r="J347" s="3" t="s">
        <v>6748</v>
      </c>
      <c r="K347" s="3" t="s">
        <v>6749</v>
      </c>
      <c r="L347" s="3" t="s">
        <v>6750</v>
      </c>
      <c r="M347" t="s">
        <v>6751</v>
      </c>
      <c r="O347" s="3" t="s">
        <v>5867</v>
      </c>
      <c r="P347" s="12">
        <v>46304</v>
      </c>
      <c r="Q347" s="3"/>
      <c r="R347" s="3" t="s">
        <v>6752</v>
      </c>
      <c r="S347" s="3" t="s">
        <v>111</v>
      </c>
      <c r="T347" s="3" t="s">
        <v>5869</v>
      </c>
      <c r="U347" s="3" t="s">
        <v>5870</v>
      </c>
    </row>
    <row r="348" spans="1:21" ht="42.75" customHeight="1">
      <c r="A348" s="5" t="s">
        <v>1125</v>
      </c>
      <c r="B348" s="5" t="s">
        <v>20</v>
      </c>
      <c r="C348" s="3" t="s">
        <v>1126</v>
      </c>
      <c r="D348" s="6">
        <v>2024</v>
      </c>
      <c r="E348" s="3" t="s">
        <v>1127</v>
      </c>
      <c r="F348" s="5" t="s">
        <v>110</v>
      </c>
      <c r="G348" s="10" t="s">
        <v>111</v>
      </c>
      <c r="H348" s="3" t="s">
        <v>5864</v>
      </c>
      <c r="I348" s="3"/>
      <c r="J348" s="3" t="s">
        <v>6753</v>
      </c>
      <c r="K348" s="3" t="s">
        <v>6754</v>
      </c>
      <c r="L348" s="3" t="s">
        <v>6755</v>
      </c>
      <c r="M348" t="s">
        <v>6756</v>
      </c>
      <c r="O348" s="3" t="s">
        <v>5867</v>
      </c>
      <c r="P348" s="12">
        <v>46304</v>
      </c>
      <c r="Q348" s="3"/>
      <c r="R348" s="3" t="s">
        <v>6757</v>
      </c>
      <c r="S348" s="3" t="s">
        <v>111</v>
      </c>
      <c r="T348" s="3" t="s">
        <v>5870</v>
      </c>
      <c r="U348" s="3" t="s">
        <v>5870</v>
      </c>
    </row>
    <row r="349" spans="1:21" ht="28.5" customHeight="1">
      <c r="A349" s="5" t="s">
        <v>1128</v>
      </c>
      <c r="B349" s="5" t="s">
        <v>20</v>
      </c>
      <c r="C349" s="3" t="s">
        <v>1129</v>
      </c>
      <c r="D349" s="6">
        <v>2024</v>
      </c>
      <c r="E349" s="3" t="s">
        <v>1130</v>
      </c>
      <c r="F349" s="5" t="s">
        <v>115</v>
      </c>
      <c r="G349" s="10" t="s">
        <v>111</v>
      </c>
      <c r="H349" s="3" t="s">
        <v>5871</v>
      </c>
      <c r="I349" s="3" t="s">
        <v>5735</v>
      </c>
      <c r="J349" s="3"/>
      <c r="K349" s="3"/>
      <c r="L349" s="3"/>
      <c r="O349" s="3" t="s">
        <v>5867</v>
      </c>
      <c r="P349" s="12">
        <v>46304</v>
      </c>
      <c r="Q349" s="3" t="s">
        <v>5769</v>
      </c>
      <c r="R349" s="3" t="s">
        <v>6758</v>
      </c>
      <c r="S349" s="3"/>
      <c r="T349" s="3"/>
      <c r="U349" s="3"/>
    </row>
    <row r="350" spans="1:21" ht="42.75" customHeight="1">
      <c r="A350" s="5" t="s">
        <v>1131</v>
      </c>
      <c r="B350" s="5" t="s">
        <v>20</v>
      </c>
      <c r="C350" s="3" t="s">
        <v>1132</v>
      </c>
      <c r="D350" s="6">
        <v>2026</v>
      </c>
      <c r="E350" s="3" t="s">
        <v>1133</v>
      </c>
      <c r="F350" s="5" t="s">
        <v>110</v>
      </c>
      <c r="G350" s="10" t="s">
        <v>111</v>
      </c>
      <c r="H350" s="3" t="s">
        <v>5864</v>
      </c>
      <c r="I350" s="3"/>
      <c r="J350" s="3" t="s">
        <v>6759</v>
      </c>
      <c r="K350" s="3" t="s">
        <v>6760</v>
      </c>
      <c r="L350" s="3" t="s">
        <v>6761</v>
      </c>
      <c r="M350" t="s">
        <v>6762</v>
      </c>
      <c r="O350" s="3" t="s">
        <v>5867</v>
      </c>
      <c r="P350" s="12">
        <v>46304</v>
      </c>
      <c r="Q350" s="3"/>
      <c r="R350" s="3" t="s">
        <v>6763</v>
      </c>
      <c r="S350" s="3" t="s">
        <v>6317</v>
      </c>
      <c r="T350" s="3" t="s">
        <v>5870</v>
      </c>
      <c r="U350" s="3" t="s">
        <v>5870</v>
      </c>
    </row>
    <row r="351" spans="1:21" ht="42.75" customHeight="1">
      <c r="A351" s="5" t="s">
        <v>1134</v>
      </c>
      <c r="B351" s="5" t="s">
        <v>20</v>
      </c>
      <c r="C351" s="3" t="s">
        <v>1135</v>
      </c>
      <c r="D351" s="6">
        <v>2024</v>
      </c>
      <c r="E351" s="3" t="s">
        <v>1136</v>
      </c>
      <c r="F351" s="5" t="s">
        <v>119</v>
      </c>
      <c r="G351" s="10" t="s">
        <v>111</v>
      </c>
      <c r="H351" s="3" t="s">
        <v>5864</v>
      </c>
      <c r="I351" s="3"/>
      <c r="J351" s="3" t="s">
        <v>6764</v>
      </c>
      <c r="K351" s="3" t="s">
        <v>6765</v>
      </c>
      <c r="L351" s="3" t="s">
        <v>6766</v>
      </c>
      <c r="M351" t="s">
        <v>6767</v>
      </c>
      <c r="O351" s="3" t="s">
        <v>5867</v>
      </c>
      <c r="P351" s="12">
        <v>46304</v>
      </c>
      <c r="Q351" s="3"/>
      <c r="R351" s="3" t="s">
        <v>6768</v>
      </c>
      <c r="S351" s="3" t="s">
        <v>5902</v>
      </c>
      <c r="T351" s="3" t="s">
        <v>5870</v>
      </c>
      <c r="U351" s="3" t="s">
        <v>5870</v>
      </c>
    </row>
    <row r="352" spans="1:21" ht="42.75" customHeight="1">
      <c r="A352" s="5" t="s">
        <v>1137</v>
      </c>
      <c r="B352" s="5" t="s">
        <v>20</v>
      </c>
      <c r="C352" s="3" t="s">
        <v>1138</v>
      </c>
      <c r="D352" s="6">
        <v>2025</v>
      </c>
      <c r="E352" s="3" t="s">
        <v>1139</v>
      </c>
      <c r="F352" s="5" t="s">
        <v>119</v>
      </c>
      <c r="G352" s="10" t="s">
        <v>111</v>
      </c>
      <c r="H352" s="3" t="s">
        <v>5864</v>
      </c>
      <c r="I352" s="3"/>
      <c r="J352" s="3" t="s">
        <v>6769</v>
      </c>
      <c r="K352" s="3" t="s">
        <v>6770</v>
      </c>
      <c r="L352" s="3" t="s">
        <v>6771</v>
      </c>
      <c r="M352" t="s">
        <v>6772</v>
      </c>
      <c r="O352" s="3" t="s">
        <v>5872</v>
      </c>
      <c r="P352" s="12">
        <v>46304</v>
      </c>
      <c r="Q352" s="3"/>
      <c r="R352" s="3" t="s">
        <v>6773</v>
      </c>
      <c r="S352" s="3" t="s">
        <v>111</v>
      </c>
      <c r="T352" s="3" t="s">
        <v>5869</v>
      </c>
      <c r="U352" s="3" t="s">
        <v>5870</v>
      </c>
    </row>
    <row r="353" spans="1:21" ht="42.75" customHeight="1">
      <c r="A353" s="5" t="s">
        <v>1140</v>
      </c>
      <c r="B353" s="5" t="s">
        <v>20</v>
      </c>
      <c r="C353" s="3" t="s">
        <v>1141</v>
      </c>
      <c r="D353" s="6">
        <v>2025</v>
      </c>
      <c r="E353" s="3" t="s">
        <v>1142</v>
      </c>
      <c r="F353" s="5" t="s">
        <v>115</v>
      </c>
      <c r="G353" s="10" t="s">
        <v>111</v>
      </c>
      <c r="H353" s="3" t="s">
        <v>5864</v>
      </c>
      <c r="I353" s="3"/>
      <c r="J353" s="3" t="s">
        <v>6774</v>
      </c>
      <c r="K353" s="3" t="s">
        <v>6775</v>
      </c>
      <c r="L353" s="3" t="s">
        <v>6776</v>
      </c>
      <c r="M353" t="s">
        <v>6777</v>
      </c>
      <c r="O353" s="3" t="s">
        <v>5867</v>
      </c>
      <c r="P353" s="12">
        <v>46304</v>
      </c>
      <c r="Q353" s="3"/>
      <c r="R353" s="3" t="s">
        <v>6778</v>
      </c>
      <c r="S353" s="3" t="s">
        <v>111</v>
      </c>
      <c r="T353" s="3" t="s">
        <v>5870</v>
      </c>
      <c r="U353" s="3" t="s">
        <v>5870</v>
      </c>
    </row>
    <row r="354" spans="1:21" ht="57" customHeight="1">
      <c r="A354" s="5" t="s">
        <v>1143</v>
      </c>
      <c r="B354" s="5" t="s">
        <v>20</v>
      </c>
      <c r="C354" s="3" t="s">
        <v>1144</v>
      </c>
      <c r="D354" s="6">
        <v>2025</v>
      </c>
      <c r="E354" s="3" t="s">
        <v>1145</v>
      </c>
      <c r="F354" s="5" t="s">
        <v>110</v>
      </c>
      <c r="G354" s="10" t="s">
        <v>111</v>
      </c>
      <c r="H354" s="3" t="s">
        <v>5864</v>
      </c>
      <c r="I354" s="3"/>
      <c r="J354" s="3" t="s">
        <v>6779</v>
      </c>
      <c r="K354" s="3" t="s">
        <v>6780</v>
      </c>
      <c r="L354" s="3" t="s">
        <v>6781</v>
      </c>
      <c r="M354" t="s">
        <v>6782</v>
      </c>
      <c r="O354" s="3" t="s">
        <v>5867</v>
      </c>
      <c r="P354" s="12">
        <v>46304</v>
      </c>
      <c r="Q354" s="3"/>
      <c r="R354" s="3" t="s">
        <v>6783</v>
      </c>
      <c r="S354" s="3" t="s">
        <v>111</v>
      </c>
      <c r="T354" s="3" t="s">
        <v>5870</v>
      </c>
      <c r="U354" s="3" t="s">
        <v>5870</v>
      </c>
    </row>
    <row r="355" spans="1:21" ht="28.5" customHeight="1">
      <c r="A355" s="5" t="s">
        <v>1146</v>
      </c>
      <c r="B355" s="5" t="s">
        <v>20</v>
      </c>
      <c r="C355" s="3" t="s">
        <v>1147</v>
      </c>
      <c r="D355" s="6">
        <v>2024</v>
      </c>
      <c r="E355" s="3" t="s">
        <v>1148</v>
      </c>
      <c r="F355" s="5" t="s">
        <v>115</v>
      </c>
      <c r="G355" s="10" t="s">
        <v>111</v>
      </c>
      <c r="H355" s="3" t="s">
        <v>5864</v>
      </c>
      <c r="I355" s="3"/>
      <c r="J355" s="3" t="s">
        <v>6784</v>
      </c>
      <c r="K355" s="3" t="s">
        <v>6785</v>
      </c>
      <c r="L355" s="3" t="s">
        <v>6786</v>
      </c>
      <c r="M355" t="s">
        <v>6787</v>
      </c>
      <c r="O355" s="3" t="s">
        <v>5867</v>
      </c>
      <c r="P355" s="12">
        <v>46304</v>
      </c>
      <c r="Q355" s="3"/>
      <c r="R355" s="3" t="s">
        <v>6788</v>
      </c>
      <c r="S355" s="3" t="s">
        <v>6317</v>
      </c>
      <c r="T355" s="3" t="s">
        <v>5869</v>
      </c>
      <c r="U355" s="3" t="s">
        <v>5870</v>
      </c>
    </row>
    <row r="356" spans="1:21" ht="28.5" customHeight="1">
      <c r="A356" s="5" t="s">
        <v>1149</v>
      </c>
      <c r="B356" s="5" t="s">
        <v>20</v>
      </c>
      <c r="C356" s="3" t="s">
        <v>1150</v>
      </c>
      <c r="D356" s="6">
        <v>2025</v>
      </c>
      <c r="E356" s="3" t="s">
        <v>1151</v>
      </c>
      <c r="F356" s="5" t="s">
        <v>110</v>
      </c>
      <c r="G356" s="10" t="s">
        <v>111</v>
      </c>
      <c r="H356" s="3" t="s">
        <v>5871</v>
      </c>
      <c r="I356" s="3" t="s">
        <v>5735</v>
      </c>
      <c r="J356" s="3"/>
      <c r="K356" s="3"/>
      <c r="L356" s="3"/>
      <c r="O356" s="3" t="s">
        <v>5867</v>
      </c>
      <c r="P356" s="12">
        <v>46304</v>
      </c>
      <c r="Q356" s="3" t="s">
        <v>5775</v>
      </c>
      <c r="R356" s="3" t="s">
        <v>6789</v>
      </c>
      <c r="S356" s="3"/>
      <c r="T356" s="3"/>
      <c r="U356" s="3"/>
    </row>
    <row r="357" spans="1:21" ht="28.5" customHeight="1">
      <c r="A357" s="5" t="s">
        <v>1152</v>
      </c>
      <c r="B357" s="5" t="s">
        <v>20</v>
      </c>
      <c r="C357" s="3" t="s">
        <v>1153</v>
      </c>
      <c r="D357" s="6">
        <v>2024</v>
      </c>
      <c r="E357" s="3" t="s">
        <v>1154</v>
      </c>
      <c r="F357" s="5" t="s">
        <v>115</v>
      </c>
      <c r="G357" s="10" t="s">
        <v>111</v>
      </c>
      <c r="H357" s="3" t="s">
        <v>5864</v>
      </c>
      <c r="I357" s="3"/>
      <c r="J357" s="3" t="s">
        <v>6790</v>
      </c>
      <c r="K357" s="3" t="s">
        <v>6791</v>
      </c>
      <c r="L357" s="3" t="s">
        <v>6792</v>
      </c>
      <c r="M357" t="s">
        <v>6793</v>
      </c>
      <c r="O357" s="3" t="s">
        <v>5867</v>
      </c>
      <c r="P357" s="12">
        <v>46304</v>
      </c>
      <c r="Q357" s="3"/>
      <c r="R357" s="3" t="s">
        <v>6794</v>
      </c>
      <c r="S357" s="3" t="s">
        <v>6317</v>
      </c>
      <c r="T357" s="3" t="s">
        <v>5870</v>
      </c>
      <c r="U357" s="3" t="s">
        <v>5870</v>
      </c>
    </row>
    <row r="358" spans="1:21" ht="185.25" customHeight="1">
      <c r="A358" s="5" t="s">
        <v>1155</v>
      </c>
      <c r="B358" s="5" t="s">
        <v>20</v>
      </c>
      <c r="C358" s="3" t="s">
        <v>1156</v>
      </c>
      <c r="D358" s="6">
        <v>2026</v>
      </c>
      <c r="E358" s="3" t="s">
        <v>1157</v>
      </c>
      <c r="F358" s="5" t="s">
        <v>119</v>
      </c>
      <c r="G358" s="10" t="s">
        <v>111</v>
      </c>
      <c r="H358" s="3" t="s">
        <v>5864</v>
      </c>
      <c r="I358" s="3"/>
      <c r="J358" s="3" t="s">
        <v>6795</v>
      </c>
      <c r="K358" s="3" t="s">
        <v>6796</v>
      </c>
      <c r="L358" s="3" t="s">
        <v>6797</v>
      </c>
      <c r="M358" t="s">
        <v>6798</v>
      </c>
      <c r="O358" s="3" t="s">
        <v>5872</v>
      </c>
      <c r="P358" s="12">
        <v>46304</v>
      </c>
      <c r="Q358" s="3"/>
      <c r="R358" s="3" t="s">
        <v>6799</v>
      </c>
      <c r="S358" s="3" t="s">
        <v>111</v>
      </c>
      <c r="T358" s="3" t="s">
        <v>5870</v>
      </c>
      <c r="U358" s="3" t="s">
        <v>5870</v>
      </c>
    </row>
    <row r="359" spans="1:21" ht="28.5" customHeight="1">
      <c r="A359" s="5" t="s">
        <v>1158</v>
      </c>
      <c r="B359" s="5" t="s">
        <v>20</v>
      </c>
      <c r="C359" s="3" t="s">
        <v>1159</v>
      </c>
      <c r="D359" s="6">
        <v>2023</v>
      </c>
      <c r="E359" s="3" t="s">
        <v>1160</v>
      </c>
      <c r="F359" s="5" t="s">
        <v>115</v>
      </c>
      <c r="G359" s="10" t="s">
        <v>111</v>
      </c>
      <c r="H359" s="3" t="s">
        <v>5864</v>
      </c>
      <c r="I359" s="3"/>
      <c r="J359" s="3" t="s">
        <v>6800</v>
      </c>
      <c r="K359" s="3" t="s">
        <v>6801</v>
      </c>
      <c r="L359" s="3" t="s">
        <v>6802</v>
      </c>
      <c r="M359" t="s">
        <v>6803</v>
      </c>
      <c r="O359" s="3" t="s">
        <v>5867</v>
      </c>
      <c r="P359" s="12">
        <v>46304</v>
      </c>
      <c r="Q359" s="3"/>
      <c r="R359" s="3" t="s">
        <v>6804</v>
      </c>
      <c r="S359" s="3" t="s">
        <v>111</v>
      </c>
      <c r="T359" s="3" t="s">
        <v>5870</v>
      </c>
      <c r="U359" s="3" t="s">
        <v>5870</v>
      </c>
    </row>
    <row r="360" spans="1:21" ht="42.75" customHeight="1">
      <c r="A360" s="5" t="s">
        <v>1161</v>
      </c>
      <c r="B360" s="5" t="s">
        <v>20</v>
      </c>
      <c r="C360" s="3" t="s">
        <v>1162</v>
      </c>
      <c r="D360" s="6">
        <v>2022</v>
      </c>
      <c r="E360" s="3" t="s">
        <v>1163</v>
      </c>
      <c r="F360" s="5" t="s">
        <v>115</v>
      </c>
      <c r="G360" s="10" t="s">
        <v>111</v>
      </c>
      <c r="H360" s="3" t="s">
        <v>5864</v>
      </c>
      <c r="I360" s="3"/>
      <c r="J360" s="3" t="s">
        <v>6805</v>
      </c>
      <c r="K360" s="3" t="s">
        <v>6806</v>
      </c>
      <c r="L360" s="3" t="s">
        <v>6807</v>
      </c>
      <c r="M360" t="s">
        <v>6808</v>
      </c>
      <c r="O360" s="3" t="s">
        <v>5867</v>
      </c>
      <c r="P360" s="12">
        <v>46304</v>
      </c>
      <c r="Q360" s="3"/>
      <c r="R360" s="3" t="s">
        <v>6809</v>
      </c>
      <c r="S360" s="3" t="s">
        <v>6317</v>
      </c>
      <c r="T360" s="3" t="s">
        <v>5870</v>
      </c>
      <c r="U360" s="3" t="s">
        <v>5870</v>
      </c>
    </row>
    <row r="361" spans="1:21" ht="42.75" customHeight="1">
      <c r="A361" s="5" t="s">
        <v>1164</v>
      </c>
      <c r="B361" s="5" t="s">
        <v>20</v>
      </c>
      <c r="C361" s="3" t="s">
        <v>1165</v>
      </c>
      <c r="D361" s="6">
        <v>2026</v>
      </c>
      <c r="E361" s="3" t="s">
        <v>1166</v>
      </c>
      <c r="F361" s="5" t="s">
        <v>110</v>
      </c>
      <c r="G361" s="10" t="s">
        <v>111</v>
      </c>
      <c r="H361" s="3" t="s">
        <v>5864</v>
      </c>
      <c r="I361" s="3"/>
      <c r="J361" s="3" t="s">
        <v>6731</v>
      </c>
      <c r="K361" s="3" t="s">
        <v>6810</v>
      </c>
      <c r="L361" s="3" t="s">
        <v>6811</v>
      </c>
      <c r="M361" t="s">
        <v>6812</v>
      </c>
      <c r="O361" s="3" t="s">
        <v>5867</v>
      </c>
      <c r="P361" s="12">
        <v>46304</v>
      </c>
      <c r="Q361" s="3"/>
      <c r="R361" s="3" t="s">
        <v>6813</v>
      </c>
      <c r="S361" s="3" t="s">
        <v>111</v>
      </c>
      <c r="T361" s="3" t="s">
        <v>5869</v>
      </c>
      <c r="U361" s="3" t="s">
        <v>5870</v>
      </c>
    </row>
    <row r="362" spans="1:21" ht="42.75" customHeight="1">
      <c r="A362" s="5" t="s">
        <v>1167</v>
      </c>
      <c r="B362" s="5" t="s">
        <v>20</v>
      </c>
      <c r="C362" s="3" t="s">
        <v>1168</v>
      </c>
      <c r="D362" s="6">
        <v>2024</v>
      </c>
      <c r="E362" s="3" t="s">
        <v>1169</v>
      </c>
      <c r="F362" s="5" t="s">
        <v>110</v>
      </c>
      <c r="G362" s="10" t="s">
        <v>111</v>
      </c>
      <c r="H362" s="3" t="s">
        <v>5871</v>
      </c>
      <c r="I362" s="3" t="s">
        <v>5735</v>
      </c>
      <c r="J362" s="3"/>
      <c r="K362" s="3"/>
      <c r="L362" s="3"/>
      <c r="O362" s="3" t="s">
        <v>5872</v>
      </c>
      <c r="P362" s="12">
        <v>46304</v>
      </c>
      <c r="Q362" s="3" t="s">
        <v>5773</v>
      </c>
      <c r="R362" s="3" t="s">
        <v>6814</v>
      </c>
      <c r="S362" s="3"/>
      <c r="T362" s="3"/>
      <c r="U362" s="3"/>
    </row>
    <row r="363" spans="1:21" ht="28.5" customHeight="1">
      <c r="A363" s="5" t="s">
        <v>1170</v>
      </c>
      <c r="B363" s="5" t="s">
        <v>20</v>
      </c>
      <c r="C363" s="3" t="s">
        <v>1171</v>
      </c>
      <c r="D363" s="6">
        <v>2027</v>
      </c>
      <c r="E363" s="3" t="s">
        <v>1172</v>
      </c>
      <c r="F363" s="5" t="s">
        <v>115</v>
      </c>
      <c r="G363" s="10" t="s">
        <v>111</v>
      </c>
      <c r="H363" s="3" t="s">
        <v>5864</v>
      </c>
      <c r="I363" s="3"/>
      <c r="J363" s="3" t="s">
        <v>6815</v>
      </c>
      <c r="K363" s="3" t="s">
        <v>6816</v>
      </c>
      <c r="L363" s="3" t="s">
        <v>6817</v>
      </c>
      <c r="M363" t="s">
        <v>6818</v>
      </c>
      <c r="O363" s="3" t="s">
        <v>5867</v>
      </c>
      <c r="P363" s="12">
        <v>46304</v>
      </c>
      <c r="Q363" s="3"/>
      <c r="R363" s="3" t="s">
        <v>6819</v>
      </c>
      <c r="S363" s="3" t="s">
        <v>6317</v>
      </c>
      <c r="T363" s="3" t="s">
        <v>5870</v>
      </c>
      <c r="U363" s="3" t="s">
        <v>5870</v>
      </c>
    </row>
    <row r="364" spans="1:21" ht="28.5" customHeight="1">
      <c r="A364" s="5" t="s">
        <v>1173</v>
      </c>
      <c r="B364" s="5" t="s">
        <v>20</v>
      </c>
      <c r="C364" s="3" t="s">
        <v>1174</v>
      </c>
      <c r="D364" s="6">
        <v>2025</v>
      </c>
      <c r="E364" s="3" t="s">
        <v>1175</v>
      </c>
      <c r="F364" s="5" t="s">
        <v>115</v>
      </c>
      <c r="G364" s="10" t="s">
        <v>111</v>
      </c>
      <c r="H364" s="3" t="s">
        <v>5864</v>
      </c>
      <c r="I364" s="3"/>
      <c r="J364" s="3" t="s">
        <v>6820</v>
      </c>
      <c r="K364" s="3" t="s">
        <v>6821</v>
      </c>
      <c r="L364" s="3" t="s">
        <v>6822</v>
      </c>
      <c r="M364" t="s">
        <v>6823</v>
      </c>
      <c r="O364" s="3" t="s">
        <v>5872</v>
      </c>
      <c r="P364" s="12">
        <v>46304</v>
      </c>
      <c r="Q364" s="3"/>
      <c r="R364" s="3" t="s">
        <v>6824</v>
      </c>
      <c r="S364" s="3" t="s">
        <v>111</v>
      </c>
      <c r="T364" s="3" t="s">
        <v>5869</v>
      </c>
      <c r="U364" s="3" t="s">
        <v>5870</v>
      </c>
    </row>
    <row r="365" spans="1:21" ht="57" customHeight="1">
      <c r="A365" s="3" t="s">
        <v>1176</v>
      </c>
      <c r="B365" s="3" t="s">
        <v>24</v>
      </c>
      <c r="C365" s="3" t="s">
        <v>1177</v>
      </c>
      <c r="D365" s="4">
        <v>2008</v>
      </c>
      <c r="E365" s="3" t="s">
        <v>1178</v>
      </c>
      <c r="F365" s="3" t="s">
        <v>115</v>
      </c>
      <c r="G365" s="3" t="s">
        <v>111</v>
      </c>
      <c r="H365" s="3" t="s">
        <v>5864</v>
      </c>
      <c r="I365" s="3"/>
      <c r="J365" s="3" t="s">
        <v>6517</v>
      </c>
      <c r="K365" s="3" t="s">
        <v>6825</v>
      </c>
      <c r="L365" s="3" t="s">
        <v>6826</v>
      </c>
      <c r="M365" t="s">
        <v>6827</v>
      </c>
      <c r="O365" s="3" t="s">
        <v>5867</v>
      </c>
      <c r="P365" s="12">
        <v>46304</v>
      </c>
      <c r="Q365" s="3"/>
      <c r="R365" s="3" t="s">
        <v>6828</v>
      </c>
      <c r="S365" s="3" t="s">
        <v>5869</v>
      </c>
      <c r="T365" s="3" t="s">
        <v>5869</v>
      </c>
      <c r="U365" s="3" t="s">
        <v>5870</v>
      </c>
    </row>
    <row r="366" spans="1:21" ht="42.75" customHeight="1">
      <c r="A366" s="3" t="s">
        <v>1179</v>
      </c>
      <c r="B366" s="3" t="s">
        <v>24</v>
      </c>
      <c r="C366" s="3" t="s">
        <v>1180</v>
      </c>
      <c r="D366" s="4">
        <v>2011</v>
      </c>
      <c r="E366" s="3" t="s">
        <v>1181</v>
      </c>
      <c r="F366" s="3" t="s">
        <v>110</v>
      </c>
      <c r="G366" s="3" t="s">
        <v>111</v>
      </c>
      <c r="H366" s="3" t="s">
        <v>5864</v>
      </c>
      <c r="I366" s="3"/>
      <c r="J366" s="3" t="s">
        <v>95</v>
      </c>
      <c r="K366" s="3" t="s">
        <v>6834</v>
      </c>
      <c r="L366" s="3" t="s">
        <v>6835</v>
      </c>
      <c r="M366" t="s">
        <v>6836</v>
      </c>
      <c r="O366" s="3" t="s">
        <v>5867</v>
      </c>
      <c r="P366" s="12">
        <v>46304</v>
      </c>
      <c r="Q366" s="3"/>
      <c r="R366" s="3" t="s">
        <v>6837</v>
      </c>
      <c r="S366" s="3" t="s">
        <v>5870</v>
      </c>
      <c r="T366" s="3" t="s">
        <v>5869</v>
      </c>
      <c r="U366" s="3" t="s">
        <v>5870</v>
      </c>
    </row>
    <row r="367" spans="1:21" ht="57" customHeight="1">
      <c r="A367" s="3" t="s">
        <v>1182</v>
      </c>
      <c r="B367" s="3" t="s">
        <v>24</v>
      </c>
      <c r="C367" s="3" t="s">
        <v>1183</v>
      </c>
      <c r="D367" s="4">
        <v>2014</v>
      </c>
      <c r="E367" s="3" t="s">
        <v>1184</v>
      </c>
      <c r="F367" s="3" t="s">
        <v>115</v>
      </c>
      <c r="G367" s="3" t="s">
        <v>111</v>
      </c>
      <c r="H367" s="3" t="s">
        <v>5864</v>
      </c>
      <c r="I367" s="3"/>
      <c r="J367" s="3" t="s">
        <v>6517</v>
      </c>
      <c r="K367" s="3" t="s">
        <v>6838</v>
      </c>
      <c r="L367" s="3" t="s">
        <v>6839</v>
      </c>
      <c r="M367" t="s">
        <v>6840</v>
      </c>
      <c r="O367" s="3" t="s">
        <v>5867</v>
      </c>
      <c r="P367" s="12">
        <v>46304</v>
      </c>
      <c r="Q367" s="3"/>
      <c r="R367" s="3" t="s">
        <v>6841</v>
      </c>
      <c r="S367" s="3" t="s">
        <v>5869</v>
      </c>
      <c r="T367" s="3" t="s">
        <v>5870</v>
      </c>
      <c r="U367" s="3" t="s">
        <v>5869</v>
      </c>
    </row>
    <row r="368" spans="1:21" ht="28.5" customHeight="1">
      <c r="A368" s="3" t="s">
        <v>1185</v>
      </c>
      <c r="B368" s="3" t="s">
        <v>24</v>
      </c>
      <c r="C368" s="3" t="s">
        <v>1186</v>
      </c>
      <c r="D368" s="4">
        <v>2014</v>
      </c>
      <c r="E368" s="3" t="s">
        <v>1187</v>
      </c>
      <c r="F368" s="3" t="s">
        <v>115</v>
      </c>
      <c r="G368" s="3" t="s">
        <v>111</v>
      </c>
      <c r="H368" s="3" t="s">
        <v>5864</v>
      </c>
      <c r="I368" s="3"/>
      <c r="J368" s="3" t="s">
        <v>6517</v>
      </c>
      <c r="K368" s="3" t="s">
        <v>6842</v>
      </c>
      <c r="L368" s="3" t="s">
        <v>6843</v>
      </c>
      <c r="M368" t="s">
        <v>6844</v>
      </c>
      <c r="O368" s="3" t="s">
        <v>5867</v>
      </c>
      <c r="P368" s="12">
        <v>46304</v>
      </c>
      <c r="Q368" s="3"/>
      <c r="R368" s="3" t="s">
        <v>6845</v>
      </c>
      <c r="S368" s="3" t="s">
        <v>5869</v>
      </c>
      <c r="T368" s="3" t="s">
        <v>5870</v>
      </c>
      <c r="U368" s="3" t="s">
        <v>5869</v>
      </c>
    </row>
    <row r="369" spans="1:21" ht="28.5" customHeight="1">
      <c r="A369" s="3" t="s">
        <v>1188</v>
      </c>
      <c r="B369" s="3" t="s">
        <v>24</v>
      </c>
      <c r="C369" s="3" t="s">
        <v>1189</v>
      </c>
      <c r="D369" s="4">
        <v>2012</v>
      </c>
      <c r="E369" s="3" t="s">
        <v>1190</v>
      </c>
      <c r="F369" s="3" t="s">
        <v>115</v>
      </c>
      <c r="G369" s="3" t="s">
        <v>111</v>
      </c>
      <c r="H369" s="3" t="s">
        <v>5864</v>
      </c>
      <c r="I369" s="3"/>
      <c r="J369" s="3" t="s">
        <v>95</v>
      </c>
      <c r="K369" s="3" t="s">
        <v>6846</v>
      </c>
      <c r="L369" s="3" t="s">
        <v>6847</v>
      </c>
      <c r="M369" t="s">
        <v>6848</v>
      </c>
      <c r="O369" s="3" t="s">
        <v>5867</v>
      </c>
      <c r="P369" s="12">
        <v>46304</v>
      </c>
      <c r="Q369" s="3"/>
      <c r="R369" s="3" t="s">
        <v>6849</v>
      </c>
      <c r="S369" s="3" t="s">
        <v>5870</v>
      </c>
      <c r="T369" s="3" t="s">
        <v>5870</v>
      </c>
      <c r="U369" s="3" t="s">
        <v>5869</v>
      </c>
    </row>
    <row r="370" spans="1:21" ht="28.5" customHeight="1">
      <c r="A370" s="3" t="s">
        <v>1191</v>
      </c>
      <c r="B370" s="3" t="s">
        <v>24</v>
      </c>
      <c r="C370" s="3" t="s">
        <v>1192</v>
      </c>
      <c r="D370" s="4">
        <v>2015</v>
      </c>
      <c r="E370" s="3" t="s">
        <v>1193</v>
      </c>
      <c r="F370" s="3" t="s">
        <v>110</v>
      </c>
      <c r="G370" s="3" t="s">
        <v>111</v>
      </c>
      <c r="H370" s="3" t="s">
        <v>5864</v>
      </c>
      <c r="I370" s="3"/>
      <c r="J370" s="3" t="s">
        <v>95</v>
      </c>
      <c r="K370" s="3" t="s">
        <v>6850</v>
      </c>
      <c r="L370" s="3" t="s">
        <v>6851</v>
      </c>
      <c r="M370" t="s">
        <v>6852</v>
      </c>
      <c r="O370" s="3" t="s">
        <v>5867</v>
      </c>
      <c r="P370" s="12">
        <v>46304</v>
      </c>
      <c r="Q370" s="3"/>
      <c r="R370" s="3" t="s">
        <v>6853</v>
      </c>
      <c r="S370" s="3" t="s">
        <v>5869</v>
      </c>
      <c r="T370" s="3" t="s">
        <v>5870</v>
      </c>
      <c r="U370" s="3" t="s">
        <v>5870</v>
      </c>
    </row>
    <row r="371" spans="1:21" ht="71.25" customHeight="1">
      <c r="A371" s="3" t="s">
        <v>1194</v>
      </c>
      <c r="B371" s="3" t="s">
        <v>24</v>
      </c>
      <c r="C371" s="3" t="s">
        <v>1195</v>
      </c>
      <c r="D371" s="4">
        <v>2015</v>
      </c>
      <c r="E371" s="3" t="s">
        <v>1196</v>
      </c>
      <c r="F371" s="3" t="s">
        <v>115</v>
      </c>
      <c r="G371" s="3" t="s">
        <v>111</v>
      </c>
      <c r="H371" s="3" t="s">
        <v>5864</v>
      </c>
      <c r="I371" s="3"/>
      <c r="J371" s="3" t="s">
        <v>6379</v>
      </c>
      <c r="K371" s="3" t="s">
        <v>6854</v>
      </c>
      <c r="L371" s="3" t="s">
        <v>6855</v>
      </c>
      <c r="M371" t="s">
        <v>6856</v>
      </c>
      <c r="O371" s="3" t="s">
        <v>5872</v>
      </c>
      <c r="P371" s="12">
        <v>46304</v>
      </c>
      <c r="Q371" s="3"/>
      <c r="R371" s="3" t="s">
        <v>6857</v>
      </c>
      <c r="S371" s="3" t="s">
        <v>5870</v>
      </c>
      <c r="T371" s="3" t="s">
        <v>5869</v>
      </c>
      <c r="U371" s="3" t="s">
        <v>5870</v>
      </c>
    </row>
    <row r="372" spans="1:21" ht="57" customHeight="1">
      <c r="A372" s="3" t="s">
        <v>1197</v>
      </c>
      <c r="B372" s="3" t="s">
        <v>24</v>
      </c>
      <c r="C372" s="3" t="s">
        <v>1198</v>
      </c>
      <c r="D372" s="4">
        <v>2010</v>
      </c>
      <c r="E372" s="3" t="s">
        <v>1199</v>
      </c>
      <c r="F372" s="3" t="s">
        <v>115</v>
      </c>
      <c r="G372" s="3" t="s">
        <v>111</v>
      </c>
      <c r="H372" s="3" t="s">
        <v>5864</v>
      </c>
      <c r="I372" s="3"/>
      <c r="J372" s="3" t="s">
        <v>95</v>
      </c>
      <c r="K372" s="3" t="s">
        <v>6858</v>
      </c>
      <c r="L372" s="3" t="s">
        <v>6859</v>
      </c>
      <c r="M372" t="s">
        <v>6860</v>
      </c>
      <c r="O372" s="3" t="s">
        <v>5867</v>
      </c>
      <c r="P372" s="12">
        <v>46304</v>
      </c>
      <c r="Q372" s="3"/>
      <c r="R372" s="3" t="s">
        <v>6861</v>
      </c>
      <c r="S372" s="3" t="s">
        <v>5869</v>
      </c>
      <c r="T372" s="3" t="s">
        <v>5870</v>
      </c>
      <c r="U372" s="3" t="s">
        <v>5870</v>
      </c>
    </row>
    <row r="373" spans="1:21" ht="28.5" customHeight="1">
      <c r="A373" s="3" t="s">
        <v>1200</v>
      </c>
      <c r="B373" s="3" t="s">
        <v>24</v>
      </c>
      <c r="C373" s="3" t="s">
        <v>1201</v>
      </c>
      <c r="D373" s="4">
        <v>2014</v>
      </c>
      <c r="E373" s="3" t="s">
        <v>1202</v>
      </c>
      <c r="F373" s="3" t="s">
        <v>110</v>
      </c>
      <c r="G373" s="3" t="s">
        <v>111</v>
      </c>
      <c r="H373" s="3" t="s">
        <v>5864</v>
      </c>
      <c r="I373" s="3"/>
      <c r="J373" s="3" t="s">
        <v>95</v>
      </c>
      <c r="K373" s="3" t="s">
        <v>6862</v>
      </c>
      <c r="L373" s="3" t="s">
        <v>6863</v>
      </c>
      <c r="M373" t="s">
        <v>6864</v>
      </c>
      <c r="O373" s="3" t="s">
        <v>5867</v>
      </c>
      <c r="P373" s="12">
        <v>46304</v>
      </c>
      <c r="Q373" s="3"/>
      <c r="R373" s="3" t="s">
        <v>6865</v>
      </c>
      <c r="S373" s="3" t="s">
        <v>5870</v>
      </c>
      <c r="T373" s="3" t="s">
        <v>5870</v>
      </c>
      <c r="U373" s="3" t="s">
        <v>5870</v>
      </c>
    </row>
    <row r="374" spans="1:21" ht="28.5" customHeight="1">
      <c r="A374" s="3" t="s">
        <v>1203</v>
      </c>
      <c r="B374" s="3" t="s">
        <v>24</v>
      </c>
      <c r="C374" s="3" t="s">
        <v>1204</v>
      </c>
      <c r="D374" s="4">
        <v>2010</v>
      </c>
      <c r="E374" s="3" t="s">
        <v>1205</v>
      </c>
      <c r="F374" s="3" t="s">
        <v>110</v>
      </c>
      <c r="G374" s="3" t="s">
        <v>111</v>
      </c>
      <c r="H374" s="3" t="s">
        <v>5864</v>
      </c>
      <c r="I374" s="3"/>
      <c r="J374" s="3" t="s">
        <v>6379</v>
      </c>
      <c r="K374" s="3" t="s">
        <v>6866</v>
      </c>
      <c r="L374" s="3" t="s">
        <v>6867</v>
      </c>
      <c r="M374" t="s">
        <v>6868</v>
      </c>
      <c r="O374" s="3" t="s">
        <v>5867</v>
      </c>
      <c r="P374" s="12">
        <v>46304</v>
      </c>
      <c r="Q374" s="3"/>
      <c r="R374" s="3" t="s">
        <v>6869</v>
      </c>
      <c r="S374" s="3" t="s">
        <v>5870</v>
      </c>
      <c r="T374" s="3" t="s">
        <v>5870</v>
      </c>
      <c r="U374" s="3" t="s">
        <v>5869</v>
      </c>
    </row>
    <row r="375" spans="1:21" ht="28.5" customHeight="1">
      <c r="A375" s="3" t="s">
        <v>1206</v>
      </c>
      <c r="B375" s="3" t="s">
        <v>24</v>
      </c>
      <c r="C375" s="3" t="s">
        <v>1204</v>
      </c>
      <c r="D375" s="4">
        <v>2015</v>
      </c>
      <c r="E375" s="3" t="s">
        <v>1207</v>
      </c>
      <c r="F375" s="3" t="s">
        <v>110</v>
      </c>
      <c r="G375" s="3" t="s">
        <v>111</v>
      </c>
      <c r="H375" s="3" t="s">
        <v>5864</v>
      </c>
      <c r="I375" s="3"/>
      <c r="J375" s="3" t="s">
        <v>95</v>
      </c>
      <c r="K375" s="3" t="s">
        <v>6870</v>
      </c>
      <c r="L375" s="3" t="s">
        <v>6871</v>
      </c>
      <c r="M375" t="s">
        <v>6872</v>
      </c>
      <c r="O375" s="3" t="s">
        <v>5867</v>
      </c>
      <c r="P375" s="12">
        <v>46304</v>
      </c>
      <c r="Q375" s="3"/>
      <c r="R375" s="3" t="s">
        <v>6873</v>
      </c>
      <c r="S375" s="3" t="s">
        <v>5869</v>
      </c>
      <c r="T375" s="3" t="s">
        <v>5870</v>
      </c>
      <c r="U375" s="3" t="s">
        <v>5869</v>
      </c>
    </row>
    <row r="376" spans="1:21" ht="57">
      <c r="A376" s="3" t="s">
        <v>1208</v>
      </c>
      <c r="B376" s="3" t="s">
        <v>24</v>
      </c>
      <c r="C376" s="3" t="s">
        <v>1209</v>
      </c>
      <c r="D376" s="4">
        <v>2016</v>
      </c>
      <c r="E376" s="3" t="s">
        <v>1210</v>
      </c>
      <c r="F376" s="3" t="s">
        <v>119</v>
      </c>
      <c r="G376" s="3" t="s">
        <v>111</v>
      </c>
      <c r="H376" s="3" t="s">
        <v>5864</v>
      </c>
      <c r="I376" s="3"/>
      <c r="J376" s="3" t="s">
        <v>95</v>
      </c>
      <c r="K376" s="3" t="s">
        <v>6874</v>
      </c>
      <c r="L376" s="3" t="s">
        <v>6875</v>
      </c>
      <c r="M376" t="s">
        <v>6876</v>
      </c>
      <c r="O376" s="3" t="s">
        <v>5872</v>
      </c>
      <c r="P376" s="12">
        <v>46304</v>
      </c>
      <c r="Q376" s="3"/>
      <c r="R376" s="3" t="s">
        <v>6877</v>
      </c>
      <c r="S376" s="3" t="s">
        <v>5869</v>
      </c>
      <c r="T376" s="3" t="s">
        <v>5869</v>
      </c>
      <c r="U376" s="3" t="s">
        <v>5869</v>
      </c>
    </row>
    <row r="377" spans="1:21" ht="28.5" customHeight="1">
      <c r="A377" s="3" t="s">
        <v>1211</v>
      </c>
      <c r="B377" s="3" t="s">
        <v>24</v>
      </c>
      <c r="C377" s="3" t="s">
        <v>1212</v>
      </c>
      <c r="D377" s="4">
        <v>2005</v>
      </c>
      <c r="E377" s="3" t="s">
        <v>1213</v>
      </c>
      <c r="F377" s="3" t="s">
        <v>115</v>
      </c>
      <c r="G377" s="3" t="s">
        <v>111</v>
      </c>
      <c r="H377" s="3" t="s">
        <v>5864</v>
      </c>
      <c r="I377" s="3"/>
      <c r="J377" s="3" t="s">
        <v>95</v>
      </c>
      <c r="K377" s="3" t="s">
        <v>6878</v>
      </c>
      <c r="L377" s="3" t="s">
        <v>6879</v>
      </c>
      <c r="M377" t="s">
        <v>6880</v>
      </c>
      <c r="O377" s="3" t="s">
        <v>5867</v>
      </c>
      <c r="P377" s="12">
        <v>46304</v>
      </c>
      <c r="Q377" s="3"/>
      <c r="R377" s="3" t="s">
        <v>6881</v>
      </c>
      <c r="S377" s="3" t="s">
        <v>5869</v>
      </c>
      <c r="T377" s="3" t="s">
        <v>5870</v>
      </c>
      <c r="U377" s="3" t="s">
        <v>5869</v>
      </c>
    </row>
    <row r="378" spans="1:21" ht="28.5" customHeight="1">
      <c r="A378" s="3" t="s">
        <v>1214</v>
      </c>
      <c r="B378" s="3" t="s">
        <v>24</v>
      </c>
      <c r="C378" s="3" t="s">
        <v>1212</v>
      </c>
      <c r="D378" s="4">
        <v>2006</v>
      </c>
      <c r="E378" s="3" t="s">
        <v>1215</v>
      </c>
      <c r="F378" s="3" t="s">
        <v>115</v>
      </c>
      <c r="G378" s="3" t="s">
        <v>111</v>
      </c>
      <c r="H378" s="3" t="s">
        <v>5864</v>
      </c>
      <c r="I378" s="3"/>
      <c r="J378" s="3" t="s">
        <v>95</v>
      </c>
      <c r="K378" s="3" t="s">
        <v>6882</v>
      </c>
      <c r="L378" s="3" t="s">
        <v>6883</v>
      </c>
      <c r="M378" t="s">
        <v>6884</v>
      </c>
      <c r="O378" s="3" t="s">
        <v>5867</v>
      </c>
      <c r="P378" s="12">
        <v>46304</v>
      </c>
      <c r="Q378" s="3"/>
      <c r="R378" s="3" t="s">
        <v>6885</v>
      </c>
      <c r="S378" s="3" t="s">
        <v>5869</v>
      </c>
      <c r="T378" s="3" t="s">
        <v>5870</v>
      </c>
      <c r="U378" s="3" t="s">
        <v>5869</v>
      </c>
    </row>
    <row r="379" spans="1:21" ht="57">
      <c r="A379" s="3" t="s">
        <v>1216</v>
      </c>
      <c r="B379" s="3" t="s">
        <v>24</v>
      </c>
      <c r="C379" s="3" t="s">
        <v>1212</v>
      </c>
      <c r="D379" s="4">
        <v>2008</v>
      </c>
      <c r="E379" s="3" t="s">
        <v>1217</v>
      </c>
      <c r="F379" s="3" t="s">
        <v>110</v>
      </c>
      <c r="G379" s="3" t="s">
        <v>111</v>
      </c>
      <c r="H379" s="3" t="s">
        <v>5864</v>
      </c>
      <c r="I379" s="3"/>
      <c r="J379" s="3" t="s">
        <v>95</v>
      </c>
      <c r="K379" s="3" t="s">
        <v>6886</v>
      </c>
      <c r="L379" s="3" t="s">
        <v>6887</v>
      </c>
      <c r="M379" t="s">
        <v>6888</v>
      </c>
      <c r="O379" s="3" t="s">
        <v>5867</v>
      </c>
      <c r="P379" s="12">
        <v>46304</v>
      </c>
      <c r="Q379" s="3"/>
      <c r="R379" s="3" t="s">
        <v>6889</v>
      </c>
      <c r="S379" s="3" t="s">
        <v>5869</v>
      </c>
      <c r="T379" s="3" t="s">
        <v>5870</v>
      </c>
      <c r="U379" s="3" t="s">
        <v>5869</v>
      </c>
    </row>
    <row r="380" spans="1:21" ht="42.75" customHeight="1">
      <c r="A380" s="3" t="s">
        <v>1218</v>
      </c>
      <c r="B380" s="3" t="s">
        <v>24</v>
      </c>
      <c r="C380" s="3" t="s">
        <v>1219</v>
      </c>
      <c r="D380" s="4">
        <v>2006</v>
      </c>
      <c r="E380" s="3" t="s">
        <v>1220</v>
      </c>
      <c r="F380" s="3" t="s">
        <v>115</v>
      </c>
      <c r="G380" s="3" t="s">
        <v>111</v>
      </c>
      <c r="H380" s="3" t="s">
        <v>5864</v>
      </c>
      <c r="I380" s="3"/>
      <c r="J380" s="3" t="s">
        <v>6517</v>
      </c>
      <c r="K380" s="3" t="s">
        <v>6890</v>
      </c>
      <c r="L380" s="3" t="s">
        <v>6891</v>
      </c>
      <c r="M380" t="s">
        <v>6892</v>
      </c>
      <c r="O380" s="3" t="s">
        <v>5867</v>
      </c>
      <c r="P380" s="12">
        <v>46304</v>
      </c>
      <c r="Q380" s="3"/>
      <c r="R380" s="3" t="s">
        <v>6893</v>
      </c>
      <c r="S380" s="3" t="s">
        <v>5869</v>
      </c>
      <c r="T380" s="3" t="s">
        <v>5870</v>
      </c>
      <c r="U380" s="3" t="s">
        <v>5869</v>
      </c>
    </row>
    <row r="381" spans="1:21" ht="57">
      <c r="A381" s="3" t="s">
        <v>1221</v>
      </c>
      <c r="B381" s="3" t="s">
        <v>24</v>
      </c>
      <c r="C381" s="3" t="s">
        <v>1222</v>
      </c>
      <c r="D381" s="4">
        <v>2015</v>
      </c>
      <c r="E381" s="3" t="s">
        <v>1223</v>
      </c>
      <c r="F381" s="3" t="s">
        <v>115</v>
      </c>
      <c r="G381" s="3" t="s">
        <v>111</v>
      </c>
      <c r="H381" s="3" t="s">
        <v>5864</v>
      </c>
      <c r="I381" s="3"/>
      <c r="J381" s="3" t="s">
        <v>95</v>
      </c>
      <c r="K381" s="3" t="s">
        <v>6894</v>
      </c>
      <c r="L381" s="3" t="s">
        <v>6895</v>
      </c>
      <c r="M381" t="s">
        <v>6896</v>
      </c>
      <c r="O381" s="3" t="s">
        <v>5867</v>
      </c>
      <c r="P381" s="12">
        <v>46304</v>
      </c>
      <c r="Q381" s="3"/>
      <c r="R381" s="3" t="s">
        <v>6897</v>
      </c>
      <c r="S381" s="3" t="s">
        <v>5870</v>
      </c>
      <c r="T381" s="3" t="s">
        <v>5870</v>
      </c>
      <c r="U381" s="3" t="s">
        <v>5869</v>
      </c>
    </row>
    <row r="382" spans="1:21" ht="42.75" customHeight="1">
      <c r="A382" s="3" t="s">
        <v>1224</v>
      </c>
      <c r="B382" s="3" t="s">
        <v>24</v>
      </c>
      <c r="C382" s="3" t="s">
        <v>1225</v>
      </c>
      <c r="D382" s="4">
        <v>2017</v>
      </c>
      <c r="E382" s="3" t="s">
        <v>1226</v>
      </c>
      <c r="F382" s="3" t="s">
        <v>110</v>
      </c>
      <c r="G382" s="3" t="s">
        <v>111</v>
      </c>
      <c r="H382" s="3" t="s">
        <v>5864</v>
      </c>
      <c r="I382" s="3"/>
      <c r="J382" s="3" t="s">
        <v>6517</v>
      </c>
      <c r="K382" s="3" t="s">
        <v>6898</v>
      </c>
      <c r="L382" s="3" t="s">
        <v>6899</v>
      </c>
      <c r="M382" t="s">
        <v>6900</v>
      </c>
      <c r="O382" s="3" t="s">
        <v>5867</v>
      </c>
      <c r="P382" s="12">
        <v>46304</v>
      </c>
      <c r="Q382" s="3"/>
      <c r="R382" s="3" t="s">
        <v>6901</v>
      </c>
      <c r="S382" s="3" t="s">
        <v>5869</v>
      </c>
      <c r="T382" s="3" t="s">
        <v>5870</v>
      </c>
      <c r="U382" s="3" t="s">
        <v>5869</v>
      </c>
    </row>
    <row r="383" spans="1:21" ht="28.5" customHeight="1">
      <c r="A383" s="3" t="s">
        <v>1227</v>
      </c>
      <c r="B383" s="3" t="s">
        <v>24</v>
      </c>
      <c r="C383" s="3" t="s">
        <v>1228</v>
      </c>
      <c r="D383" s="4">
        <v>2015</v>
      </c>
      <c r="E383" s="3" t="s">
        <v>1229</v>
      </c>
      <c r="F383" s="3" t="s">
        <v>110</v>
      </c>
      <c r="G383" s="3" t="s">
        <v>111</v>
      </c>
      <c r="H383" s="3" t="s">
        <v>5864</v>
      </c>
      <c r="I383" s="3"/>
      <c r="J383" s="3" t="s">
        <v>95</v>
      </c>
      <c r="K383" s="3" t="s">
        <v>6902</v>
      </c>
      <c r="L383" s="3" t="s">
        <v>6903</v>
      </c>
      <c r="M383" t="s">
        <v>6904</v>
      </c>
      <c r="O383" s="3" t="s">
        <v>5867</v>
      </c>
      <c r="P383" s="12">
        <v>46304</v>
      </c>
      <c r="Q383" s="3"/>
      <c r="R383" s="3" t="s">
        <v>6905</v>
      </c>
      <c r="S383" s="3" t="s">
        <v>5870</v>
      </c>
      <c r="T383" s="3" t="s">
        <v>5869</v>
      </c>
      <c r="U383" s="3" t="s">
        <v>5870</v>
      </c>
    </row>
    <row r="384" spans="1:21" ht="28.5" customHeight="1">
      <c r="A384" s="3" t="s">
        <v>1230</v>
      </c>
      <c r="B384" s="3" t="s">
        <v>24</v>
      </c>
      <c r="C384" s="3" t="s">
        <v>1231</v>
      </c>
      <c r="D384" s="4">
        <v>2013</v>
      </c>
      <c r="E384" s="3" t="s">
        <v>1232</v>
      </c>
      <c r="F384" s="3" t="s">
        <v>110</v>
      </c>
      <c r="G384" s="3" t="s">
        <v>111</v>
      </c>
      <c r="H384" s="3" t="s">
        <v>5864</v>
      </c>
      <c r="I384" s="3"/>
      <c r="J384" s="3" t="s">
        <v>95</v>
      </c>
      <c r="K384" s="3" t="s">
        <v>6906</v>
      </c>
      <c r="L384" s="3" t="s">
        <v>6907</v>
      </c>
      <c r="M384" t="s">
        <v>6908</v>
      </c>
      <c r="O384" s="3" t="s">
        <v>5867</v>
      </c>
      <c r="P384" s="12">
        <v>46304</v>
      </c>
      <c r="Q384" s="3"/>
      <c r="R384" s="3" t="s">
        <v>6909</v>
      </c>
      <c r="S384" s="3" t="s">
        <v>5869</v>
      </c>
      <c r="T384" s="3" t="s">
        <v>5869</v>
      </c>
      <c r="U384" s="3" t="s">
        <v>5870</v>
      </c>
    </row>
    <row r="385" spans="1:21" ht="28.5" customHeight="1">
      <c r="A385" s="3" t="s">
        <v>1233</v>
      </c>
      <c r="B385" s="3" t="s">
        <v>24</v>
      </c>
      <c r="C385" s="3" t="s">
        <v>1234</v>
      </c>
      <c r="D385" s="4">
        <v>2010</v>
      </c>
      <c r="E385" s="3" t="s">
        <v>1235</v>
      </c>
      <c r="F385" s="3" t="s">
        <v>110</v>
      </c>
      <c r="G385" s="3" t="s">
        <v>111</v>
      </c>
      <c r="H385" s="3" t="s">
        <v>5864</v>
      </c>
      <c r="I385" s="3"/>
      <c r="J385" s="3" t="s">
        <v>95</v>
      </c>
      <c r="K385" s="3" t="s">
        <v>6910</v>
      </c>
      <c r="L385" s="3" t="s">
        <v>6911</v>
      </c>
      <c r="M385" t="s">
        <v>6912</v>
      </c>
      <c r="O385" s="3" t="s">
        <v>5867</v>
      </c>
      <c r="P385" s="12">
        <v>46304</v>
      </c>
      <c r="Q385" s="3"/>
      <c r="R385" s="3" t="s">
        <v>6913</v>
      </c>
      <c r="S385" s="3" t="s">
        <v>5870</v>
      </c>
      <c r="T385" s="3" t="s">
        <v>5870</v>
      </c>
      <c r="U385" s="3" t="s">
        <v>5869</v>
      </c>
    </row>
    <row r="386" spans="1:21" ht="28.5" customHeight="1">
      <c r="A386" s="3" t="s">
        <v>1236</v>
      </c>
      <c r="B386" s="3" t="s">
        <v>24</v>
      </c>
      <c r="C386" s="3" t="s">
        <v>1237</v>
      </c>
      <c r="D386" s="4">
        <v>2014</v>
      </c>
      <c r="E386" s="3" t="s">
        <v>1238</v>
      </c>
      <c r="F386" s="3" t="s">
        <v>115</v>
      </c>
      <c r="G386" s="3" t="s">
        <v>111</v>
      </c>
      <c r="H386" s="3" t="s">
        <v>5864</v>
      </c>
      <c r="I386" s="3"/>
      <c r="J386" s="3" t="s">
        <v>95</v>
      </c>
      <c r="K386" s="3" t="s">
        <v>6914</v>
      </c>
      <c r="L386" s="3" t="s">
        <v>6915</v>
      </c>
      <c r="M386" t="s">
        <v>6916</v>
      </c>
      <c r="O386" s="3" t="s">
        <v>5867</v>
      </c>
      <c r="P386" s="12">
        <v>46304</v>
      </c>
      <c r="Q386" s="3"/>
      <c r="R386" s="3" t="s">
        <v>6917</v>
      </c>
      <c r="S386" s="3" t="s">
        <v>5870</v>
      </c>
      <c r="T386" s="3" t="s">
        <v>5869</v>
      </c>
      <c r="U386" s="3" t="s">
        <v>5869</v>
      </c>
    </row>
    <row r="387" spans="1:21" ht="42.75" customHeight="1">
      <c r="A387" s="3" t="s">
        <v>1239</v>
      </c>
      <c r="B387" s="3" t="s">
        <v>24</v>
      </c>
      <c r="C387" s="3" t="s">
        <v>1240</v>
      </c>
      <c r="D387" s="4">
        <v>2016</v>
      </c>
      <c r="E387" s="3" t="s">
        <v>1241</v>
      </c>
      <c r="F387" s="3" t="s">
        <v>110</v>
      </c>
      <c r="G387" s="3" t="s">
        <v>111</v>
      </c>
      <c r="H387" s="3" t="s">
        <v>5864</v>
      </c>
      <c r="I387" s="3"/>
      <c r="J387" s="3" t="s">
        <v>95</v>
      </c>
      <c r="K387" s="3" t="s">
        <v>6918</v>
      </c>
      <c r="L387" s="3" t="s">
        <v>6919</v>
      </c>
      <c r="M387" t="s">
        <v>6920</v>
      </c>
      <c r="O387" s="3" t="s">
        <v>5867</v>
      </c>
      <c r="P387" s="12">
        <v>46304</v>
      </c>
      <c r="Q387" s="3"/>
      <c r="R387" s="3" t="s">
        <v>6921</v>
      </c>
      <c r="S387" s="3" t="s">
        <v>5870</v>
      </c>
      <c r="T387" s="3" t="s">
        <v>5869</v>
      </c>
      <c r="U387" s="3" t="s">
        <v>5870</v>
      </c>
    </row>
    <row r="388" spans="1:21" ht="42.75">
      <c r="A388" s="3" t="s">
        <v>1242</v>
      </c>
      <c r="B388" s="3" t="s">
        <v>24</v>
      </c>
      <c r="C388" s="3" t="s">
        <v>1243</v>
      </c>
      <c r="D388" s="4">
        <v>2008</v>
      </c>
      <c r="E388" s="3" t="s">
        <v>1244</v>
      </c>
      <c r="F388" s="3" t="s">
        <v>110</v>
      </c>
      <c r="G388" s="3" t="s">
        <v>111</v>
      </c>
      <c r="H388" s="3" t="s">
        <v>5864</v>
      </c>
      <c r="I388" s="3"/>
      <c r="J388" s="3" t="s">
        <v>95</v>
      </c>
      <c r="K388" s="3" t="s">
        <v>6922</v>
      </c>
      <c r="L388" s="3" t="s">
        <v>6923</v>
      </c>
      <c r="M388" t="s">
        <v>6924</v>
      </c>
      <c r="O388" s="3" t="s">
        <v>5867</v>
      </c>
      <c r="P388" s="12">
        <v>46304</v>
      </c>
      <c r="Q388" s="3"/>
      <c r="R388" s="3" t="s">
        <v>6925</v>
      </c>
      <c r="S388" s="3" t="s">
        <v>5870</v>
      </c>
      <c r="T388" s="3" t="s">
        <v>5870</v>
      </c>
      <c r="U388" s="3" t="s">
        <v>5870</v>
      </c>
    </row>
    <row r="389" spans="1:21" ht="28.5" customHeight="1">
      <c r="A389" s="3" t="s">
        <v>1245</v>
      </c>
      <c r="B389" s="3" t="s">
        <v>24</v>
      </c>
      <c r="C389" s="3" t="s">
        <v>1246</v>
      </c>
      <c r="D389" s="4">
        <v>2016</v>
      </c>
      <c r="E389" s="3" t="s">
        <v>1247</v>
      </c>
      <c r="F389" s="3" t="s">
        <v>115</v>
      </c>
      <c r="G389" s="3" t="s">
        <v>111</v>
      </c>
      <c r="H389" s="3" t="s">
        <v>5864</v>
      </c>
      <c r="I389" s="3"/>
      <c r="J389" s="3" t="s">
        <v>95</v>
      </c>
      <c r="K389" s="3" t="s">
        <v>6926</v>
      </c>
      <c r="L389" s="3" t="s">
        <v>6927</v>
      </c>
      <c r="M389" t="s">
        <v>6928</v>
      </c>
      <c r="O389" s="3" t="s">
        <v>5867</v>
      </c>
      <c r="P389" s="12">
        <v>46304</v>
      </c>
      <c r="Q389" s="3"/>
      <c r="R389" s="3" t="s">
        <v>6929</v>
      </c>
      <c r="S389" s="3" t="s">
        <v>5869</v>
      </c>
      <c r="T389" s="3" t="s">
        <v>5870</v>
      </c>
      <c r="U389" s="3" t="s">
        <v>5869</v>
      </c>
    </row>
    <row r="390" spans="1:21" ht="28.5" customHeight="1">
      <c r="A390" s="3" t="s">
        <v>1248</v>
      </c>
      <c r="B390" s="3" t="s">
        <v>24</v>
      </c>
      <c r="C390" s="3" t="s">
        <v>1246</v>
      </c>
      <c r="D390" s="4">
        <v>2016</v>
      </c>
      <c r="E390" s="3" t="s">
        <v>1249</v>
      </c>
      <c r="F390" s="3" t="s">
        <v>115</v>
      </c>
      <c r="G390" s="3" t="s">
        <v>111</v>
      </c>
      <c r="H390" s="3" t="s">
        <v>5864</v>
      </c>
      <c r="I390" s="3"/>
      <c r="J390" s="3" t="s">
        <v>6517</v>
      </c>
      <c r="K390" s="3" t="s">
        <v>6930</v>
      </c>
      <c r="L390" s="3" t="s">
        <v>6931</v>
      </c>
      <c r="M390" t="s">
        <v>6932</v>
      </c>
      <c r="O390" s="3" t="s">
        <v>5867</v>
      </c>
      <c r="P390" s="12">
        <v>46304</v>
      </c>
      <c r="Q390" s="3"/>
      <c r="R390" s="3" t="s">
        <v>6933</v>
      </c>
      <c r="S390" s="3" t="s">
        <v>5869</v>
      </c>
      <c r="T390" s="3" t="s">
        <v>5869</v>
      </c>
      <c r="U390" s="3" t="s">
        <v>5869</v>
      </c>
    </row>
    <row r="391" spans="1:21" ht="57" customHeight="1">
      <c r="A391" s="3" t="s">
        <v>1250</v>
      </c>
      <c r="B391" s="3" t="s">
        <v>24</v>
      </c>
      <c r="C391" s="3" t="s">
        <v>1251</v>
      </c>
      <c r="D391" s="4">
        <v>2013</v>
      </c>
      <c r="E391" s="3" t="s">
        <v>1252</v>
      </c>
      <c r="F391" s="3" t="s">
        <v>115</v>
      </c>
      <c r="G391" s="3" t="s">
        <v>111</v>
      </c>
      <c r="H391" s="3" t="s">
        <v>5864</v>
      </c>
      <c r="I391" s="3"/>
      <c r="J391" s="3" t="s">
        <v>95</v>
      </c>
      <c r="K391" s="3" t="s">
        <v>6934</v>
      </c>
      <c r="L391" s="3" t="s">
        <v>6935</v>
      </c>
      <c r="M391" t="s">
        <v>6936</v>
      </c>
      <c r="O391" s="3" t="s">
        <v>5867</v>
      </c>
      <c r="P391" s="12">
        <v>46304</v>
      </c>
      <c r="Q391" s="3"/>
      <c r="R391" s="3" t="s">
        <v>6937</v>
      </c>
      <c r="S391" s="3" t="s">
        <v>5869</v>
      </c>
      <c r="T391" s="3" t="s">
        <v>5870</v>
      </c>
      <c r="U391" s="3" t="s">
        <v>5870</v>
      </c>
    </row>
    <row r="392" spans="1:21" ht="57" customHeight="1">
      <c r="A392" s="3" t="s">
        <v>1253</v>
      </c>
      <c r="B392" s="3" t="s">
        <v>24</v>
      </c>
      <c r="C392" s="3" t="s">
        <v>1254</v>
      </c>
      <c r="D392" s="4">
        <v>2015</v>
      </c>
      <c r="E392" s="3" t="s">
        <v>1255</v>
      </c>
      <c r="F392" s="3" t="s">
        <v>115</v>
      </c>
      <c r="G392" s="3" t="s">
        <v>111</v>
      </c>
      <c r="H392" s="3" t="s">
        <v>5864</v>
      </c>
      <c r="I392" s="3"/>
      <c r="J392" s="3" t="s">
        <v>95</v>
      </c>
      <c r="K392" s="3" t="s">
        <v>6990</v>
      </c>
      <c r="L392" s="3" t="s">
        <v>6991</v>
      </c>
      <c r="M392" t="s">
        <v>6992</v>
      </c>
      <c r="O392" s="3" t="s">
        <v>5867</v>
      </c>
      <c r="P392" s="12">
        <v>46304</v>
      </c>
      <c r="Q392" s="3"/>
      <c r="R392" s="3" t="s">
        <v>6993</v>
      </c>
      <c r="S392" s="3" t="s">
        <v>5869</v>
      </c>
      <c r="T392" s="3" t="s">
        <v>5870</v>
      </c>
      <c r="U392" s="3" t="s">
        <v>5870</v>
      </c>
    </row>
    <row r="393" spans="1:21" ht="57" customHeight="1">
      <c r="A393" s="3" t="s">
        <v>1256</v>
      </c>
      <c r="B393" s="3" t="s">
        <v>24</v>
      </c>
      <c r="C393" s="3" t="s">
        <v>1257</v>
      </c>
      <c r="D393" s="4">
        <v>2016</v>
      </c>
      <c r="E393" s="3" t="s">
        <v>1258</v>
      </c>
      <c r="F393" s="3" t="s">
        <v>1259</v>
      </c>
      <c r="G393" s="3" t="s">
        <v>111</v>
      </c>
      <c r="H393" s="3" t="s">
        <v>5864</v>
      </c>
      <c r="I393" s="3"/>
      <c r="J393" s="3" t="s">
        <v>95</v>
      </c>
      <c r="K393" s="3" t="s">
        <v>6938</v>
      </c>
      <c r="L393" s="3" t="s">
        <v>6939</v>
      </c>
      <c r="M393" t="s">
        <v>6940</v>
      </c>
      <c r="O393" s="3" t="s">
        <v>5872</v>
      </c>
      <c r="P393" s="12">
        <v>46304</v>
      </c>
      <c r="Q393" s="3"/>
      <c r="R393" s="3" t="s">
        <v>6941</v>
      </c>
      <c r="S393" s="3" t="s">
        <v>5870</v>
      </c>
      <c r="T393" s="3" t="s">
        <v>5870</v>
      </c>
      <c r="U393" s="3" t="s">
        <v>5870</v>
      </c>
    </row>
    <row r="394" spans="1:21" ht="42.75" customHeight="1">
      <c r="A394" s="3" t="s">
        <v>1260</v>
      </c>
      <c r="B394" s="3" t="s">
        <v>24</v>
      </c>
      <c r="C394" s="3" t="s">
        <v>1261</v>
      </c>
      <c r="D394" s="4">
        <v>2017</v>
      </c>
      <c r="E394" s="3" t="s">
        <v>1262</v>
      </c>
      <c r="F394" s="3" t="s">
        <v>110</v>
      </c>
      <c r="G394" s="3" t="s">
        <v>111</v>
      </c>
      <c r="H394" s="3" t="s">
        <v>5864</v>
      </c>
      <c r="I394" s="3"/>
      <c r="J394" s="3" t="s">
        <v>95</v>
      </c>
      <c r="K394" s="3" t="s">
        <v>6942</v>
      </c>
      <c r="L394" s="3" t="s">
        <v>6943</v>
      </c>
      <c r="M394" t="s">
        <v>6944</v>
      </c>
      <c r="O394" s="3" t="s">
        <v>5867</v>
      </c>
      <c r="P394" s="12">
        <v>46304</v>
      </c>
      <c r="Q394" s="3"/>
      <c r="R394" s="3" t="s">
        <v>6945</v>
      </c>
      <c r="S394" s="3" t="s">
        <v>5869</v>
      </c>
      <c r="T394" s="3" t="s">
        <v>5870</v>
      </c>
      <c r="U394" s="3" t="s">
        <v>5870</v>
      </c>
    </row>
    <row r="395" spans="1:21" ht="28.5" customHeight="1">
      <c r="A395" s="3" t="s">
        <v>1263</v>
      </c>
      <c r="B395" s="3" t="s">
        <v>24</v>
      </c>
      <c r="C395" s="3" t="s">
        <v>1264</v>
      </c>
      <c r="D395" s="4">
        <v>2001</v>
      </c>
      <c r="E395" s="3" t="s">
        <v>1265</v>
      </c>
      <c r="F395" s="3" t="s">
        <v>110</v>
      </c>
      <c r="G395" s="3" t="s">
        <v>111</v>
      </c>
      <c r="H395" s="3" t="s">
        <v>5864</v>
      </c>
      <c r="I395" s="3"/>
      <c r="J395" s="3" t="s">
        <v>95</v>
      </c>
      <c r="K395" s="3" t="s">
        <v>6946</v>
      </c>
      <c r="L395" s="3" t="s">
        <v>6947</v>
      </c>
      <c r="M395" t="s">
        <v>6948</v>
      </c>
      <c r="O395" s="3" t="s">
        <v>5867</v>
      </c>
      <c r="P395" s="12">
        <v>46304</v>
      </c>
      <c r="Q395" s="3"/>
      <c r="R395" s="3" t="s">
        <v>6949</v>
      </c>
      <c r="S395" s="3" t="s">
        <v>5870</v>
      </c>
      <c r="T395" s="3" t="s">
        <v>5870</v>
      </c>
      <c r="U395" s="3" t="s">
        <v>5870</v>
      </c>
    </row>
    <row r="396" spans="1:21" ht="42.75" customHeight="1">
      <c r="A396" s="3" t="s">
        <v>1266</v>
      </c>
      <c r="B396" s="3" t="s">
        <v>24</v>
      </c>
      <c r="C396" s="3" t="s">
        <v>1267</v>
      </c>
      <c r="D396" s="4">
        <v>2013</v>
      </c>
      <c r="E396" s="3" t="s">
        <v>1268</v>
      </c>
      <c r="F396" s="3" t="s">
        <v>110</v>
      </c>
      <c r="G396" s="3" t="s">
        <v>111</v>
      </c>
      <c r="H396" s="3" t="s">
        <v>5864</v>
      </c>
      <c r="I396" s="3"/>
      <c r="J396" s="3" t="s">
        <v>6379</v>
      </c>
      <c r="K396" s="3" t="s">
        <v>6950</v>
      </c>
      <c r="L396" s="3" t="s">
        <v>6951</v>
      </c>
      <c r="M396" t="s">
        <v>6952</v>
      </c>
      <c r="O396" s="3" t="s">
        <v>5867</v>
      </c>
      <c r="P396" s="12">
        <v>46304</v>
      </c>
      <c r="Q396" s="3"/>
      <c r="R396" s="3" t="s">
        <v>6953</v>
      </c>
      <c r="S396" s="3" t="s">
        <v>5870</v>
      </c>
      <c r="T396" s="3" t="s">
        <v>5870</v>
      </c>
      <c r="U396" s="3" t="s">
        <v>5870</v>
      </c>
    </row>
    <row r="397" spans="1:21" ht="57">
      <c r="A397" s="3" t="s">
        <v>1269</v>
      </c>
      <c r="B397" s="3" t="s">
        <v>24</v>
      </c>
      <c r="C397" s="3" t="s">
        <v>1270</v>
      </c>
      <c r="D397" s="4">
        <v>2010</v>
      </c>
      <c r="E397" s="3" t="s">
        <v>1271</v>
      </c>
      <c r="F397" s="3" t="s">
        <v>115</v>
      </c>
      <c r="G397" s="3" t="s">
        <v>111</v>
      </c>
      <c r="H397" s="3" t="s">
        <v>5864</v>
      </c>
      <c r="I397" s="3"/>
      <c r="J397" s="3" t="s">
        <v>95</v>
      </c>
      <c r="K397" s="3" t="s">
        <v>6954</v>
      </c>
      <c r="L397" s="3" t="s">
        <v>6955</v>
      </c>
      <c r="M397" t="s">
        <v>6956</v>
      </c>
      <c r="O397" s="3" t="s">
        <v>5867</v>
      </c>
      <c r="P397" s="12">
        <v>46304</v>
      </c>
      <c r="Q397" s="3"/>
      <c r="R397" s="3" t="s">
        <v>6957</v>
      </c>
      <c r="S397" s="3" t="s">
        <v>5869</v>
      </c>
      <c r="T397" s="3" t="s">
        <v>5870</v>
      </c>
      <c r="U397" s="3" t="s">
        <v>5870</v>
      </c>
    </row>
    <row r="398" spans="1:21" ht="57">
      <c r="A398" s="3" t="s">
        <v>1272</v>
      </c>
      <c r="B398" s="3" t="s">
        <v>24</v>
      </c>
      <c r="C398" s="3" t="s">
        <v>1273</v>
      </c>
      <c r="D398" s="4">
        <v>2014</v>
      </c>
      <c r="E398" s="3" t="s">
        <v>1274</v>
      </c>
      <c r="F398" s="3" t="s">
        <v>110</v>
      </c>
      <c r="G398" s="3" t="s">
        <v>111</v>
      </c>
      <c r="H398" s="3" t="s">
        <v>5864</v>
      </c>
      <c r="I398" s="3"/>
      <c r="J398" s="3" t="s">
        <v>6388</v>
      </c>
      <c r="K398" s="3" t="s">
        <v>6958</v>
      </c>
      <c r="L398" s="3" t="s">
        <v>6959</v>
      </c>
      <c r="M398" t="s">
        <v>6960</v>
      </c>
      <c r="O398" s="3" t="s">
        <v>5867</v>
      </c>
      <c r="P398" s="12">
        <v>46304</v>
      </c>
      <c r="Q398" s="3"/>
      <c r="R398" s="3" t="s">
        <v>6961</v>
      </c>
      <c r="S398" s="3" t="s">
        <v>5870</v>
      </c>
      <c r="T398" s="3" t="s">
        <v>5870</v>
      </c>
      <c r="U398" s="3" t="s">
        <v>5870</v>
      </c>
    </row>
    <row r="399" spans="1:21" ht="57">
      <c r="A399" s="3" t="s">
        <v>1275</v>
      </c>
      <c r="B399" s="3" t="s">
        <v>24</v>
      </c>
      <c r="C399" s="3" t="s">
        <v>1273</v>
      </c>
      <c r="D399" s="4">
        <v>2016</v>
      </c>
      <c r="E399" s="3" t="s">
        <v>1276</v>
      </c>
      <c r="F399" s="3" t="s">
        <v>119</v>
      </c>
      <c r="G399" s="3" t="s">
        <v>111</v>
      </c>
      <c r="H399" s="3" t="s">
        <v>5864</v>
      </c>
      <c r="I399" s="3"/>
      <c r="J399" s="3" t="s">
        <v>6388</v>
      </c>
      <c r="K399" s="3" t="s">
        <v>6962</v>
      </c>
      <c r="L399" s="3" t="s">
        <v>6963</v>
      </c>
      <c r="M399" t="s">
        <v>6964</v>
      </c>
      <c r="O399" s="3" t="s">
        <v>5872</v>
      </c>
      <c r="P399" s="12">
        <v>46304</v>
      </c>
      <c r="Q399" s="3"/>
      <c r="R399" s="3" t="s">
        <v>6965</v>
      </c>
      <c r="S399" s="3" t="s">
        <v>5870</v>
      </c>
      <c r="T399" s="3" t="s">
        <v>5869</v>
      </c>
      <c r="U399" s="3" t="s">
        <v>5870</v>
      </c>
    </row>
    <row r="400" spans="1:21" ht="28.5" customHeight="1">
      <c r="A400" s="3" t="s">
        <v>1277</v>
      </c>
      <c r="B400" s="3" t="s">
        <v>24</v>
      </c>
      <c r="C400" s="3" t="s">
        <v>1278</v>
      </c>
      <c r="D400" s="4">
        <v>2001</v>
      </c>
      <c r="E400" s="3" t="s">
        <v>1279</v>
      </c>
      <c r="F400" s="3" t="s">
        <v>115</v>
      </c>
      <c r="G400" s="3" t="s">
        <v>111</v>
      </c>
      <c r="H400" s="3" t="s">
        <v>5864</v>
      </c>
      <c r="I400" s="3"/>
      <c r="J400" s="3" t="s">
        <v>95</v>
      </c>
      <c r="K400" s="3" t="s">
        <v>6966</v>
      </c>
      <c r="L400" s="3" t="s">
        <v>6967</v>
      </c>
      <c r="M400" t="s">
        <v>6968</v>
      </c>
      <c r="O400" s="3" t="s">
        <v>5867</v>
      </c>
      <c r="P400" s="12">
        <v>46304</v>
      </c>
      <c r="Q400" s="3"/>
      <c r="R400" s="3" t="s">
        <v>6969</v>
      </c>
      <c r="S400" s="3" t="s">
        <v>5870</v>
      </c>
      <c r="T400" s="3" t="s">
        <v>5870</v>
      </c>
      <c r="U400" s="3" t="s">
        <v>5870</v>
      </c>
    </row>
    <row r="401" spans="1:21" ht="28.5" customHeight="1">
      <c r="A401" s="3" t="s">
        <v>1280</v>
      </c>
      <c r="B401" s="3" t="s">
        <v>24</v>
      </c>
      <c r="C401" s="3" t="s">
        <v>1281</v>
      </c>
      <c r="D401" s="4">
        <v>2009</v>
      </c>
      <c r="E401" s="3" t="s">
        <v>1282</v>
      </c>
      <c r="F401" s="3" t="s">
        <v>115</v>
      </c>
      <c r="G401" s="3" t="s">
        <v>111</v>
      </c>
      <c r="H401" s="3" t="s">
        <v>5864</v>
      </c>
      <c r="I401" s="3"/>
      <c r="J401" s="3" t="s">
        <v>95</v>
      </c>
      <c r="K401" s="3" t="s">
        <v>6970</v>
      </c>
      <c r="L401" s="3" t="s">
        <v>6971</v>
      </c>
      <c r="M401" t="s">
        <v>6972</v>
      </c>
      <c r="O401" s="3" t="s">
        <v>5867</v>
      </c>
      <c r="P401" s="12">
        <v>46304</v>
      </c>
      <c r="Q401" s="3"/>
      <c r="R401" s="3" t="s">
        <v>6973</v>
      </c>
      <c r="S401" s="3" t="s">
        <v>5869</v>
      </c>
      <c r="T401" s="3" t="s">
        <v>5869</v>
      </c>
      <c r="U401" s="3" t="s">
        <v>5870</v>
      </c>
    </row>
    <row r="402" spans="1:21" ht="42.75" customHeight="1">
      <c r="A402" s="3" t="s">
        <v>1283</v>
      </c>
      <c r="B402" s="3" t="s">
        <v>24</v>
      </c>
      <c r="C402" s="3" t="s">
        <v>1284</v>
      </c>
      <c r="D402" s="4">
        <v>2013</v>
      </c>
      <c r="E402" s="3" t="s">
        <v>1285</v>
      </c>
      <c r="F402" s="3" t="s">
        <v>115</v>
      </c>
      <c r="G402" s="3" t="s">
        <v>111</v>
      </c>
      <c r="H402" s="3" t="s">
        <v>5864</v>
      </c>
      <c r="I402" s="3"/>
      <c r="J402" s="3" t="s">
        <v>95</v>
      </c>
      <c r="K402" s="3" t="s">
        <v>6974</v>
      </c>
      <c r="L402" s="3" t="s">
        <v>6975</v>
      </c>
      <c r="M402" t="s">
        <v>6976</v>
      </c>
      <c r="O402" s="3" t="s">
        <v>5867</v>
      </c>
      <c r="P402" s="12">
        <v>46304</v>
      </c>
      <c r="Q402" s="3"/>
      <c r="R402" s="3" t="s">
        <v>6977</v>
      </c>
      <c r="S402" s="3" t="s">
        <v>5870</v>
      </c>
      <c r="T402" s="3" t="s">
        <v>5870</v>
      </c>
      <c r="U402" s="3" t="s">
        <v>5870</v>
      </c>
    </row>
    <row r="403" spans="1:21" ht="28.5" customHeight="1">
      <c r="A403" s="3" t="s">
        <v>1286</v>
      </c>
      <c r="B403" s="3" t="s">
        <v>24</v>
      </c>
      <c r="C403" s="3" t="s">
        <v>1287</v>
      </c>
      <c r="D403" s="4">
        <v>2022</v>
      </c>
      <c r="E403" s="3" t="s">
        <v>1288</v>
      </c>
      <c r="F403" s="3" t="s">
        <v>1289</v>
      </c>
      <c r="G403" s="3" t="s">
        <v>111</v>
      </c>
      <c r="H403" s="3" t="s">
        <v>5864</v>
      </c>
      <c r="I403" s="3"/>
      <c r="J403" s="3" t="s">
        <v>95</v>
      </c>
      <c r="K403" s="3" t="s">
        <v>6978</v>
      </c>
      <c r="L403" s="3" t="s">
        <v>6979</v>
      </c>
      <c r="M403" t="s">
        <v>6980</v>
      </c>
      <c r="O403" s="3" t="s">
        <v>1289</v>
      </c>
      <c r="P403" s="12">
        <v>46304</v>
      </c>
      <c r="Q403" s="3"/>
      <c r="R403" s="3" t="s">
        <v>6981</v>
      </c>
      <c r="S403" s="3" t="s">
        <v>5869</v>
      </c>
      <c r="T403" s="3" t="s">
        <v>5869</v>
      </c>
      <c r="U403" s="3" t="s">
        <v>5870</v>
      </c>
    </row>
    <row r="404" spans="1:21" ht="28.5" customHeight="1">
      <c r="A404" s="3" t="s">
        <v>1290</v>
      </c>
      <c r="B404" s="3" t="s">
        <v>24</v>
      </c>
      <c r="C404" s="3" t="s">
        <v>1291</v>
      </c>
      <c r="D404" s="4">
        <v>2020</v>
      </c>
      <c r="E404" s="3" t="s">
        <v>1292</v>
      </c>
      <c r="F404" s="3" t="s">
        <v>1289</v>
      </c>
      <c r="G404" s="3" t="s">
        <v>111</v>
      </c>
      <c r="H404" s="3" t="s">
        <v>5864</v>
      </c>
      <c r="I404" s="3"/>
      <c r="J404" s="3" t="s">
        <v>95</v>
      </c>
      <c r="K404" s="3" t="s">
        <v>6982</v>
      </c>
      <c r="L404" s="3" t="s">
        <v>6983</v>
      </c>
      <c r="M404" t="s">
        <v>6984</v>
      </c>
      <c r="O404" s="3" t="s">
        <v>1289</v>
      </c>
      <c r="P404" s="12">
        <v>46304</v>
      </c>
      <c r="Q404" s="3"/>
      <c r="R404" s="3" t="s">
        <v>6985</v>
      </c>
      <c r="S404" s="3" t="s">
        <v>5869</v>
      </c>
      <c r="T404" s="3" t="s">
        <v>5870</v>
      </c>
      <c r="U404" s="3" t="s">
        <v>5870</v>
      </c>
    </row>
    <row r="405" spans="1:21" ht="71.25">
      <c r="A405" s="3" t="s">
        <v>1293</v>
      </c>
      <c r="B405" s="3" t="s">
        <v>24</v>
      </c>
      <c r="C405" s="3" t="s">
        <v>1294</v>
      </c>
      <c r="D405" s="4">
        <v>2021</v>
      </c>
      <c r="E405" s="3" t="s">
        <v>1295</v>
      </c>
      <c r="F405" s="3" t="s">
        <v>1289</v>
      </c>
      <c r="G405" s="3" t="s">
        <v>111</v>
      </c>
      <c r="H405" s="3" t="s">
        <v>5864</v>
      </c>
      <c r="I405" s="3"/>
      <c r="J405" s="3" t="s">
        <v>95</v>
      </c>
      <c r="K405" s="3" t="s">
        <v>6986</v>
      </c>
      <c r="L405" s="3" t="s">
        <v>6987</v>
      </c>
      <c r="M405" t="s">
        <v>6988</v>
      </c>
      <c r="O405" s="3" t="s">
        <v>1289</v>
      </c>
      <c r="P405" s="12">
        <v>46304</v>
      </c>
      <c r="Q405" s="3"/>
      <c r="R405" s="3" t="s">
        <v>6989</v>
      </c>
      <c r="S405" s="3" t="s">
        <v>5869</v>
      </c>
      <c r="T405" s="3" t="s">
        <v>5870</v>
      </c>
      <c r="U405" s="3" t="s">
        <v>5869</v>
      </c>
    </row>
    <row r="406" spans="1:21" ht="57" customHeight="1">
      <c r="A406" s="3" t="s">
        <v>1296</v>
      </c>
      <c r="B406" s="3" t="s">
        <v>20</v>
      </c>
      <c r="C406" s="3" t="s">
        <v>1297</v>
      </c>
      <c r="D406" s="4">
        <v>2026</v>
      </c>
      <c r="E406" s="3" t="s">
        <v>1298</v>
      </c>
      <c r="F406" s="3" t="s">
        <v>119</v>
      </c>
      <c r="G406" s="3" t="s">
        <v>111</v>
      </c>
      <c r="H406" s="3" t="s">
        <v>5871</v>
      </c>
      <c r="I406" s="3" t="s">
        <v>5735</v>
      </c>
      <c r="J406" s="3"/>
      <c r="K406" s="3"/>
      <c r="L406" s="3"/>
      <c r="O406" s="3" t="s">
        <v>5872</v>
      </c>
      <c r="P406" s="12">
        <v>46305</v>
      </c>
      <c r="Q406" s="3" t="s">
        <v>5763</v>
      </c>
      <c r="R406" s="3" t="s">
        <v>7036</v>
      </c>
      <c r="S406" s="3"/>
      <c r="T406" s="3"/>
      <c r="U406" s="3"/>
    </row>
    <row r="407" spans="1:21" ht="57">
      <c r="A407" s="3" t="s">
        <v>7041</v>
      </c>
      <c r="B407" s="3" t="s">
        <v>20</v>
      </c>
      <c r="C407" s="3" t="s">
        <v>7042</v>
      </c>
      <c r="D407" s="4">
        <v>2026</v>
      </c>
      <c r="E407" s="3" t="s">
        <v>7043</v>
      </c>
      <c r="F407" s="3" t="s">
        <v>5872</v>
      </c>
      <c r="G407" s="3" t="s">
        <v>111</v>
      </c>
      <c r="H407" s="3" t="s">
        <v>5864</v>
      </c>
      <c r="I407" s="3"/>
      <c r="J407" s="3" t="s">
        <v>7044</v>
      </c>
      <c r="K407" s="3" t="s">
        <v>7045</v>
      </c>
      <c r="L407" s="3" t="s">
        <v>7046</v>
      </c>
      <c r="M407" t="s">
        <v>7047</v>
      </c>
      <c r="N407" t="s">
        <v>7048</v>
      </c>
      <c r="O407" t="s">
        <v>5872</v>
      </c>
      <c r="P407" s="11">
        <v>46305</v>
      </c>
      <c r="R407" t="s">
        <v>7049</v>
      </c>
      <c r="S407" t="s">
        <v>111</v>
      </c>
      <c r="T407" t="s">
        <v>5869</v>
      </c>
      <c r="U407" t="s">
        <v>5870</v>
      </c>
    </row>
    <row r="408" spans="1:21">
      <c r="A408" s="3"/>
      <c r="B408" s="3"/>
      <c r="C408" s="3"/>
      <c r="D408" s="4"/>
      <c r="E408" s="3"/>
      <c r="F408" s="3"/>
      <c r="G408" s="3"/>
      <c r="H408" s="3"/>
      <c r="I408" s="3"/>
      <c r="J408" s="3"/>
      <c r="K408" s="3"/>
      <c r="L408" s="3"/>
    </row>
    <row r="409" spans="1:21">
      <c r="A409" s="3"/>
      <c r="B409" s="3"/>
      <c r="C409" s="3"/>
      <c r="D409" s="4"/>
      <c r="E409" s="3"/>
      <c r="F409" s="3"/>
      <c r="G409" s="3"/>
      <c r="H409" s="3"/>
      <c r="I409" s="3"/>
      <c r="J409" s="3"/>
      <c r="K409" s="3"/>
      <c r="L409" s="3"/>
    </row>
    <row r="410" spans="1:21">
      <c r="A410" s="3"/>
      <c r="B410" s="3"/>
      <c r="C410" s="3"/>
      <c r="D410" s="4"/>
      <c r="E410" s="3"/>
      <c r="F410" s="3"/>
      <c r="G410" s="3"/>
      <c r="H410" s="3"/>
      <c r="I410" s="3"/>
      <c r="J410" s="3"/>
      <c r="K410" s="3"/>
      <c r="L410" s="3"/>
    </row>
    <row r="411" spans="1:21">
      <c r="A411" s="3"/>
      <c r="B411" s="3"/>
      <c r="C411" s="3"/>
      <c r="D411" s="4"/>
      <c r="E411" s="3"/>
      <c r="F411" s="3"/>
      <c r="G411" s="3"/>
      <c r="H411" s="3"/>
      <c r="I411" s="3"/>
      <c r="J411" s="3"/>
      <c r="K411" s="3"/>
      <c r="L411" s="3"/>
    </row>
    <row r="412" spans="1:21">
      <c r="A412" s="3"/>
      <c r="B412" s="3"/>
      <c r="C412" s="3"/>
      <c r="D412" s="4"/>
      <c r="E412" s="3"/>
      <c r="F412" s="3"/>
      <c r="G412" s="3"/>
      <c r="H412" s="3"/>
      <c r="I412" s="3"/>
      <c r="J412" s="3"/>
      <c r="K412" s="3"/>
      <c r="L412" s="3"/>
    </row>
    <row r="413" spans="1:21">
      <c r="A413" s="3"/>
      <c r="B413" s="3"/>
      <c r="C413" s="3"/>
      <c r="D413" s="4"/>
      <c r="E413" s="3"/>
      <c r="F413" s="3"/>
      <c r="G413" s="3"/>
      <c r="H413" s="3"/>
      <c r="I413" s="3"/>
      <c r="J413" s="3"/>
      <c r="K413" s="3"/>
      <c r="L413" s="3"/>
    </row>
    <row r="414" spans="1:21">
      <c r="A414" s="3"/>
      <c r="B414" s="3"/>
      <c r="C414" s="3"/>
      <c r="D414" s="4"/>
      <c r="E414" s="3"/>
      <c r="F414" s="3"/>
      <c r="G414" s="3"/>
      <c r="H414" s="3"/>
      <c r="I414" s="3"/>
      <c r="J414" s="3"/>
      <c r="K414" s="3"/>
      <c r="L414" s="3"/>
    </row>
    <row r="415" spans="1:21">
      <c r="A415" s="3"/>
      <c r="B415" s="3"/>
      <c r="C415" s="3"/>
      <c r="D415" s="4"/>
      <c r="E415" s="3"/>
      <c r="F415" s="3"/>
      <c r="G415" s="3"/>
      <c r="H415" s="3"/>
      <c r="I415" s="3"/>
      <c r="J415" s="3"/>
      <c r="K415" s="3"/>
      <c r="L415" s="3"/>
    </row>
    <row r="416" spans="1:21">
      <c r="A416" s="3"/>
      <c r="B416" s="3"/>
      <c r="C416" s="3"/>
      <c r="D416" s="4"/>
      <c r="E416" s="3"/>
      <c r="F416" s="3"/>
      <c r="G416" s="3"/>
      <c r="H416" s="3"/>
      <c r="I416" s="3"/>
      <c r="J416" s="3"/>
      <c r="K416" s="3"/>
      <c r="L416" s="3"/>
    </row>
    <row r="417" spans="1:12">
      <c r="A417" s="3"/>
      <c r="B417" s="3"/>
      <c r="C417" s="3"/>
      <c r="D417" s="4"/>
      <c r="E417" s="3"/>
      <c r="F417" s="3"/>
      <c r="G417" s="3"/>
      <c r="H417" s="3"/>
      <c r="I417" s="3"/>
      <c r="J417" s="3"/>
      <c r="K417" s="3"/>
      <c r="L417" s="3"/>
    </row>
    <row r="418" spans="1:12">
      <c r="A418" s="3"/>
      <c r="B418" s="3"/>
      <c r="C418" s="3"/>
      <c r="D418" s="4"/>
      <c r="E418" s="3"/>
      <c r="F418" s="3"/>
      <c r="G418" s="3"/>
      <c r="H418" s="3"/>
      <c r="I418" s="3"/>
      <c r="J418" s="3"/>
      <c r="K418" s="3"/>
      <c r="L418" s="3"/>
    </row>
    <row r="419" spans="1:12">
      <c r="A419" s="3"/>
      <c r="B419" s="3"/>
      <c r="C419" s="3"/>
      <c r="D419" s="4"/>
      <c r="E419" s="3"/>
      <c r="F419" s="3"/>
      <c r="G419" s="3"/>
      <c r="H419" s="3"/>
      <c r="I419" s="3"/>
      <c r="J419" s="3"/>
      <c r="K419" s="3"/>
      <c r="L419" s="3"/>
    </row>
    <row r="420" spans="1:12">
      <c r="A420" s="3"/>
      <c r="B420" s="3"/>
      <c r="C420" s="3"/>
      <c r="D420" s="4"/>
      <c r="E420" s="3"/>
      <c r="F420" s="3"/>
      <c r="G420" s="3"/>
      <c r="H420" s="3"/>
      <c r="I420" s="3"/>
      <c r="J420" s="3"/>
      <c r="K420" s="3"/>
      <c r="L420" s="3"/>
    </row>
    <row r="421" spans="1:12">
      <c r="A421" s="3"/>
      <c r="B421" s="3"/>
      <c r="C421" s="3"/>
      <c r="D421" s="4"/>
      <c r="E421" s="3"/>
      <c r="F421" s="3"/>
      <c r="G421" s="3"/>
      <c r="H421" s="3"/>
      <c r="I421" s="3"/>
      <c r="J421" s="3"/>
      <c r="K421" s="3"/>
      <c r="L421" s="3"/>
    </row>
    <row r="422" spans="1:12">
      <c r="A422" s="3"/>
      <c r="B422" s="3"/>
      <c r="C422" s="3"/>
      <c r="D422" s="4"/>
      <c r="E422" s="3"/>
      <c r="F422" s="3"/>
      <c r="G422" s="3"/>
      <c r="H422" s="3"/>
      <c r="I422" s="3"/>
      <c r="J422" s="3"/>
      <c r="K422" s="3"/>
      <c r="L422" s="3"/>
    </row>
    <row r="423" spans="1:12">
      <c r="A423" s="3"/>
      <c r="B423" s="3"/>
      <c r="C423" s="3"/>
      <c r="D423" s="4"/>
      <c r="E423" s="3"/>
      <c r="F423" s="3"/>
      <c r="G423" s="3"/>
      <c r="H423" s="3"/>
      <c r="I423" s="3"/>
      <c r="J423" s="3"/>
      <c r="K423" s="3"/>
      <c r="L423" s="3"/>
    </row>
    <row r="424" spans="1:12">
      <c r="A424" s="3"/>
      <c r="B424" s="3"/>
      <c r="C424" s="3"/>
      <c r="D424" s="4"/>
      <c r="E424" s="3"/>
      <c r="F424" s="3"/>
      <c r="G424" s="3"/>
      <c r="H424" s="3"/>
      <c r="I424" s="3"/>
      <c r="J424" s="3"/>
      <c r="K424" s="3"/>
      <c r="L424" s="3"/>
    </row>
    <row r="425" spans="1:12">
      <c r="A425" s="3"/>
      <c r="B425" s="3"/>
      <c r="C425" s="3"/>
      <c r="D425" s="4"/>
      <c r="E425" s="3"/>
      <c r="F425" s="3"/>
      <c r="G425" s="3"/>
      <c r="H425" s="3"/>
      <c r="I425" s="3"/>
      <c r="J425" s="3"/>
      <c r="K425" s="3"/>
      <c r="L425" s="3"/>
    </row>
    <row r="426" spans="1:12">
      <c r="A426" s="3"/>
      <c r="B426" s="3"/>
      <c r="C426" s="3"/>
      <c r="D426" s="4"/>
      <c r="E426" s="3"/>
      <c r="F426" s="3"/>
      <c r="G426" s="3"/>
      <c r="H426" s="3"/>
      <c r="I426" s="3"/>
      <c r="J426" s="3"/>
      <c r="K426" s="3"/>
      <c r="L426" s="3"/>
    </row>
    <row r="427" spans="1:12">
      <c r="A427" s="3"/>
      <c r="B427" s="3"/>
      <c r="C427" s="3"/>
      <c r="D427" s="4"/>
      <c r="E427" s="3"/>
      <c r="F427" s="3"/>
      <c r="G427" s="3"/>
      <c r="H427" s="3"/>
      <c r="I427" s="3"/>
      <c r="J427" s="3"/>
      <c r="K427" s="3"/>
      <c r="L427" s="3"/>
    </row>
    <row r="428" spans="1:12">
      <c r="A428" s="3"/>
      <c r="B428" s="3"/>
      <c r="C428" s="3"/>
      <c r="D428" s="4"/>
      <c r="E428" s="3"/>
      <c r="F428" s="3"/>
      <c r="G428" s="3"/>
      <c r="H428" s="3"/>
      <c r="I428" s="3"/>
      <c r="J428" s="3"/>
      <c r="K428" s="3"/>
      <c r="L428" s="3"/>
    </row>
    <row r="429" spans="1:12">
      <c r="A429" s="3"/>
      <c r="B429" s="3"/>
      <c r="C429" s="3"/>
      <c r="D429" s="4"/>
      <c r="E429" s="3"/>
      <c r="F429" s="3"/>
      <c r="G429" s="3"/>
      <c r="H429" s="3"/>
      <c r="I429" s="3"/>
      <c r="J429" s="3"/>
      <c r="K429" s="3"/>
      <c r="L429" s="3"/>
    </row>
    <row r="430" spans="1:12">
      <c r="A430" s="3"/>
      <c r="B430" s="3"/>
      <c r="C430" s="3"/>
      <c r="D430" s="4"/>
      <c r="E430" s="3"/>
      <c r="F430" s="3"/>
      <c r="G430" s="3"/>
      <c r="H430" s="3"/>
      <c r="I430" s="3"/>
      <c r="J430" s="3"/>
      <c r="K430" s="3"/>
      <c r="L430" s="3"/>
    </row>
    <row r="431" spans="1:12">
      <c r="A431" s="3"/>
      <c r="B431" s="3"/>
      <c r="C431" s="3"/>
      <c r="D431" s="4"/>
      <c r="E431" s="3"/>
      <c r="F431" s="3"/>
      <c r="G431" s="3"/>
      <c r="H431" s="3"/>
      <c r="I431" s="3"/>
      <c r="J431" s="3"/>
      <c r="K431" s="3"/>
      <c r="L431" s="3"/>
    </row>
    <row r="432" spans="1:12">
      <c r="A432" s="3"/>
      <c r="B432" s="3"/>
      <c r="C432" s="3"/>
      <c r="D432" s="4"/>
      <c r="E432" s="3"/>
      <c r="F432" s="3"/>
      <c r="G432" s="3"/>
      <c r="H432" s="3"/>
      <c r="I432" s="3"/>
      <c r="J432" s="3"/>
      <c r="K432" s="3"/>
      <c r="L432" s="3"/>
    </row>
    <row r="433" spans="1:12">
      <c r="A433" s="3"/>
      <c r="B433" s="3"/>
      <c r="C433" s="3"/>
      <c r="D433" s="4"/>
      <c r="E433" s="3"/>
      <c r="F433" s="3"/>
      <c r="G433" s="3"/>
      <c r="H433" s="3"/>
      <c r="I433" s="3"/>
      <c r="J433" s="3"/>
      <c r="K433" s="3"/>
      <c r="L433" s="3"/>
    </row>
    <row r="434" spans="1:12">
      <c r="A434" s="3"/>
      <c r="B434" s="3"/>
      <c r="C434" s="3"/>
      <c r="D434" s="4"/>
      <c r="E434" s="3"/>
      <c r="F434" s="3"/>
      <c r="G434" s="3"/>
      <c r="H434" s="3"/>
      <c r="I434" s="3"/>
      <c r="J434" s="3"/>
      <c r="K434" s="3"/>
      <c r="L434" s="3"/>
    </row>
    <row r="435" spans="1:12">
      <c r="A435" s="3"/>
      <c r="B435" s="3"/>
      <c r="C435" s="3"/>
      <c r="D435" s="4"/>
      <c r="E435" s="3"/>
      <c r="F435" s="3"/>
      <c r="G435" s="3"/>
      <c r="H435" s="3"/>
      <c r="I435" s="3"/>
      <c r="J435" s="3"/>
      <c r="K435" s="3"/>
      <c r="L435" s="3"/>
    </row>
    <row r="436" spans="1:12">
      <c r="A436" s="3"/>
      <c r="B436" s="3"/>
      <c r="C436" s="3"/>
      <c r="D436" s="4"/>
      <c r="E436" s="3"/>
      <c r="F436" s="3"/>
      <c r="G436" s="3"/>
      <c r="H436" s="3"/>
      <c r="I436" s="3"/>
      <c r="J436" s="3"/>
      <c r="K436" s="3"/>
      <c r="L436" s="3"/>
    </row>
    <row r="437" spans="1:12">
      <c r="A437" s="3"/>
      <c r="B437" s="3"/>
      <c r="C437" s="3"/>
      <c r="D437" s="4"/>
      <c r="E437" s="3"/>
      <c r="F437" s="3"/>
      <c r="G437" s="3"/>
      <c r="H437" s="3"/>
      <c r="I437" s="3"/>
      <c r="J437" s="3"/>
      <c r="K437" s="3"/>
      <c r="L437" s="3"/>
    </row>
    <row r="438" spans="1:12">
      <c r="A438" s="3"/>
      <c r="B438" s="3"/>
      <c r="C438" s="3"/>
      <c r="D438" s="4"/>
      <c r="E438" s="3"/>
      <c r="F438" s="3"/>
      <c r="G438" s="3"/>
      <c r="H438" s="3"/>
      <c r="I438" s="3"/>
      <c r="J438" s="3"/>
      <c r="K438" s="3"/>
      <c r="L438" s="3"/>
    </row>
    <row r="439" spans="1:12">
      <c r="A439" s="3"/>
      <c r="B439" s="3"/>
      <c r="C439" s="3"/>
      <c r="D439" s="4"/>
      <c r="E439" s="3"/>
      <c r="F439" s="3"/>
      <c r="G439" s="3"/>
      <c r="H439" s="3"/>
      <c r="I439" s="3"/>
      <c r="J439" s="3"/>
      <c r="K439" s="3"/>
      <c r="L439" s="3"/>
    </row>
    <row r="440" spans="1:12">
      <c r="A440" s="3"/>
      <c r="B440" s="3"/>
      <c r="C440" s="3"/>
      <c r="D440" s="4"/>
      <c r="E440" s="3"/>
      <c r="F440" s="3"/>
      <c r="G440" s="3"/>
      <c r="H440" s="3"/>
      <c r="I440" s="3"/>
      <c r="J440" s="3"/>
      <c r="K440" s="3"/>
      <c r="L440" s="3"/>
    </row>
    <row r="441" spans="1:12">
      <c r="A441" s="3"/>
      <c r="B441" s="3"/>
      <c r="C441" s="3"/>
      <c r="D441" s="4"/>
      <c r="E441" s="3"/>
      <c r="F441" s="3"/>
      <c r="G441" s="3"/>
      <c r="H441" s="3"/>
      <c r="I441" s="3"/>
      <c r="J441" s="3"/>
      <c r="K441" s="3"/>
      <c r="L441" s="3"/>
    </row>
    <row r="442" spans="1:12">
      <c r="A442" s="3"/>
      <c r="B442" s="3"/>
      <c r="C442" s="3"/>
      <c r="D442" s="4"/>
      <c r="E442" s="3"/>
      <c r="F442" s="3"/>
      <c r="G442" s="3"/>
      <c r="H442" s="3"/>
      <c r="I442" s="3"/>
      <c r="J442" s="3"/>
      <c r="K442" s="3"/>
      <c r="L442" s="3"/>
    </row>
    <row r="443" spans="1:12">
      <c r="A443" s="3"/>
      <c r="B443" s="3"/>
      <c r="C443" s="3"/>
      <c r="D443" s="4"/>
      <c r="E443" s="3"/>
      <c r="F443" s="3"/>
      <c r="G443" s="3"/>
      <c r="H443" s="3"/>
      <c r="I443" s="3"/>
      <c r="J443" s="3"/>
      <c r="K443" s="3"/>
      <c r="L443" s="3"/>
    </row>
    <row r="444" spans="1:12">
      <c r="A444" s="3"/>
      <c r="B444" s="3"/>
      <c r="C444" s="3"/>
      <c r="D444" s="4"/>
      <c r="E444" s="3"/>
      <c r="F444" s="3"/>
      <c r="G444" s="3"/>
      <c r="H444" s="3"/>
      <c r="I444" s="3"/>
      <c r="J444" s="3"/>
      <c r="K444" s="3"/>
      <c r="L444" s="3"/>
    </row>
    <row r="445" spans="1:12">
      <c r="A445" s="3"/>
      <c r="B445" s="3"/>
      <c r="C445" s="3"/>
      <c r="D445" s="4"/>
      <c r="E445" s="3"/>
      <c r="F445" s="3"/>
      <c r="G445" s="3"/>
      <c r="H445" s="3"/>
      <c r="I445" s="3"/>
      <c r="J445" s="3"/>
      <c r="K445" s="3"/>
      <c r="L445" s="3"/>
    </row>
    <row r="446" spans="1:12">
      <c r="A446" s="3"/>
      <c r="B446" s="3"/>
      <c r="C446" s="3"/>
      <c r="D446" s="4"/>
      <c r="E446" s="3"/>
      <c r="F446" s="3"/>
      <c r="G446" s="3"/>
      <c r="H446" s="3"/>
      <c r="I446" s="3"/>
      <c r="J446" s="3"/>
      <c r="K446" s="3"/>
      <c r="L446" s="3"/>
    </row>
    <row r="447" spans="1:12">
      <c r="A447" s="3"/>
      <c r="B447" s="3"/>
      <c r="C447" s="3"/>
      <c r="D447" s="4"/>
      <c r="E447" s="3"/>
      <c r="F447" s="3"/>
      <c r="G447" s="3"/>
      <c r="H447" s="3"/>
      <c r="I447" s="3"/>
      <c r="J447" s="3"/>
      <c r="K447" s="3"/>
      <c r="L447" s="3"/>
    </row>
    <row r="448" spans="1:12">
      <c r="A448" s="3"/>
      <c r="B448" s="3"/>
      <c r="C448" s="3"/>
      <c r="D448" s="4"/>
      <c r="E448" s="3"/>
      <c r="F448" s="3"/>
      <c r="G448" s="3"/>
      <c r="H448" s="3"/>
      <c r="I448" s="3"/>
      <c r="J448" s="3"/>
      <c r="K448" s="3"/>
      <c r="L448" s="3"/>
    </row>
    <row r="449" spans="1:12">
      <c r="A449" s="3"/>
      <c r="B449" s="3"/>
      <c r="C449" s="3"/>
      <c r="D449" s="4"/>
      <c r="E449" s="3"/>
      <c r="F449" s="3"/>
      <c r="G449" s="3"/>
      <c r="H449" s="3"/>
      <c r="I449" s="3"/>
      <c r="J449" s="3"/>
      <c r="K449" s="3"/>
      <c r="L449" s="3"/>
    </row>
    <row r="450" spans="1:12">
      <c r="A450" s="3"/>
      <c r="B450" s="3"/>
      <c r="C450" s="3"/>
      <c r="D450" s="4"/>
      <c r="E450" s="3"/>
      <c r="F450" s="3"/>
      <c r="G450" s="3"/>
      <c r="H450" s="3"/>
      <c r="I450" s="3"/>
      <c r="J450" s="3"/>
      <c r="K450" s="3"/>
      <c r="L450" s="3"/>
    </row>
    <row r="451" spans="1:12">
      <c r="A451" s="3"/>
      <c r="B451" s="3"/>
      <c r="C451" s="3"/>
      <c r="D451" s="4"/>
      <c r="E451" s="3"/>
      <c r="F451" s="3"/>
      <c r="G451" s="3"/>
      <c r="H451" s="3"/>
      <c r="I451" s="3"/>
      <c r="J451" s="3"/>
      <c r="K451" s="3"/>
      <c r="L451" s="3"/>
    </row>
    <row r="452" spans="1:12">
      <c r="A452" s="3"/>
      <c r="B452" s="3"/>
      <c r="C452" s="3"/>
      <c r="D452" s="4"/>
      <c r="E452" s="3"/>
      <c r="F452" s="3"/>
      <c r="G452" s="3"/>
      <c r="H452" s="3"/>
      <c r="I452" s="3"/>
      <c r="J452" s="3"/>
      <c r="K452" s="3"/>
      <c r="L452" s="3"/>
    </row>
    <row r="453" spans="1:12">
      <c r="A453" s="3"/>
      <c r="B453" s="3"/>
      <c r="C453" s="3"/>
      <c r="D453" s="4"/>
      <c r="E453" s="3"/>
      <c r="F453" s="3"/>
      <c r="G453" s="3"/>
      <c r="H453" s="3"/>
      <c r="I453" s="3"/>
      <c r="J453" s="3"/>
      <c r="K453" s="3"/>
      <c r="L453" s="3"/>
    </row>
    <row r="454" spans="1:12">
      <c r="A454" s="3"/>
      <c r="B454" s="3"/>
      <c r="C454" s="3"/>
      <c r="D454" s="4"/>
      <c r="E454" s="3"/>
      <c r="F454" s="3"/>
      <c r="G454" s="3"/>
      <c r="H454" s="3"/>
      <c r="I454" s="3"/>
      <c r="J454" s="3"/>
      <c r="K454" s="3"/>
      <c r="L454" s="3"/>
    </row>
    <row r="455" spans="1:12">
      <c r="A455" s="3"/>
      <c r="B455" s="3"/>
      <c r="C455" s="3"/>
      <c r="D455" s="4"/>
      <c r="E455" s="3"/>
      <c r="F455" s="3"/>
      <c r="G455" s="3"/>
      <c r="H455" s="3"/>
      <c r="I455" s="3"/>
      <c r="J455" s="3"/>
      <c r="K455" s="3"/>
      <c r="L455" s="3"/>
    </row>
    <row r="456" spans="1:12">
      <c r="A456" s="3"/>
      <c r="B456" s="3"/>
      <c r="C456" s="3"/>
      <c r="D456" s="4"/>
      <c r="E456" s="3"/>
      <c r="F456" s="3"/>
      <c r="G456" s="3"/>
      <c r="H456" s="3"/>
      <c r="I456" s="3"/>
      <c r="J456" s="3"/>
      <c r="K456" s="3"/>
      <c r="L456" s="3"/>
    </row>
    <row r="457" spans="1:12">
      <c r="A457" s="3"/>
      <c r="B457" s="3"/>
      <c r="C457" s="3"/>
      <c r="D457" s="4"/>
      <c r="E457" s="3"/>
      <c r="F457" s="3"/>
      <c r="G457" s="3"/>
      <c r="H457" s="3"/>
      <c r="I457" s="3"/>
      <c r="J457" s="3"/>
      <c r="K457" s="3"/>
      <c r="L457" s="3"/>
    </row>
    <row r="458" spans="1:12">
      <c r="A458" s="3"/>
      <c r="B458" s="3"/>
      <c r="C458" s="3"/>
      <c r="D458" s="4"/>
      <c r="E458" s="3"/>
      <c r="F458" s="3"/>
      <c r="G458" s="3"/>
      <c r="H458" s="3"/>
      <c r="I458" s="3"/>
      <c r="J458" s="3"/>
      <c r="K458" s="3"/>
      <c r="L458" s="3"/>
    </row>
    <row r="459" spans="1:12">
      <c r="A459" s="3"/>
      <c r="B459" s="3"/>
      <c r="C459" s="3"/>
      <c r="D459" s="4"/>
      <c r="E459" s="3"/>
      <c r="F459" s="3"/>
      <c r="G459" s="3"/>
      <c r="H459" s="3"/>
      <c r="I459" s="3"/>
      <c r="J459" s="3"/>
      <c r="K459" s="3"/>
      <c r="L459" s="3"/>
    </row>
    <row r="460" spans="1:12">
      <c r="A460" s="3"/>
      <c r="B460" s="3"/>
      <c r="C460" s="3"/>
      <c r="D460" s="4"/>
      <c r="E460" s="3"/>
      <c r="F460" s="3"/>
      <c r="G460" s="3"/>
      <c r="H460" s="3"/>
      <c r="I460" s="3"/>
      <c r="J460" s="3"/>
      <c r="K460" s="3"/>
      <c r="L460" s="3"/>
    </row>
    <row r="461" spans="1:12">
      <c r="A461" s="3"/>
      <c r="B461" s="3"/>
      <c r="C461" s="3"/>
      <c r="D461" s="4"/>
      <c r="E461" s="3"/>
      <c r="F461" s="3"/>
      <c r="G461" s="3"/>
      <c r="H461" s="3"/>
      <c r="I461" s="3"/>
      <c r="J461" s="3"/>
      <c r="K461" s="3"/>
      <c r="L461" s="3"/>
    </row>
    <row r="462" spans="1:12">
      <c r="A462" s="3"/>
      <c r="B462" s="3"/>
      <c r="C462" s="3"/>
      <c r="D462" s="4"/>
      <c r="E462" s="3"/>
      <c r="F462" s="3"/>
      <c r="G462" s="3"/>
      <c r="H462" s="3"/>
      <c r="I462" s="3"/>
      <c r="J462" s="3"/>
      <c r="K462" s="3"/>
      <c r="L462" s="3"/>
    </row>
    <row r="463" spans="1:12">
      <c r="A463" s="3"/>
      <c r="B463" s="3"/>
      <c r="C463" s="3"/>
      <c r="D463" s="4"/>
      <c r="E463" s="3"/>
      <c r="F463" s="3"/>
      <c r="G463" s="3"/>
      <c r="H463" s="3"/>
      <c r="I463" s="3"/>
      <c r="J463" s="3"/>
      <c r="K463" s="3"/>
      <c r="L463" s="3"/>
    </row>
    <row r="464" spans="1:12">
      <c r="A464" s="3"/>
      <c r="B464" s="3"/>
      <c r="C464" s="3"/>
      <c r="D464" s="4"/>
      <c r="E464" s="3"/>
      <c r="F464" s="3"/>
      <c r="G464" s="3"/>
      <c r="H464" s="3"/>
      <c r="I464" s="3"/>
      <c r="J464" s="3"/>
      <c r="K464" s="3"/>
      <c r="L464" s="3"/>
    </row>
    <row r="465" spans="1:12">
      <c r="A465" s="3"/>
      <c r="B465" s="3"/>
      <c r="C465" s="3"/>
      <c r="D465" s="4"/>
      <c r="E465" s="3"/>
      <c r="F465" s="3"/>
      <c r="G465" s="3"/>
      <c r="H465" s="3"/>
      <c r="I465" s="3"/>
      <c r="J465" s="3"/>
      <c r="K465" s="3"/>
      <c r="L465" s="3"/>
    </row>
    <row r="466" spans="1:12">
      <c r="A466" s="3"/>
      <c r="B466" s="3"/>
      <c r="C466" s="3"/>
      <c r="D466" s="4"/>
      <c r="E466" s="3"/>
      <c r="F466" s="3"/>
      <c r="G466" s="3"/>
      <c r="H466" s="3"/>
      <c r="I466" s="3"/>
      <c r="J466" s="3"/>
      <c r="K466" s="3"/>
      <c r="L466" s="3"/>
    </row>
    <row r="467" spans="1:12">
      <c r="A467" s="3"/>
      <c r="B467" s="3"/>
      <c r="C467" s="3"/>
      <c r="D467" s="4"/>
      <c r="E467" s="3"/>
      <c r="F467" s="3"/>
      <c r="G467" s="3"/>
      <c r="H467" s="3"/>
      <c r="I467" s="3"/>
      <c r="J467" s="3"/>
      <c r="K467" s="3"/>
      <c r="L467" s="3"/>
    </row>
    <row r="468" spans="1:12">
      <c r="A468" s="3"/>
      <c r="B468" s="3"/>
      <c r="C468" s="3"/>
      <c r="D468" s="4"/>
      <c r="E468" s="3"/>
      <c r="F468" s="3"/>
      <c r="G468" s="3"/>
      <c r="H468" s="3"/>
      <c r="I468" s="3"/>
      <c r="J468" s="3"/>
      <c r="K468" s="3"/>
      <c r="L468" s="3"/>
    </row>
    <row r="469" spans="1:12">
      <c r="A469" s="3"/>
      <c r="B469" s="3"/>
      <c r="C469" s="3"/>
      <c r="D469" s="4"/>
      <c r="E469" s="3"/>
      <c r="F469" s="3"/>
      <c r="G469" s="3"/>
      <c r="H469" s="3"/>
      <c r="I469" s="3"/>
      <c r="J469" s="3"/>
      <c r="K469" s="3"/>
      <c r="L469" s="3"/>
    </row>
    <row r="470" spans="1:12">
      <c r="A470" s="3"/>
      <c r="B470" s="3"/>
      <c r="C470" s="3"/>
      <c r="D470" s="4"/>
      <c r="E470" s="3"/>
      <c r="F470" s="3"/>
      <c r="G470" s="3"/>
      <c r="H470" s="3"/>
      <c r="I470" s="3"/>
      <c r="J470" s="3"/>
      <c r="K470" s="3"/>
      <c r="L470" s="3"/>
    </row>
    <row r="471" spans="1:12">
      <c r="A471" s="3"/>
      <c r="B471" s="3"/>
      <c r="C471" s="3"/>
      <c r="D471" s="4"/>
      <c r="E471" s="3"/>
      <c r="F471" s="3"/>
      <c r="G471" s="3"/>
      <c r="H471" s="3"/>
      <c r="I471" s="3"/>
      <c r="J471" s="3"/>
      <c r="K471" s="3"/>
      <c r="L471" s="3"/>
    </row>
    <row r="472" spans="1:12">
      <c r="A472" s="3"/>
      <c r="B472" s="3"/>
      <c r="C472" s="3"/>
      <c r="D472" s="4"/>
      <c r="E472" s="3"/>
      <c r="F472" s="3"/>
      <c r="G472" s="3"/>
      <c r="H472" s="3"/>
      <c r="I472" s="3"/>
      <c r="J472" s="3"/>
      <c r="K472" s="3"/>
      <c r="L472" s="3"/>
    </row>
    <row r="473" spans="1:12">
      <c r="A473" s="3"/>
      <c r="B473" s="3"/>
      <c r="C473" s="3"/>
      <c r="D473" s="4"/>
      <c r="E473" s="3"/>
      <c r="F473" s="3"/>
      <c r="G473" s="3"/>
      <c r="H473" s="3"/>
      <c r="I473" s="3"/>
      <c r="J473" s="3"/>
      <c r="K473" s="3"/>
      <c r="L473" s="3"/>
    </row>
    <row r="474" spans="1:12">
      <c r="A474" s="3"/>
      <c r="B474" s="3"/>
      <c r="C474" s="3"/>
      <c r="D474" s="4"/>
      <c r="E474" s="3"/>
      <c r="F474" s="3"/>
      <c r="G474" s="3"/>
      <c r="H474" s="3"/>
      <c r="I474" s="3"/>
      <c r="J474" s="3"/>
      <c r="K474" s="3"/>
      <c r="L474" s="3"/>
    </row>
    <row r="475" spans="1:12">
      <c r="A475" s="3"/>
      <c r="B475" s="3"/>
      <c r="C475" s="3"/>
      <c r="D475" s="4"/>
      <c r="E475" s="3"/>
      <c r="F475" s="3"/>
      <c r="G475" s="3"/>
      <c r="H475" s="3"/>
      <c r="I475" s="3"/>
      <c r="J475" s="3"/>
      <c r="K475" s="3"/>
      <c r="L475" s="3"/>
    </row>
    <row r="476" spans="1:12">
      <c r="A476" s="3"/>
      <c r="B476" s="3"/>
      <c r="C476" s="3"/>
      <c r="D476" s="4"/>
      <c r="E476" s="3"/>
      <c r="F476" s="3"/>
      <c r="G476" s="3"/>
      <c r="H476" s="3"/>
      <c r="I476" s="3"/>
      <c r="J476" s="3"/>
      <c r="K476" s="3"/>
      <c r="L476" s="3"/>
    </row>
    <row r="477" spans="1:12">
      <c r="A477" s="3"/>
      <c r="B477" s="3"/>
      <c r="C477" s="3"/>
      <c r="D477" s="4"/>
      <c r="E477" s="3"/>
      <c r="F477" s="3"/>
      <c r="G477" s="3"/>
      <c r="H477" s="3"/>
      <c r="I477" s="3"/>
      <c r="J477" s="3"/>
      <c r="K477" s="3"/>
      <c r="L477" s="3"/>
    </row>
    <row r="478" spans="1:12">
      <c r="A478" s="3"/>
      <c r="B478" s="3"/>
      <c r="C478" s="3"/>
      <c r="D478" s="4"/>
      <c r="E478" s="3"/>
      <c r="F478" s="3"/>
      <c r="G478" s="3"/>
      <c r="H478" s="3"/>
      <c r="I478" s="3"/>
      <c r="J478" s="3"/>
      <c r="K478" s="3"/>
      <c r="L478" s="3"/>
    </row>
    <row r="479" spans="1:12">
      <c r="A479" s="3"/>
      <c r="B479" s="3"/>
      <c r="C479" s="3"/>
      <c r="D479" s="4"/>
      <c r="E479" s="3"/>
      <c r="F479" s="3"/>
      <c r="G479" s="3"/>
      <c r="H479" s="3"/>
      <c r="I479" s="3"/>
      <c r="J479" s="3"/>
      <c r="K479" s="3"/>
      <c r="L479" s="3"/>
    </row>
    <row r="480" spans="1:12">
      <c r="A480" s="3"/>
      <c r="B480" s="3"/>
      <c r="C480" s="3"/>
      <c r="D480" s="4"/>
      <c r="E480" s="3"/>
      <c r="F480" s="3"/>
      <c r="G480" s="3"/>
      <c r="H480" s="3"/>
      <c r="I480" s="3"/>
      <c r="J480" s="3"/>
      <c r="K480" s="3"/>
      <c r="L480" s="3"/>
    </row>
    <row r="481" spans="1:12">
      <c r="A481" s="3"/>
      <c r="B481" s="3"/>
      <c r="C481" s="3"/>
      <c r="D481" s="4"/>
      <c r="E481" s="3"/>
      <c r="F481" s="3"/>
      <c r="G481" s="3"/>
      <c r="H481" s="3"/>
      <c r="I481" s="3"/>
      <c r="J481" s="3"/>
      <c r="K481" s="3"/>
      <c r="L481" s="3"/>
    </row>
    <row r="482" spans="1:12">
      <c r="A482" s="3"/>
      <c r="B482" s="3"/>
      <c r="C482" s="3"/>
      <c r="D482" s="4"/>
      <c r="E482" s="3"/>
      <c r="F482" s="3"/>
      <c r="G482" s="3"/>
      <c r="H482" s="3"/>
      <c r="I482" s="3"/>
      <c r="J482" s="3"/>
      <c r="K482" s="3"/>
      <c r="L482" s="3"/>
    </row>
    <row r="483" spans="1:12">
      <c r="A483" s="3"/>
      <c r="B483" s="3"/>
      <c r="C483" s="3"/>
      <c r="D483" s="4"/>
      <c r="E483" s="3"/>
      <c r="F483" s="3"/>
      <c r="G483" s="3"/>
      <c r="H483" s="3"/>
      <c r="I483" s="3"/>
      <c r="J483" s="3"/>
      <c r="K483" s="3"/>
      <c r="L483" s="3"/>
    </row>
    <row r="484" spans="1:12">
      <c r="A484" s="3"/>
      <c r="B484" s="3"/>
      <c r="C484" s="3"/>
      <c r="D484" s="4"/>
      <c r="E484" s="3"/>
      <c r="F484" s="3"/>
      <c r="G484" s="3"/>
      <c r="H484" s="3"/>
      <c r="I484" s="3"/>
      <c r="J484" s="3"/>
      <c r="K484" s="3"/>
      <c r="L484" s="3"/>
    </row>
    <row r="485" spans="1:12">
      <c r="A485" s="3"/>
      <c r="B485" s="3"/>
      <c r="C485" s="3"/>
      <c r="D485" s="4"/>
      <c r="E485" s="3"/>
      <c r="F485" s="3"/>
      <c r="G485" s="3"/>
      <c r="H485" s="3"/>
      <c r="I485" s="3"/>
      <c r="J485" s="3"/>
      <c r="K485" s="3"/>
      <c r="L485" s="3"/>
    </row>
    <row r="486" spans="1:12">
      <c r="A486" s="3"/>
      <c r="B486" s="3"/>
      <c r="C486" s="3"/>
      <c r="D486" s="4"/>
      <c r="E486" s="3"/>
      <c r="F486" s="3"/>
      <c r="G486" s="3"/>
      <c r="H486" s="3"/>
      <c r="I486" s="3"/>
      <c r="J486" s="3"/>
      <c r="K486" s="3"/>
      <c r="L486" s="3"/>
    </row>
    <row r="487" spans="1:12">
      <c r="A487" s="3"/>
      <c r="B487" s="3"/>
      <c r="C487" s="3"/>
      <c r="D487" s="4"/>
      <c r="E487" s="3"/>
      <c r="F487" s="3"/>
      <c r="G487" s="3"/>
      <c r="H487" s="3"/>
      <c r="I487" s="3"/>
      <c r="J487" s="3"/>
      <c r="K487" s="3"/>
      <c r="L487" s="3"/>
    </row>
    <row r="488" spans="1:12">
      <c r="A488" s="3"/>
      <c r="B488" s="3"/>
      <c r="C488" s="3"/>
      <c r="D488" s="4"/>
      <c r="E488" s="3"/>
      <c r="F488" s="3"/>
      <c r="G488" s="3"/>
      <c r="H488" s="3"/>
      <c r="I488" s="3"/>
      <c r="J488" s="3"/>
      <c r="K488" s="3"/>
      <c r="L488" s="3"/>
    </row>
    <row r="489" spans="1:12">
      <c r="A489" s="3"/>
      <c r="B489" s="3"/>
      <c r="C489" s="3"/>
      <c r="D489" s="4"/>
      <c r="E489" s="3"/>
      <c r="F489" s="3"/>
      <c r="G489" s="3"/>
      <c r="H489" s="3"/>
      <c r="I489" s="3"/>
      <c r="J489" s="3"/>
      <c r="K489" s="3"/>
      <c r="L489" s="3"/>
    </row>
    <row r="490" spans="1:12">
      <c r="A490" s="3"/>
      <c r="B490" s="3"/>
      <c r="C490" s="3"/>
      <c r="D490" s="4"/>
      <c r="E490" s="3"/>
      <c r="F490" s="3"/>
      <c r="G490" s="3"/>
      <c r="H490" s="3"/>
      <c r="I490" s="3"/>
      <c r="J490" s="3"/>
      <c r="K490" s="3"/>
      <c r="L490" s="3"/>
    </row>
    <row r="491" spans="1:12">
      <c r="A491" s="3"/>
      <c r="B491" s="3"/>
      <c r="C491" s="3"/>
      <c r="D491" s="4"/>
      <c r="E491" s="3"/>
      <c r="F491" s="3"/>
      <c r="G491" s="3"/>
      <c r="H491" s="3"/>
      <c r="I491" s="3"/>
      <c r="J491" s="3"/>
      <c r="K491" s="3"/>
      <c r="L491" s="3"/>
    </row>
    <row r="492" spans="1:12">
      <c r="A492" s="3"/>
      <c r="B492" s="3"/>
      <c r="C492" s="3"/>
      <c r="D492" s="4"/>
      <c r="E492" s="3"/>
      <c r="F492" s="3"/>
      <c r="G492" s="3"/>
      <c r="H492" s="3"/>
      <c r="I492" s="3"/>
      <c r="J492" s="3"/>
      <c r="K492" s="3"/>
      <c r="L492" s="3"/>
    </row>
    <row r="493" spans="1:12">
      <c r="A493" s="3"/>
      <c r="B493" s="3"/>
      <c r="C493" s="3"/>
      <c r="D493" s="4"/>
      <c r="E493" s="3"/>
      <c r="F493" s="3"/>
      <c r="G493" s="3"/>
      <c r="H493" s="3"/>
      <c r="I493" s="3"/>
      <c r="J493" s="3"/>
      <c r="K493" s="3"/>
      <c r="L493" s="3"/>
    </row>
    <row r="494" spans="1:12">
      <c r="A494" s="3"/>
      <c r="B494" s="3"/>
      <c r="C494" s="3"/>
      <c r="D494" s="4"/>
      <c r="E494" s="3"/>
      <c r="F494" s="3"/>
      <c r="G494" s="3"/>
      <c r="H494" s="3"/>
      <c r="I494" s="3"/>
      <c r="J494" s="3"/>
      <c r="K494" s="3"/>
      <c r="L494" s="3"/>
    </row>
    <row r="495" spans="1:12">
      <c r="A495" s="3"/>
      <c r="B495" s="3"/>
      <c r="C495" s="3"/>
      <c r="D495" s="4"/>
      <c r="E495" s="3"/>
      <c r="F495" s="3"/>
      <c r="G495" s="3"/>
      <c r="H495" s="3"/>
      <c r="I495" s="3"/>
      <c r="J495" s="3"/>
      <c r="K495" s="3"/>
      <c r="L495" s="3"/>
    </row>
    <row r="496" spans="1:12">
      <c r="A496" s="3"/>
      <c r="B496" s="3"/>
      <c r="C496" s="3"/>
      <c r="D496" s="4"/>
      <c r="E496" s="3"/>
      <c r="F496" s="3"/>
      <c r="G496" s="3"/>
      <c r="H496" s="3"/>
      <c r="I496" s="3"/>
      <c r="J496" s="3"/>
      <c r="K496" s="3"/>
      <c r="L496" s="3"/>
    </row>
    <row r="497" spans="1:12">
      <c r="A497" s="3"/>
      <c r="B497" s="3"/>
      <c r="C497" s="3"/>
      <c r="D497" s="4"/>
      <c r="E497" s="3"/>
      <c r="F497" s="3"/>
      <c r="G497" s="3"/>
      <c r="H497" s="3"/>
      <c r="I497" s="3"/>
      <c r="J497" s="3"/>
      <c r="K497" s="3"/>
      <c r="L497" s="3"/>
    </row>
    <row r="498" spans="1:12">
      <c r="A498" s="3"/>
      <c r="B498" s="3"/>
      <c r="C498" s="3"/>
      <c r="D498" s="4"/>
      <c r="E498" s="3"/>
      <c r="F498" s="3"/>
      <c r="G498" s="3"/>
      <c r="H498" s="3"/>
      <c r="I498" s="3"/>
      <c r="J498" s="3"/>
      <c r="K498" s="3"/>
      <c r="L498" s="3"/>
    </row>
    <row r="499" spans="1:12">
      <c r="A499" s="3"/>
      <c r="B499" s="3"/>
      <c r="C499" s="3"/>
      <c r="D499" s="4"/>
      <c r="E499" s="3"/>
      <c r="F499" s="3"/>
      <c r="G499" s="3"/>
      <c r="H499" s="3"/>
      <c r="I499" s="3"/>
      <c r="J499" s="3"/>
      <c r="K499" s="3"/>
      <c r="L499" s="3"/>
    </row>
    <row r="500" spans="1:12">
      <c r="A500" s="3"/>
      <c r="B500" s="3"/>
      <c r="C500" s="3"/>
      <c r="D500" s="4"/>
      <c r="E500" s="3"/>
      <c r="F500" s="3"/>
      <c r="G500" s="3"/>
      <c r="H500" s="3"/>
      <c r="I500" s="3"/>
      <c r="J500" s="3"/>
      <c r="K500" s="3"/>
      <c r="L500" s="3"/>
    </row>
    <row r="501" spans="1:12">
      <c r="A501" s="3"/>
      <c r="B501" s="3"/>
      <c r="C501" s="3"/>
      <c r="D501" s="4"/>
      <c r="E501" s="3"/>
      <c r="F501" s="3"/>
      <c r="G501" s="3"/>
      <c r="H501" s="3"/>
      <c r="I501" s="3"/>
      <c r="J501" s="3"/>
      <c r="K501" s="3"/>
      <c r="L501" s="3"/>
    </row>
    <row r="502" spans="1:12">
      <c r="A502" s="3"/>
      <c r="B502" s="3"/>
      <c r="C502" s="3"/>
      <c r="D502" s="4"/>
      <c r="E502" s="3"/>
      <c r="F502" s="3"/>
      <c r="G502" s="3"/>
      <c r="H502" s="3"/>
      <c r="I502" s="3"/>
      <c r="J502" s="3"/>
      <c r="K502" s="3"/>
      <c r="L502" s="3"/>
    </row>
    <row r="503" spans="1:12">
      <c r="A503" s="3"/>
      <c r="B503" s="3"/>
      <c r="C503" s="3"/>
      <c r="D503" s="4"/>
      <c r="E503" s="3"/>
      <c r="F503" s="3"/>
      <c r="G503" s="3"/>
      <c r="H503" s="3"/>
      <c r="I503" s="3"/>
      <c r="J503" s="3"/>
      <c r="K503" s="3"/>
      <c r="L503" s="3"/>
    </row>
    <row r="504" spans="1:12">
      <c r="A504" s="3"/>
      <c r="B504" s="3"/>
      <c r="C504" s="3"/>
      <c r="D504" s="4"/>
      <c r="E504" s="3"/>
      <c r="F504" s="3"/>
      <c r="G504" s="3"/>
      <c r="H504" s="3"/>
      <c r="I504" s="3"/>
      <c r="J504" s="3"/>
      <c r="K504" s="3"/>
      <c r="L504" s="3"/>
    </row>
    <row r="505" spans="1:12">
      <c r="A505" s="3"/>
      <c r="B505" s="3"/>
      <c r="C505" s="3"/>
      <c r="D505" s="4"/>
      <c r="E505" s="3"/>
      <c r="F505" s="3"/>
      <c r="G505" s="3"/>
      <c r="H505" s="3"/>
      <c r="I505" s="3"/>
      <c r="J505" s="3"/>
      <c r="K505" s="3"/>
      <c r="L505" s="3"/>
    </row>
    <row r="506" spans="1:12">
      <c r="A506" s="3"/>
      <c r="B506" s="3"/>
      <c r="C506" s="3"/>
      <c r="D506" s="4"/>
      <c r="E506" s="3"/>
      <c r="F506" s="3"/>
      <c r="G506" s="3"/>
      <c r="H506" s="3"/>
      <c r="I506" s="3"/>
      <c r="J506" s="3"/>
      <c r="K506" s="3"/>
      <c r="L506" s="3"/>
    </row>
    <row r="507" spans="1:12">
      <c r="A507" s="3"/>
      <c r="B507" s="3"/>
      <c r="C507" s="3"/>
      <c r="D507" s="4"/>
      <c r="E507" s="3"/>
      <c r="F507" s="3"/>
      <c r="G507" s="3"/>
      <c r="H507" s="3"/>
      <c r="I507" s="3"/>
      <c r="J507" s="3"/>
      <c r="K507" s="3"/>
      <c r="L507" s="3"/>
    </row>
    <row r="508" spans="1:12">
      <c r="A508" s="3"/>
      <c r="B508" s="3"/>
      <c r="C508" s="3"/>
      <c r="D508" s="4"/>
      <c r="E508" s="3"/>
      <c r="F508" s="3"/>
      <c r="G508" s="3"/>
      <c r="H508" s="3"/>
      <c r="I508" s="3"/>
      <c r="J508" s="3"/>
      <c r="K508" s="3"/>
      <c r="L508" s="3"/>
    </row>
    <row r="509" spans="1:12">
      <c r="A509" s="3"/>
      <c r="B509" s="3"/>
      <c r="C509" s="3"/>
      <c r="D509" s="4"/>
      <c r="E509" s="3"/>
      <c r="F509" s="3"/>
      <c r="G509" s="3"/>
      <c r="H509" s="3"/>
      <c r="I509" s="3"/>
      <c r="J509" s="3"/>
      <c r="K509" s="3"/>
      <c r="L509" s="3"/>
    </row>
    <row r="510" spans="1:12">
      <c r="A510" s="3"/>
      <c r="B510" s="3"/>
      <c r="C510" s="3"/>
      <c r="D510" s="4"/>
      <c r="E510" s="3"/>
      <c r="F510" s="3"/>
      <c r="G510" s="3"/>
      <c r="H510" s="3"/>
      <c r="I510" s="3"/>
      <c r="J510" s="3"/>
      <c r="K510" s="3"/>
      <c r="L510" s="3"/>
    </row>
  </sheetData>
  <mergeCells count="2">
    <mergeCell ref="A2:L2"/>
    <mergeCell ref="A1:L1"/>
  </mergeCells>
  <phoneticPr fontId="5" type="noConversion"/>
  <conditionalFormatting sqref="H5:H407">
    <cfRule type="expression" dxfId="3" priority="1">
      <formula>$H5="INCLUDE"</formula>
    </cfRule>
    <cfRule type="expression" dxfId="2" priority="2">
      <formula>$H5="EXCLUDE"</formula>
    </cfRule>
  </conditionalFormatting>
  <dataValidations count="8">
    <dataValidation type="list" sqref="B365:B510" xr:uid="{00000000-0002-0000-0100-000000000000}">
      <formula1>"A,B-i,B-ii"</formula1>
    </dataValidation>
    <dataValidation type="list" sqref="F365:F510" xr:uid="{00000000-0002-0000-0100-000001000000}">
      <formula1>"Yes,No,Preprint,Unclear"</formula1>
    </dataValidation>
    <dataValidation type="list" allowBlank="1" showErrorMessage="1" errorTitle="Not in the list" error="Use INCLUDE or EXCLUDE." sqref="H5:H407" xr:uid="{00000000-0002-0000-0100-000002000000}">
      <formula1>"INCLUDE,EXCLUDE"</formula1>
    </dataValidation>
    <dataValidation type="list" allowBlank="1" showErrorMessage="1" errorTitle="Not in the list" error="Use one code, E1 to E8. See the Codes tab." sqref="I5:I407" xr:uid="{00000000-0002-0000-0100-000003000000}">
      <formula1>"E1,E2,E3,E4,E5,E6,E7,E8"</formula1>
    </dataValidation>
    <dataValidation type="list" allowBlank="1" errorTitle="Not in the list" sqref="Q5:Q407" xr:uid="{00000000-0002-0000-0100-000005000000}">
      <formula1>"A-evidence,A-outcome,Bi-language,Bi-text,Bi-modality,Bi-zeroshot,Bi-finetuned,Bi-direct,Bi-task,Bii-estimand,Bii-calibration,Bii-adaptation,Bii-othersense"</formula1>
    </dataValidation>
    <dataValidation type="list" allowBlank="1" showErrorMessage="1" errorTitle="Not in the list" error="Y or N; for Strand B-i: FT, ZS or Mixed." sqref="S5:S407" xr:uid="{00000000-0002-0000-0100-000006000000}">
      <formula1>"Y,N,FT,ZS,Mixed"</formula1>
    </dataValidation>
    <dataValidation type="list" allowBlank="1" showErrorMessage="1" errorTitle="Not in the list" error="Y or N." sqref="T5:U407" xr:uid="{00000000-0002-0000-0100-000007000000}">
      <formula1>"Y,N"</formula1>
    </dataValidation>
    <dataValidation type="list" allowBlank="1" showErrorMessage="1" errorTitle="Not in the list" error="Use one of the listed versions." sqref="O5:O268 O270:O406 P269" xr:uid="{00000000-0002-0000-0100-000004000000}">
      <formula1>"Published,Accepted manuscript,Preprint,Thesis,Not retrieved"</formula1>
    </dataValidation>
  </dataValidation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1299</v>
      </c>
    </row>
    <row r="2" spans="1:10" ht="85.5" customHeight="1">
      <c r="A2" t="s">
        <v>1300</v>
      </c>
      <c r="B2" s="2" t="s">
        <v>1301</v>
      </c>
    </row>
    <row r="3" spans="1:10">
      <c r="A3" t="s">
        <v>1302</v>
      </c>
      <c r="B3" t="s">
        <v>1303</v>
      </c>
    </row>
    <row r="4" spans="1:10">
      <c r="A4" t="s">
        <v>1304</v>
      </c>
      <c r="B4">
        <v>1181</v>
      </c>
    </row>
    <row r="6" spans="1:10">
      <c r="A6" t="s">
        <v>87</v>
      </c>
      <c r="B6" t="s">
        <v>1</v>
      </c>
      <c r="C6" t="s">
        <v>88</v>
      </c>
      <c r="D6" t="s">
        <v>89</v>
      </c>
      <c r="E6" t="s">
        <v>90</v>
      </c>
      <c r="F6" t="s">
        <v>1305</v>
      </c>
      <c r="G6" t="s">
        <v>91</v>
      </c>
      <c r="H6" t="s">
        <v>1306</v>
      </c>
      <c r="I6" t="s">
        <v>1307</v>
      </c>
      <c r="J6" t="s">
        <v>1308</v>
      </c>
    </row>
    <row r="7" spans="1:10" ht="409.5" customHeight="1">
      <c r="A7" s="5" t="s">
        <v>558</v>
      </c>
      <c r="B7" s="5" t="s">
        <v>11</v>
      </c>
      <c r="C7" s="3" t="s">
        <v>559</v>
      </c>
      <c r="D7" s="6">
        <v>2024</v>
      </c>
      <c r="E7" s="3" t="s">
        <v>560</v>
      </c>
      <c r="F7" s="3" t="s">
        <v>1309</v>
      </c>
      <c r="G7" s="5" t="s">
        <v>110</v>
      </c>
      <c r="H7" s="5" t="s">
        <v>1310</v>
      </c>
      <c r="I7" s="5"/>
      <c r="J7" s="3"/>
    </row>
    <row r="8" spans="1:10" ht="285" customHeight="1">
      <c r="A8" s="5" t="s">
        <v>213</v>
      </c>
      <c r="B8" s="5" t="s">
        <v>11</v>
      </c>
      <c r="C8" s="3" t="s">
        <v>214</v>
      </c>
      <c r="D8" s="6">
        <v>2025</v>
      </c>
      <c r="E8" s="3" t="s">
        <v>215</v>
      </c>
      <c r="F8" s="3" t="s">
        <v>1311</v>
      </c>
      <c r="G8" s="5" t="s">
        <v>115</v>
      </c>
      <c r="H8" s="5" t="s">
        <v>1312</v>
      </c>
      <c r="I8" s="5"/>
      <c r="J8" s="3"/>
    </row>
    <row r="9" spans="1:10" ht="185.25" customHeight="1">
      <c r="A9" s="5" t="s">
        <v>762</v>
      </c>
      <c r="B9" s="5" t="s">
        <v>11</v>
      </c>
      <c r="C9" s="3" t="s">
        <v>763</v>
      </c>
      <c r="D9" s="6">
        <v>2024</v>
      </c>
      <c r="E9" s="3" t="s">
        <v>764</v>
      </c>
      <c r="F9" s="3" t="s">
        <v>1313</v>
      </c>
      <c r="G9" s="5" t="s">
        <v>115</v>
      </c>
      <c r="H9" s="5" t="s">
        <v>1314</v>
      </c>
      <c r="I9" s="5"/>
      <c r="J9" s="3"/>
    </row>
    <row r="10" spans="1:10" ht="142.5" customHeight="1">
      <c r="A10" s="5" t="s">
        <v>1315</v>
      </c>
      <c r="B10" s="5" t="s">
        <v>11</v>
      </c>
      <c r="C10" s="3" t="s">
        <v>1316</v>
      </c>
      <c r="D10" s="6">
        <v>2022</v>
      </c>
      <c r="E10" s="3" t="s">
        <v>1317</v>
      </c>
      <c r="F10" s="3" t="s">
        <v>1318</v>
      </c>
      <c r="G10" s="5" t="s">
        <v>115</v>
      </c>
      <c r="H10" s="5" t="s">
        <v>1319</v>
      </c>
      <c r="I10" s="5"/>
      <c r="J10" s="3"/>
    </row>
    <row r="11" spans="1:10" ht="228" customHeight="1">
      <c r="A11" s="5" t="s">
        <v>1320</v>
      </c>
      <c r="B11" s="5" t="s">
        <v>11</v>
      </c>
      <c r="C11" s="3" t="s">
        <v>1321</v>
      </c>
      <c r="D11" s="6">
        <v>2024</v>
      </c>
      <c r="E11" s="3" t="s">
        <v>1322</v>
      </c>
      <c r="F11" s="3" t="s">
        <v>1323</v>
      </c>
      <c r="G11" s="5" t="s">
        <v>115</v>
      </c>
      <c r="H11" s="5" t="s">
        <v>1324</v>
      </c>
      <c r="I11" s="5"/>
      <c r="J11" s="3"/>
    </row>
    <row r="12" spans="1:10" ht="171" customHeight="1">
      <c r="A12" s="5" t="s">
        <v>567</v>
      </c>
      <c r="B12" s="5" t="s">
        <v>11</v>
      </c>
      <c r="C12" s="3" t="s">
        <v>568</v>
      </c>
      <c r="D12" s="6">
        <v>2016</v>
      </c>
      <c r="E12" s="3" t="s">
        <v>569</v>
      </c>
      <c r="F12" s="3" t="s">
        <v>1325</v>
      </c>
      <c r="G12" s="5" t="s">
        <v>115</v>
      </c>
      <c r="H12" s="5" t="s">
        <v>1326</v>
      </c>
      <c r="I12" s="5"/>
      <c r="J12" s="3"/>
    </row>
    <row r="13" spans="1:10" ht="327.75" customHeight="1">
      <c r="A13" s="5" t="s">
        <v>579</v>
      </c>
      <c r="B13" s="5" t="s">
        <v>11</v>
      </c>
      <c r="C13" s="3" t="s">
        <v>580</v>
      </c>
      <c r="D13" s="6">
        <v>2019</v>
      </c>
      <c r="E13" s="3" t="s">
        <v>581</v>
      </c>
      <c r="F13" s="3" t="s">
        <v>1327</v>
      </c>
      <c r="G13" s="5" t="s">
        <v>115</v>
      </c>
      <c r="H13" s="5" t="s">
        <v>1328</v>
      </c>
      <c r="I13" s="5"/>
      <c r="J13" s="3"/>
    </row>
    <row r="14" spans="1:10" ht="185.25" customHeight="1">
      <c r="A14" s="5" t="s">
        <v>469</v>
      </c>
      <c r="B14" s="5" t="s">
        <v>11</v>
      </c>
      <c r="C14" s="3" t="s">
        <v>470</v>
      </c>
      <c r="D14" s="6">
        <v>2022</v>
      </c>
      <c r="E14" s="3" t="s">
        <v>471</v>
      </c>
      <c r="F14" s="3" t="s">
        <v>1329</v>
      </c>
      <c r="G14" s="5" t="s">
        <v>115</v>
      </c>
      <c r="H14" s="5" t="s">
        <v>1330</v>
      </c>
      <c r="I14" s="5"/>
      <c r="J14" s="3"/>
    </row>
    <row r="15" spans="1:10" ht="256.5" customHeight="1">
      <c r="A15" s="5" t="s">
        <v>570</v>
      </c>
      <c r="B15" s="5" t="s">
        <v>11</v>
      </c>
      <c r="C15" s="3" t="s">
        <v>571</v>
      </c>
      <c r="D15" s="6">
        <v>2024</v>
      </c>
      <c r="E15" s="3" t="s">
        <v>572</v>
      </c>
      <c r="F15" s="3" t="s">
        <v>1331</v>
      </c>
      <c r="G15" s="5" t="s">
        <v>115</v>
      </c>
      <c r="H15" s="5" t="s">
        <v>1332</v>
      </c>
      <c r="I15" s="5"/>
      <c r="J15" s="3"/>
    </row>
    <row r="16" spans="1:10" ht="185.25" customHeight="1">
      <c r="A16" s="5" t="s">
        <v>1333</v>
      </c>
      <c r="B16" s="5" t="s">
        <v>11</v>
      </c>
      <c r="C16" s="3" t="s">
        <v>1334</v>
      </c>
      <c r="D16" s="6">
        <v>2025</v>
      </c>
      <c r="E16" s="3" t="s">
        <v>1335</v>
      </c>
      <c r="F16" s="3" t="s">
        <v>1336</v>
      </c>
      <c r="G16" s="5" t="s">
        <v>115</v>
      </c>
      <c r="H16" s="5" t="s">
        <v>1337</v>
      </c>
      <c r="I16" s="5"/>
      <c r="J16" s="3"/>
    </row>
    <row r="17" spans="1:10" ht="256.5" customHeight="1">
      <c r="A17" s="5" t="s">
        <v>1338</v>
      </c>
      <c r="B17" s="5" t="s">
        <v>11</v>
      </c>
      <c r="C17" s="3" t="s">
        <v>1339</v>
      </c>
      <c r="D17" s="6">
        <v>2022</v>
      </c>
      <c r="E17" s="3" t="s">
        <v>1340</v>
      </c>
      <c r="F17" s="3" t="s">
        <v>1341</v>
      </c>
      <c r="G17" s="5" t="s">
        <v>115</v>
      </c>
      <c r="H17" s="5" t="s">
        <v>1342</v>
      </c>
      <c r="I17" s="5"/>
      <c r="J17" s="3"/>
    </row>
    <row r="18" spans="1:10" ht="185.25" customHeight="1">
      <c r="A18" s="5" t="s">
        <v>411</v>
      </c>
      <c r="B18" s="5" t="s">
        <v>11</v>
      </c>
      <c r="C18" s="3" t="s">
        <v>412</v>
      </c>
      <c r="D18" s="6">
        <v>2017</v>
      </c>
      <c r="E18" s="3" t="s">
        <v>413</v>
      </c>
      <c r="F18" s="3" t="s">
        <v>1343</v>
      </c>
      <c r="G18" s="5" t="s">
        <v>115</v>
      </c>
      <c r="H18" s="5" t="s">
        <v>1344</v>
      </c>
      <c r="I18" s="5"/>
      <c r="J18" s="3"/>
    </row>
    <row r="19" spans="1:10" ht="270.75" customHeight="1">
      <c r="A19" s="5" t="s">
        <v>1345</v>
      </c>
      <c r="B19" s="5" t="s">
        <v>11</v>
      </c>
      <c r="C19" s="3" t="s">
        <v>1346</v>
      </c>
      <c r="D19" s="6">
        <v>2024</v>
      </c>
      <c r="E19" s="3" t="s">
        <v>1347</v>
      </c>
      <c r="F19" s="3" t="s">
        <v>1348</v>
      </c>
      <c r="G19" s="5" t="s">
        <v>110</v>
      </c>
      <c r="H19" s="5" t="s">
        <v>1349</v>
      </c>
      <c r="I19" s="5"/>
      <c r="J19" s="3"/>
    </row>
    <row r="20" spans="1:10" ht="213.75" customHeight="1">
      <c r="A20" s="5" t="s">
        <v>1350</v>
      </c>
      <c r="B20" s="5" t="s">
        <v>11</v>
      </c>
      <c r="C20" s="3" t="s">
        <v>1351</v>
      </c>
      <c r="D20" s="6">
        <v>2018</v>
      </c>
      <c r="E20" s="3" t="s">
        <v>1352</v>
      </c>
      <c r="F20" s="3" t="s">
        <v>1353</v>
      </c>
      <c r="G20" s="5" t="s">
        <v>115</v>
      </c>
      <c r="H20" s="5" t="s">
        <v>1354</v>
      </c>
      <c r="I20" s="5"/>
      <c r="J20" s="3"/>
    </row>
    <row r="21" spans="1:10" ht="285" customHeight="1">
      <c r="A21" s="5" t="s">
        <v>505</v>
      </c>
      <c r="B21" s="5" t="s">
        <v>11</v>
      </c>
      <c r="C21" s="3" t="s">
        <v>506</v>
      </c>
      <c r="D21" s="6">
        <v>2018</v>
      </c>
      <c r="E21" s="3" t="s">
        <v>507</v>
      </c>
      <c r="F21" s="3" t="s">
        <v>1355</v>
      </c>
      <c r="G21" s="5" t="s">
        <v>115</v>
      </c>
      <c r="H21" s="5" t="s">
        <v>1356</v>
      </c>
      <c r="I21" s="5"/>
      <c r="J21" s="3"/>
    </row>
    <row r="22" spans="1:10" ht="228" customHeight="1">
      <c r="A22" s="5" t="s">
        <v>228</v>
      </c>
      <c r="B22" s="5" t="s">
        <v>11</v>
      </c>
      <c r="C22" s="3" t="s">
        <v>229</v>
      </c>
      <c r="D22" s="6">
        <v>2020</v>
      </c>
      <c r="E22" s="3" t="s">
        <v>230</v>
      </c>
      <c r="F22" s="3" t="s">
        <v>1357</v>
      </c>
      <c r="G22" s="5" t="s">
        <v>115</v>
      </c>
      <c r="H22" s="5" t="s">
        <v>1358</v>
      </c>
      <c r="I22" s="5"/>
      <c r="J22" s="3"/>
    </row>
    <row r="23" spans="1:10" ht="285" customHeight="1">
      <c r="A23" s="5" t="s">
        <v>317</v>
      </c>
      <c r="B23" s="5" t="s">
        <v>11</v>
      </c>
      <c r="C23" s="3" t="s">
        <v>318</v>
      </c>
      <c r="D23" s="6">
        <v>2024</v>
      </c>
      <c r="E23" s="3" t="s">
        <v>319</v>
      </c>
      <c r="F23" s="3" t="s">
        <v>1359</v>
      </c>
      <c r="G23" s="5" t="s">
        <v>115</v>
      </c>
      <c r="H23" s="5" t="s">
        <v>1360</v>
      </c>
      <c r="I23" s="5"/>
      <c r="J23" s="3"/>
    </row>
    <row r="24" spans="1:10" ht="171" customHeight="1">
      <c r="A24" s="5" t="s">
        <v>1361</v>
      </c>
      <c r="B24" s="5" t="s">
        <v>11</v>
      </c>
      <c r="C24" s="3" t="s">
        <v>1362</v>
      </c>
      <c r="D24" s="6">
        <v>2019</v>
      </c>
      <c r="E24" s="3" t="s">
        <v>1363</v>
      </c>
      <c r="F24" s="3" t="s">
        <v>1364</v>
      </c>
      <c r="G24" s="5" t="s">
        <v>115</v>
      </c>
      <c r="H24" s="5" t="s">
        <v>1365</v>
      </c>
      <c r="I24" s="5"/>
      <c r="J24" s="3"/>
    </row>
    <row r="25" spans="1:10" ht="399" customHeight="1">
      <c r="A25" s="5" t="s">
        <v>236</v>
      </c>
      <c r="B25" s="5" t="s">
        <v>11</v>
      </c>
      <c r="C25" s="3" t="s">
        <v>237</v>
      </c>
      <c r="D25" s="6">
        <v>2023</v>
      </c>
      <c r="E25" s="3" t="s">
        <v>238</v>
      </c>
      <c r="F25" s="3" t="s">
        <v>1366</v>
      </c>
      <c r="G25" s="5" t="s">
        <v>115</v>
      </c>
      <c r="H25" s="5" t="s">
        <v>1367</v>
      </c>
      <c r="I25" s="5"/>
      <c r="J25" s="3"/>
    </row>
    <row r="26" spans="1:10" ht="242.25" customHeight="1">
      <c r="A26" s="5" t="s">
        <v>532</v>
      </c>
      <c r="B26" s="5" t="s">
        <v>11</v>
      </c>
      <c r="C26" s="3" t="s">
        <v>533</v>
      </c>
      <c r="D26" s="6">
        <v>2025</v>
      </c>
      <c r="E26" s="3" t="s">
        <v>534</v>
      </c>
      <c r="F26" s="3" t="s">
        <v>1368</v>
      </c>
      <c r="G26" s="5" t="s">
        <v>115</v>
      </c>
      <c r="H26" s="5" t="s">
        <v>1369</v>
      </c>
      <c r="I26" s="5"/>
      <c r="J26" s="3"/>
    </row>
    <row r="27" spans="1:10" ht="228" customHeight="1">
      <c r="A27" s="5" t="s">
        <v>481</v>
      </c>
      <c r="B27" s="5" t="s">
        <v>11</v>
      </c>
      <c r="C27" s="3" t="s">
        <v>482</v>
      </c>
      <c r="D27" s="6">
        <v>2025</v>
      </c>
      <c r="E27" s="3" t="s">
        <v>483</v>
      </c>
      <c r="F27" s="3" t="s">
        <v>1370</v>
      </c>
      <c r="G27" s="5" t="s">
        <v>115</v>
      </c>
      <c r="H27" s="5" t="s">
        <v>1371</v>
      </c>
      <c r="I27" s="5"/>
      <c r="J27" s="3"/>
    </row>
    <row r="28" spans="1:10" ht="242.25" customHeight="1">
      <c r="A28" s="5" t="s">
        <v>1372</v>
      </c>
      <c r="B28" s="5" t="s">
        <v>11</v>
      </c>
      <c r="C28" s="3" t="s">
        <v>1373</v>
      </c>
      <c r="D28" s="6">
        <v>2022</v>
      </c>
      <c r="E28" s="3" t="s">
        <v>1374</v>
      </c>
      <c r="F28" s="3" t="s">
        <v>1375</v>
      </c>
      <c r="G28" s="5" t="s">
        <v>115</v>
      </c>
      <c r="H28" s="5" t="s">
        <v>1376</v>
      </c>
      <c r="I28" s="5"/>
      <c r="J28" s="3"/>
    </row>
    <row r="29" spans="1:10" ht="313.5" customHeight="1">
      <c r="A29" s="5" t="s">
        <v>1377</v>
      </c>
      <c r="B29" s="5" t="s">
        <v>11</v>
      </c>
      <c r="C29" s="3" t="s">
        <v>1378</v>
      </c>
      <c r="D29" s="6">
        <v>2025</v>
      </c>
      <c r="E29" s="3" t="s">
        <v>1379</v>
      </c>
      <c r="F29" s="3" t="s">
        <v>1380</v>
      </c>
      <c r="G29" s="5" t="s">
        <v>115</v>
      </c>
      <c r="H29" s="5" t="s">
        <v>1381</v>
      </c>
      <c r="I29" s="5"/>
      <c r="J29" s="3"/>
    </row>
    <row r="30" spans="1:10" ht="142.5" customHeight="1">
      <c r="A30" s="5" t="s">
        <v>1382</v>
      </c>
      <c r="B30" s="5" t="s">
        <v>11</v>
      </c>
      <c r="C30" s="3" t="s">
        <v>1383</v>
      </c>
      <c r="D30" s="6">
        <v>2024</v>
      </c>
      <c r="E30" s="3" t="s">
        <v>1384</v>
      </c>
      <c r="F30" s="3" t="s">
        <v>1385</v>
      </c>
      <c r="G30" s="5" t="s">
        <v>115</v>
      </c>
      <c r="H30" s="5" t="s">
        <v>1386</v>
      </c>
      <c r="I30" s="5"/>
      <c r="J30" s="3"/>
    </row>
    <row r="31" spans="1:10" ht="71.25" customHeight="1">
      <c r="A31" s="5" t="s">
        <v>1387</v>
      </c>
      <c r="B31" s="5" t="s">
        <v>11</v>
      </c>
      <c r="C31" s="3" t="s">
        <v>1388</v>
      </c>
      <c r="D31" s="6">
        <v>2024</v>
      </c>
      <c r="E31" s="3" t="s">
        <v>1389</v>
      </c>
      <c r="F31" s="3" t="s">
        <v>1390</v>
      </c>
      <c r="G31" s="5" t="s">
        <v>115</v>
      </c>
      <c r="H31" s="5" t="s">
        <v>1391</v>
      </c>
      <c r="I31" s="5"/>
      <c r="J31" s="3"/>
    </row>
    <row r="32" spans="1:10" ht="313.5" customHeight="1">
      <c r="A32" s="5" t="s">
        <v>1392</v>
      </c>
      <c r="B32" s="5" t="s">
        <v>11</v>
      </c>
      <c r="C32" s="3" t="s">
        <v>1393</v>
      </c>
      <c r="D32" s="6">
        <v>2022</v>
      </c>
      <c r="E32" s="3" t="s">
        <v>1394</v>
      </c>
      <c r="F32" s="3" t="s">
        <v>1395</v>
      </c>
      <c r="G32" s="5" t="s">
        <v>110</v>
      </c>
      <c r="H32" s="5" t="s">
        <v>1396</v>
      </c>
      <c r="I32" s="5"/>
      <c r="J32" s="3"/>
    </row>
    <row r="33" spans="1:10" ht="228" customHeight="1">
      <c r="A33" s="5" t="s">
        <v>126</v>
      </c>
      <c r="B33" s="5" t="s">
        <v>11</v>
      </c>
      <c r="C33" s="3" t="s">
        <v>127</v>
      </c>
      <c r="D33" s="6">
        <v>2021</v>
      </c>
      <c r="E33" s="3" t="s">
        <v>128</v>
      </c>
      <c r="F33" s="3" t="s">
        <v>1397</v>
      </c>
      <c r="G33" s="5" t="s">
        <v>115</v>
      </c>
      <c r="H33" s="5" t="s">
        <v>1398</v>
      </c>
      <c r="I33" s="5"/>
      <c r="J33" s="3"/>
    </row>
    <row r="34" spans="1:10" ht="185.25" customHeight="1">
      <c r="A34" s="5" t="s">
        <v>1399</v>
      </c>
      <c r="B34" s="5" t="s">
        <v>11</v>
      </c>
      <c r="C34" s="3" t="s">
        <v>1400</v>
      </c>
      <c r="D34" s="6">
        <v>2021</v>
      </c>
      <c r="E34" s="3" t="s">
        <v>1401</v>
      </c>
      <c r="F34" s="3" t="s">
        <v>1402</v>
      </c>
      <c r="G34" s="5" t="s">
        <v>115</v>
      </c>
      <c r="H34" s="5" t="s">
        <v>1403</v>
      </c>
      <c r="I34" s="5"/>
      <c r="J34" s="3"/>
    </row>
    <row r="35" spans="1:10" ht="342" customHeight="1">
      <c r="A35" s="5" t="s">
        <v>1404</v>
      </c>
      <c r="B35" s="5" t="s">
        <v>11</v>
      </c>
      <c r="C35" s="3" t="s">
        <v>1405</v>
      </c>
      <c r="D35" s="6">
        <v>2022</v>
      </c>
      <c r="E35" s="3" t="s">
        <v>1406</v>
      </c>
      <c r="F35" s="3" t="s">
        <v>1407</v>
      </c>
      <c r="G35" s="5" t="s">
        <v>110</v>
      </c>
      <c r="H35" s="5" t="s">
        <v>1408</v>
      </c>
      <c r="I35" s="5"/>
      <c r="J35" s="3"/>
    </row>
    <row r="36" spans="1:10" ht="256.5" customHeight="1">
      <c r="A36" s="5" t="s">
        <v>549</v>
      </c>
      <c r="B36" s="5" t="s">
        <v>11</v>
      </c>
      <c r="C36" s="3" t="s">
        <v>550</v>
      </c>
      <c r="D36" s="6">
        <v>2024</v>
      </c>
      <c r="E36" s="3" t="s">
        <v>551</v>
      </c>
      <c r="F36" s="3" t="s">
        <v>1409</v>
      </c>
      <c r="G36" s="5" t="s">
        <v>115</v>
      </c>
      <c r="H36" s="5" t="s">
        <v>1410</v>
      </c>
      <c r="I36" s="5"/>
      <c r="J36" s="3"/>
    </row>
    <row r="37" spans="1:10" ht="171" customHeight="1">
      <c r="A37" s="5" t="s">
        <v>1411</v>
      </c>
      <c r="B37" s="5" t="s">
        <v>11</v>
      </c>
      <c r="C37" s="3" t="s">
        <v>1412</v>
      </c>
      <c r="D37" s="6">
        <v>2025</v>
      </c>
      <c r="E37" s="3" t="s">
        <v>1413</v>
      </c>
      <c r="F37" s="3" t="s">
        <v>1414</v>
      </c>
      <c r="G37" s="5" t="s">
        <v>115</v>
      </c>
      <c r="H37" s="5" t="s">
        <v>1415</v>
      </c>
      <c r="I37" s="5"/>
      <c r="J37" s="3"/>
    </row>
    <row r="38" spans="1:10" ht="285" customHeight="1">
      <c r="A38" s="5" t="s">
        <v>287</v>
      </c>
      <c r="B38" s="5" t="s">
        <v>11</v>
      </c>
      <c r="C38" s="3" t="s">
        <v>288</v>
      </c>
      <c r="D38" s="6">
        <v>2020</v>
      </c>
      <c r="E38" s="3" t="s">
        <v>289</v>
      </c>
      <c r="F38" s="3" t="s">
        <v>1416</v>
      </c>
      <c r="G38" s="5" t="s">
        <v>110</v>
      </c>
      <c r="H38" s="5" t="s">
        <v>1417</v>
      </c>
      <c r="I38" s="5"/>
      <c r="J38" s="3"/>
    </row>
    <row r="39" spans="1:10" ht="342" customHeight="1">
      <c r="A39" s="5" t="s">
        <v>606</v>
      </c>
      <c r="B39" s="5" t="s">
        <v>11</v>
      </c>
      <c r="C39" s="3" t="s">
        <v>607</v>
      </c>
      <c r="D39" s="6">
        <v>2024</v>
      </c>
      <c r="E39" s="3" t="s">
        <v>608</v>
      </c>
      <c r="F39" s="3" t="s">
        <v>1418</v>
      </c>
      <c r="G39" s="5" t="s">
        <v>115</v>
      </c>
      <c r="H39" s="5" t="s">
        <v>1419</v>
      </c>
      <c r="I39" s="5"/>
      <c r="J39" s="3"/>
    </row>
    <row r="40" spans="1:10" ht="270.75" customHeight="1">
      <c r="A40" s="5" t="s">
        <v>1420</v>
      </c>
      <c r="B40" s="5" t="s">
        <v>11</v>
      </c>
      <c r="C40" s="3" t="s">
        <v>1421</v>
      </c>
      <c r="D40" s="6">
        <v>2023</v>
      </c>
      <c r="E40" s="3" t="s">
        <v>1422</v>
      </c>
      <c r="F40" s="3" t="s">
        <v>1423</v>
      </c>
      <c r="G40" s="5" t="s">
        <v>115</v>
      </c>
      <c r="H40" s="5" t="s">
        <v>1424</v>
      </c>
      <c r="I40" s="5"/>
      <c r="J40" s="3"/>
    </row>
    <row r="41" spans="1:10" ht="270.75" customHeight="1">
      <c r="A41" s="5" t="s">
        <v>520</v>
      </c>
      <c r="B41" s="5" t="s">
        <v>11</v>
      </c>
      <c r="C41" s="3" t="s">
        <v>521</v>
      </c>
      <c r="D41" s="6">
        <v>2022</v>
      </c>
      <c r="E41" s="3" t="s">
        <v>522</v>
      </c>
      <c r="F41" s="3" t="s">
        <v>1425</v>
      </c>
      <c r="G41" s="5" t="s">
        <v>115</v>
      </c>
      <c r="H41" s="5" t="s">
        <v>1426</v>
      </c>
      <c r="I41" s="5"/>
      <c r="J41" s="3"/>
    </row>
    <row r="42" spans="1:10" ht="256.5" customHeight="1">
      <c r="A42" s="5" t="s">
        <v>617</v>
      </c>
      <c r="B42" s="5" t="s">
        <v>11</v>
      </c>
      <c r="C42" s="3" t="s">
        <v>618</v>
      </c>
      <c r="D42" s="6">
        <v>2020</v>
      </c>
      <c r="E42" s="3" t="s">
        <v>619</v>
      </c>
      <c r="F42" s="3" t="s">
        <v>1427</v>
      </c>
      <c r="G42" s="5" t="s">
        <v>115</v>
      </c>
      <c r="H42" s="5" t="s">
        <v>1428</v>
      </c>
      <c r="I42" s="5"/>
      <c r="J42" s="3"/>
    </row>
    <row r="43" spans="1:10" ht="185.25" customHeight="1">
      <c r="A43" s="5" t="s">
        <v>1429</v>
      </c>
      <c r="B43" s="5" t="s">
        <v>11</v>
      </c>
      <c r="C43" s="3" t="s">
        <v>1430</v>
      </c>
      <c r="D43" s="6">
        <v>2024</v>
      </c>
      <c r="E43" s="3" t="s">
        <v>1431</v>
      </c>
      <c r="F43" s="3" t="s">
        <v>1432</v>
      </c>
      <c r="G43" s="5" t="s">
        <v>115</v>
      </c>
      <c r="H43" s="5" t="s">
        <v>1433</v>
      </c>
      <c r="I43" s="5"/>
      <c r="J43" s="3"/>
    </row>
    <row r="44" spans="1:10" ht="313.5" customHeight="1">
      <c r="A44" s="5" t="s">
        <v>231</v>
      </c>
      <c r="B44" s="5" t="s">
        <v>11</v>
      </c>
      <c r="C44" s="3" t="s">
        <v>232</v>
      </c>
      <c r="D44" s="6">
        <v>2022</v>
      </c>
      <c r="E44" s="3" t="s">
        <v>233</v>
      </c>
      <c r="F44" s="3" t="s">
        <v>1434</v>
      </c>
      <c r="G44" s="5" t="s">
        <v>115</v>
      </c>
      <c r="H44" s="5" t="s">
        <v>1435</v>
      </c>
      <c r="I44" s="5"/>
      <c r="J44" s="3"/>
    </row>
    <row r="45" spans="1:10" ht="327.75" customHeight="1">
      <c r="A45" s="5" t="s">
        <v>138</v>
      </c>
      <c r="B45" s="5" t="s">
        <v>11</v>
      </c>
      <c r="C45" s="3" t="s">
        <v>139</v>
      </c>
      <c r="D45" s="6">
        <v>2023</v>
      </c>
      <c r="E45" s="3" t="s">
        <v>140</v>
      </c>
      <c r="F45" s="3" t="s">
        <v>1436</v>
      </c>
      <c r="G45" s="5" t="s">
        <v>115</v>
      </c>
      <c r="H45" s="5" t="s">
        <v>1437</v>
      </c>
      <c r="I45" s="5"/>
      <c r="J45" s="3"/>
    </row>
    <row r="46" spans="1:10" ht="228" customHeight="1">
      <c r="A46" s="5" t="s">
        <v>1438</v>
      </c>
      <c r="B46" s="5" t="s">
        <v>11</v>
      </c>
      <c r="C46" s="3" t="s">
        <v>1439</v>
      </c>
      <c r="D46" s="6">
        <v>2023</v>
      </c>
      <c r="E46" s="3" t="s">
        <v>1440</v>
      </c>
      <c r="F46" s="3" t="s">
        <v>1441</v>
      </c>
      <c r="G46" s="5" t="s">
        <v>115</v>
      </c>
      <c r="H46" s="5" t="s">
        <v>1442</v>
      </c>
      <c r="I46" s="5"/>
      <c r="J46" s="3"/>
    </row>
    <row r="47" spans="1:10" ht="213.75" customHeight="1">
      <c r="A47" s="5" t="s">
        <v>1443</v>
      </c>
      <c r="B47" s="5" t="s">
        <v>11</v>
      </c>
      <c r="C47" s="3" t="s">
        <v>1444</v>
      </c>
      <c r="D47" s="6">
        <v>2023</v>
      </c>
      <c r="E47" s="3" t="s">
        <v>1445</v>
      </c>
      <c r="F47" s="3" t="s">
        <v>1446</v>
      </c>
      <c r="G47" s="5" t="s">
        <v>115</v>
      </c>
      <c r="H47" s="5" t="s">
        <v>1447</v>
      </c>
      <c r="I47" s="5"/>
      <c r="J47" s="3"/>
    </row>
    <row r="48" spans="1:10" ht="327.75" customHeight="1">
      <c r="A48" s="5" t="s">
        <v>1448</v>
      </c>
      <c r="B48" s="5" t="s">
        <v>11</v>
      </c>
      <c r="C48" s="3" t="s">
        <v>1449</v>
      </c>
      <c r="D48" s="6">
        <v>2024</v>
      </c>
      <c r="E48" s="3" t="s">
        <v>1450</v>
      </c>
      <c r="F48" s="3" t="s">
        <v>1451</v>
      </c>
      <c r="G48" s="5" t="s">
        <v>115</v>
      </c>
      <c r="H48" s="5" t="s">
        <v>1452</v>
      </c>
      <c r="I48" s="5"/>
      <c r="J48" s="3"/>
    </row>
    <row r="49" spans="1:10" ht="327.75" customHeight="1">
      <c r="A49" s="5" t="s">
        <v>437</v>
      </c>
      <c r="B49" s="5" t="s">
        <v>11</v>
      </c>
      <c r="C49" s="3" t="s">
        <v>438</v>
      </c>
      <c r="D49" s="6">
        <v>2023</v>
      </c>
      <c r="E49" s="3" t="s">
        <v>439</v>
      </c>
      <c r="F49" s="3" t="s">
        <v>1453</v>
      </c>
      <c r="G49" s="5" t="s">
        <v>115</v>
      </c>
      <c r="H49" s="5" t="s">
        <v>1454</v>
      </c>
      <c r="I49" s="5"/>
      <c r="J49" s="3"/>
    </row>
    <row r="50" spans="1:10" ht="313.5" customHeight="1">
      <c r="A50" s="5" t="s">
        <v>370</v>
      </c>
      <c r="B50" s="5" t="s">
        <v>11</v>
      </c>
      <c r="C50" s="3" t="s">
        <v>371</v>
      </c>
      <c r="D50" s="6">
        <v>2021</v>
      </c>
      <c r="E50" s="3" t="s">
        <v>372</v>
      </c>
      <c r="F50" s="3" t="s">
        <v>1455</v>
      </c>
      <c r="G50" s="5" t="s">
        <v>115</v>
      </c>
      <c r="H50" s="5" t="s">
        <v>1456</v>
      </c>
      <c r="I50" s="5"/>
      <c r="J50" s="3"/>
    </row>
    <row r="51" spans="1:10" ht="99.75" customHeight="1">
      <c r="A51" s="5" t="s">
        <v>1457</v>
      </c>
      <c r="B51" s="5" t="s">
        <v>11</v>
      </c>
      <c r="C51" s="3" t="s">
        <v>1458</v>
      </c>
      <c r="D51" s="6">
        <v>2018</v>
      </c>
      <c r="E51" s="3" t="s">
        <v>1459</v>
      </c>
      <c r="F51" s="3" t="s">
        <v>1460</v>
      </c>
      <c r="G51" s="5" t="s">
        <v>115</v>
      </c>
      <c r="H51" s="5" t="s">
        <v>1461</v>
      </c>
      <c r="I51" s="5"/>
      <c r="J51" s="3"/>
    </row>
    <row r="52" spans="1:10" ht="256.5" customHeight="1">
      <c r="A52" s="5" t="s">
        <v>1462</v>
      </c>
      <c r="B52" s="5" t="s">
        <v>11</v>
      </c>
      <c r="C52" s="3" t="s">
        <v>1463</v>
      </c>
      <c r="D52" s="6">
        <v>2018</v>
      </c>
      <c r="E52" s="3" t="s">
        <v>1464</v>
      </c>
      <c r="F52" s="3" t="s">
        <v>1465</v>
      </c>
      <c r="G52" s="5" t="s">
        <v>115</v>
      </c>
      <c r="H52" s="5" t="s">
        <v>1466</v>
      </c>
      <c r="I52" s="5"/>
      <c r="J52" s="3"/>
    </row>
    <row r="53" spans="1:10" ht="228" customHeight="1">
      <c r="A53" s="5" t="s">
        <v>337</v>
      </c>
      <c r="B53" s="5" t="s">
        <v>11</v>
      </c>
      <c r="C53" s="3" t="s">
        <v>338</v>
      </c>
      <c r="D53" s="6">
        <v>2024</v>
      </c>
      <c r="E53" s="3" t="s">
        <v>339</v>
      </c>
      <c r="F53" s="3" t="s">
        <v>1467</v>
      </c>
      <c r="G53" s="5" t="s">
        <v>115</v>
      </c>
      <c r="H53" s="5" t="s">
        <v>1468</v>
      </c>
      <c r="I53" s="5"/>
      <c r="J53" s="3"/>
    </row>
    <row r="54" spans="1:10" ht="171" customHeight="1">
      <c r="A54" s="5" t="s">
        <v>552</v>
      </c>
      <c r="B54" s="5" t="s">
        <v>11</v>
      </c>
      <c r="C54" s="3" t="s">
        <v>553</v>
      </c>
      <c r="D54" s="6">
        <v>2017</v>
      </c>
      <c r="E54" s="3" t="s">
        <v>554</v>
      </c>
      <c r="F54" s="3" t="s">
        <v>1469</v>
      </c>
      <c r="G54" s="5" t="s">
        <v>115</v>
      </c>
      <c r="H54" s="5" t="s">
        <v>1470</v>
      </c>
      <c r="I54" s="5"/>
      <c r="J54" s="3"/>
    </row>
    <row r="55" spans="1:10" ht="256.5" customHeight="1">
      <c r="A55" s="5" t="s">
        <v>1471</v>
      </c>
      <c r="B55" s="5" t="s">
        <v>11</v>
      </c>
      <c r="C55" s="3" t="s">
        <v>1472</v>
      </c>
      <c r="D55" s="6">
        <v>2024</v>
      </c>
      <c r="E55" s="3" t="s">
        <v>1473</v>
      </c>
      <c r="F55" s="3" t="s">
        <v>1474</v>
      </c>
      <c r="G55" s="5" t="s">
        <v>115</v>
      </c>
      <c r="H55" s="5" t="s">
        <v>1475</v>
      </c>
      <c r="I55" s="5"/>
      <c r="J55" s="3"/>
    </row>
    <row r="56" spans="1:10" ht="327.75" customHeight="1">
      <c r="A56" s="5" t="s">
        <v>714</v>
      </c>
      <c r="B56" s="5" t="s">
        <v>11</v>
      </c>
      <c r="C56" s="3" t="s">
        <v>715</v>
      </c>
      <c r="D56" s="6">
        <v>2025</v>
      </c>
      <c r="E56" s="3" t="s">
        <v>716</v>
      </c>
      <c r="F56" s="3" t="s">
        <v>1476</v>
      </c>
      <c r="G56" s="5" t="s">
        <v>115</v>
      </c>
      <c r="H56" s="5" t="s">
        <v>1477</v>
      </c>
      <c r="I56" s="5"/>
      <c r="J56" s="3"/>
    </row>
    <row r="57" spans="1:10" ht="185.25" customHeight="1">
      <c r="A57" s="5" t="s">
        <v>1478</v>
      </c>
      <c r="B57" s="5" t="s">
        <v>11</v>
      </c>
      <c r="C57" s="3" t="s">
        <v>1479</v>
      </c>
      <c r="D57" s="6">
        <v>2020</v>
      </c>
      <c r="E57" s="3" t="s">
        <v>1480</v>
      </c>
      <c r="F57" s="3" t="s">
        <v>1481</v>
      </c>
      <c r="G57" s="5" t="s">
        <v>115</v>
      </c>
      <c r="H57" s="5" t="s">
        <v>1482</v>
      </c>
      <c r="I57" s="5"/>
      <c r="J57" s="3"/>
    </row>
    <row r="58" spans="1:10" ht="270.75" customHeight="1">
      <c r="A58" s="5" t="s">
        <v>1483</v>
      </c>
      <c r="B58" s="5" t="s">
        <v>11</v>
      </c>
      <c r="C58" s="3" t="s">
        <v>1484</v>
      </c>
      <c r="D58" s="6">
        <v>2020</v>
      </c>
      <c r="E58" s="3" t="s">
        <v>1485</v>
      </c>
      <c r="F58" s="3" t="s">
        <v>1486</v>
      </c>
      <c r="G58" s="5" t="s">
        <v>115</v>
      </c>
      <c r="H58" s="5" t="s">
        <v>1487</v>
      </c>
      <c r="I58" s="5"/>
      <c r="J58" s="3"/>
    </row>
    <row r="59" spans="1:10" ht="384.75" customHeight="1">
      <c r="A59" s="5" t="s">
        <v>1488</v>
      </c>
      <c r="B59" s="5" t="s">
        <v>11</v>
      </c>
      <c r="C59" s="3" t="s">
        <v>1489</v>
      </c>
      <c r="D59" s="6">
        <v>2025</v>
      </c>
      <c r="E59" s="3" t="s">
        <v>1490</v>
      </c>
      <c r="F59" s="3" t="s">
        <v>1491</v>
      </c>
      <c r="G59" s="5" t="s">
        <v>115</v>
      </c>
      <c r="H59" s="5" t="s">
        <v>1492</v>
      </c>
      <c r="I59" s="5"/>
      <c r="J59" s="3"/>
    </row>
    <row r="60" spans="1:10" ht="270.75" customHeight="1">
      <c r="A60" s="5" t="s">
        <v>260</v>
      </c>
      <c r="B60" s="5" t="s">
        <v>11</v>
      </c>
      <c r="C60" s="3" t="s">
        <v>261</v>
      </c>
      <c r="D60" s="6">
        <v>2025</v>
      </c>
      <c r="E60" s="3" t="s">
        <v>262</v>
      </c>
      <c r="F60" s="3" t="s">
        <v>1493</v>
      </c>
      <c r="G60" s="5" t="s">
        <v>115</v>
      </c>
      <c r="H60" s="5" t="s">
        <v>1494</v>
      </c>
      <c r="I60" s="5"/>
      <c r="J60" s="3"/>
    </row>
    <row r="61" spans="1:10" ht="199.5" customHeight="1">
      <c r="A61" s="5" t="s">
        <v>1495</v>
      </c>
      <c r="B61" s="5" t="s">
        <v>11</v>
      </c>
      <c r="C61" s="3" t="s">
        <v>1496</v>
      </c>
      <c r="D61" s="6">
        <v>2025</v>
      </c>
      <c r="E61" s="3" t="s">
        <v>1497</v>
      </c>
      <c r="F61" s="3" t="s">
        <v>1498</v>
      </c>
      <c r="G61" s="5" t="s">
        <v>115</v>
      </c>
      <c r="H61" s="5" t="s">
        <v>1499</v>
      </c>
      <c r="I61" s="5"/>
      <c r="J61" s="3"/>
    </row>
    <row r="62" spans="1:10" ht="142.5" customHeight="1">
      <c r="A62" s="5" t="s">
        <v>1500</v>
      </c>
      <c r="B62" s="5" t="s">
        <v>11</v>
      </c>
      <c r="C62" s="3" t="s">
        <v>1501</v>
      </c>
      <c r="D62" s="6">
        <v>2024</v>
      </c>
      <c r="E62" s="3" t="s">
        <v>1502</v>
      </c>
      <c r="F62" s="3" t="s">
        <v>1503</v>
      </c>
      <c r="G62" s="5" t="s">
        <v>115</v>
      </c>
      <c r="H62" s="5" t="s">
        <v>1504</v>
      </c>
      <c r="I62" s="5"/>
      <c r="J62" s="3"/>
    </row>
    <row r="63" spans="1:10" ht="327.75" customHeight="1">
      <c r="A63" s="5" t="s">
        <v>1505</v>
      </c>
      <c r="B63" s="5" t="s">
        <v>11</v>
      </c>
      <c r="C63" s="3" t="s">
        <v>1506</v>
      </c>
      <c r="D63" s="6">
        <v>2024</v>
      </c>
      <c r="E63" s="3" t="s">
        <v>1507</v>
      </c>
      <c r="F63" s="3" t="s">
        <v>1508</v>
      </c>
      <c r="G63" s="5" t="s">
        <v>110</v>
      </c>
      <c r="H63" s="5" t="s">
        <v>1509</v>
      </c>
      <c r="I63" s="5"/>
      <c r="J63" s="3"/>
    </row>
    <row r="64" spans="1:10" ht="213.75" customHeight="1">
      <c r="A64" s="5" t="s">
        <v>1510</v>
      </c>
      <c r="B64" s="5" t="s">
        <v>11</v>
      </c>
      <c r="C64" s="3" t="s">
        <v>1511</v>
      </c>
      <c r="D64" s="6">
        <v>2024</v>
      </c>
      <c r="E64" s="3" t="s">
        <v>1512</v>
      </c>
      <c r="F64" s="3" t="s">
        <v>1513</v>
      </c>
      <c r="G64" s="5" t="s">
        <v>115</v>
      </c>
      <c r="H64" s="5" t="s">
        <v>1514</v>
      </c>
      <c r="I64" s="5"/>
      <c r="J64" s="3"/>
    </row>
    <row r="65" spans="1:10" ht="285" customHeight="1">
      <c r="A65" s="5" t="s">
        <v>195</v>
      </c>
      <c r="B65" s="5" t="s">
        <v>11</v>
      </c>
      <c r="C65" s="3" t="s">
        <v>196</v>
      </c>
      <c r="D65" s="6">
        <v>2021</v>
      </c>
      <c r="E65" s="3" t="s">
        <v>197</v>
      </c>
      <c r="F65" s="3" t="s">
        <v>1515</v>
      </c>
      <c r="G65" s="5" t="s">
        <v>115</v>
      </c>
      <c r="H65" s="5" t="s">
        <v>1516</v>
      </c>
      <c r="I65" s="5"/>
      <c r="J65" s="3"/>
    </row>
    <row r="66" spans="1:10" ht="228" customHeight="1">
      <c r="A66" s="5" t="s">
        <v>1517</v>
      </c>
      <c r="B66" s="5" t="s">
        <v>11</v>
      </c>
      <c r="C66" s="3" t="s">
        <v>1518</v>
      </c>
      <c r="D66" s="6">
        <v>2022</v>
      </c>
      <c r="E66" s="3" t="s">
        <v>1519</v>
      </c>
      <c r="F66" s="3" t="s">
        <v>1520</v>
      </c>
      <c r="G66" s="5" t="s">
        <v>110</v>
      </c>
      <c r="H66" s="5" t="s">
        <v>1521</v>
      </c>
      <c r="I66" s="5"/>
      <c r="J66" s="3"/>
    </row>
    <row r="67" spans="1:10" ht="256.5" customHeight="1">
      <c r="A67" s="5" t="s">
        <v>1522</v>
      </c>
      <c r="B67" s="5" t="s">
        <v>11</v>
      </c>
      <c r="C67" s="3" t="s">
        <v>1523</v>
      </c>
      <c r="D67" s="6">
        <v>2024</v>
      </c>
      <c r="E67" s="3" t="s">
        <v>1524</v>
      </c>
      <c r="F67" s="3" t="s">
        <v>1525</v>
      </c>
      <c r="G67" s="5" t="s">
        <v>115</v>
      </c>
      <c r="H67" s="5" t="s">
        <v>1526</v>
      </c>
      <c r="I67" s="5"/>
      <c r="J67" s="3"/>
    </row>
    <row r="68" spans="1:10" ht="228" customHeight="1">
      <c r="A68" s="5" t="s">
        <v>690</v>
      </c>
      <c r="B68" s="5" t="s">
        <v>11</v>
      </c>
      <c r="C68" s="3" t="s">
        <v>691</v>
      </c>
      <c r="D68" s="6">
        <v>2021</v>
      </c>
      <c r="E68" s="3" t="s">
        <v>692</v>
      </c>
      <c r="F68" s="3" t="s">
        <v>1527</v>
      </c>
      <c r="G68" s="5" t="s">
        <v>110</v>
      </c>
      <c r="H68" s="5" t="s">
        <v>1528</v>
      </c>
      <c r="I68" s="5"/>
      <c r="J68" s="3"/>
    </row>
    <row r="69" spans="1:10" ht="213.75" customHeight="1">
      <c r="A69" s="5" t="s">
        <v>1529</v>
      </c>
      <c r="B69" s="5" t="s">
        <v>11</v>
      </c>
      <c r="C69" s="3" t="s">
        <v>1530</v>
      </c>
      <c r="D69" s="6">
        <v>2024</v>
      </c>
      <c r="E69" s="3" t="s">
        <v>1531</v>
      </c>
      <c r="F69" s="3" t="s">
        <v>1532</v>
      </c>
      <c r="G69" s="5" t="s">
        <v>115</v>
      </c>
      <c r="H69" s="5" t="s">
        <v>1533</v>
      </c>
      <c r="I69" s="5"/>
      <c r="J69" s="3"/>
    </row>
    <row r="70" spans="1:10" ht="356.25" customHeight="1">
      <c r="A70" s="5" t="s">
        <v>1534</v>
      </c>
      <c r="B70" s="5" t="s">
        <v>11</v>
      </c>
      <c r="C70" s="3" t="s">
        <v>1535</v>
      </c>
      <c r="D70" s="6">
        <v>2021</v>
      </c>
      <c r="E70" s="3" t="s">
        <v>1536</v>
      </c>
      <c r="F70" s="3" t="s">
        <v>1537</v>
      </c>
      <c r="G70" s="5" t="s">
        <v>110</v>
      </c>
      <c r="H70" s="5" t="s">
        <v>1538</v>
      </c>
      <c r="I70" s="5"/>
      <c r="J70" s="3"/>
    </row>
    <row r="71" spans="1:10" ht="242.25" customHeight="1">
      <c r="A71" s="5" t="s">
        <v>431</v>
      </c>
      <c r="B71" s="5" t="s">
        <v>11</v>
      </c>
      <c r="C71" s="3" t="s">
        <v>432</v>
      </c>
      <c r="D71" s="6">
        <v>2021</v>
      </c>
      <c r="E71" s="3" t="s">
        <v>433</v>
      </c>
      <c r="F71" s="3" t="s">
        <v>1539</v>
      </c>
      <c r="G71" s="5" t="s">
        <v>115</v>
      </c>
      <c r="H71" s="5" t="s">
        <v>1540</v>
      </c>
      <c r="I71" s="5"/>
      <c r="J71" s="3"/>
    </row>
    <row r="72" spans="1:10" ht="299.25" customHeight="1">
      <c r="A72" s="5" t="s">
        <v>637</v>
      </c>
      <c r="B72" s="5" t="s">
        <v>11</v>
      </c>
      <c r="C72" s="3" t="s">
        <v>638</v>
      </c>
      <c r="D72" s="6">
        <v>2024</v>
      </c>
      <c r="E72" s="3" t="s">
        <v>639</v>
      </c>
      <c r="F72" s="3" t="s">
        <v>1541</v>
      </c>
      <c r="G72" s="5" t="s">
        <v>110</v>
      </c>
      <c r="H72" s="5" t="s">
        <v>1542</v>
      </c>
      <c r="I72" s="5"/>
      <c r="J72" s="3"/>
    </row>
    <row r="73" spans="1:10" ht="99.75" customHeight="1">
      <c r="A73" s="5" t="s">
        <v>455</v>
      </c>
      <c r="B73" s="5" t="s">
        <v>11</v>
      </c>
      <c r="C73" s="3" t="s">
        <v>456</v>
      </c>
      <c r="D73" s="6">
        <v>2025</v>
      </c>
      <c r="E73" s="3" t="s">
        <v>457</v>
      </c>
      <c r="F73" s="3" t="s">
        <v>1543</v>
      </c>
      <c r="G73" s="5" t="s">
        <v>115</v>
      </c>
      <c r="H73" s="5" t="s">
        <v>1544</v>
      </c>
      <c r="I73" s="5"/>
      <c r="J73" s="3"/>
    </row>
    <row r="74" spans="1:10" ht="299.25" customHeight="1">
      <c r="A74" s="5" t="s">
        <v>1545</v>
      </c>
      <c r="B74" s="5" t="s">
        <v>11</v>
      </c>
      <c r="C74" s="3" t="s">
        <v>1546</v>
      </c>
      <c r="D74" s="6">
        <v>2025</v>
      </c>
      <c r="E74" s="3" t="s">
        <v>1547</v>
      </c>
      <c r="F74" s="3" t="s">
        <v>1548</v>
      </c>
      <c r="G74" s="5" t="s">
        <v>115</v>
      </c>
      <c r="H74" s="5" t="s">
        <v>1549</v>
      </c>
      <c r="I74" s="5"/>
      <c r="J74" s="3"/>
    </row>
    <row r="75" spans="1:10" ht="313.5" customHeight="1">
      <c r="A75" s="5" t="s">
        <v>1550</v>
      </c>
      <c r="B75" s="5" t="s">
        <v>11</v>
      </c>
      <c r="C75" s="3" t="s">
        <v>1551</v>
      </c>
      <c r="D75" s="6">
        <v>2025</v>
      </c>
      <c r="E75" s="3" t="s">
        <v>1552</v>
      </c>
      <c r="F75" s="3" t="s">
        <v>1553</v>
      </c>
      <c r="G75" s="5" t="s">
        <v>115</v>
      </c>
      <c r="H75" s="5" t="s">
        <v>1554</v>
      </c>
      <c r="I75" s="5"/>
      <c r="J75" s="3"/>
    </row>
    <row r="76" spans="1:10" ht="213.75" customHeight="1">
      <c r="A76" s="5" t="s">
        <v>112</v>
      </c>
      <c r="B76" s="5" t="s">
        <v>11</v>
      </c>
      <c r="C76" s="3" t="s">
        <v>113</v>
      </c>
      <c r="D76" s="6">
        <v>2025</v>
      </c>
      <c r="E76" s="3" t="s">
        <v>114</v>
      </c>
      <c r="F76" s="3" t="s">
        <v>1555</v>
      </c>
      <c r="G76" s="5" t="s">
        <v>115</v>
      </c>
      <c r="H76" s="5" t="s">
        <v>1556</v>
      </c>
      <c r="I76" s="5"/>
      <c r="J76" s="3"/>
    </row>
    <row r="77" spans="1:10" ht="185.25" customHeight="1">
      <c r="A77" s="5" t="s">
        <v>1557</v>
      </c>
      <c r="B77" s="5" t="s">
        <v>11</v>
      </c>
      <c r="C77" s="3" t="s">
        <v>1558</v>
      </c>
      <c r="D77" s="6">
        <v>2022</v>
      </c>
      <c r="E77" s="3" t="s">
        <v>1559</v>
      </c>
      <c r="F77" s="3" t="s">
        <v>1560</v>
      </c>
      <c r="G77" s="5" t="s">
        <v>110</v>
      </c>
      <c r="H77" s="5" t="s">
        <v>1561</v>
      </c>
      <c r="I77" s="5"/>
      <c r="J77" s="3"/>
    </row>
    <row r="78" spans="1:10" ht="213.75" customHeight="1">
      <c r="A78" s="5" t="s">
        <v>1562</v>
      </c>
      <c r="B78" s="5" t="s">
        <v>11</v>
      </c>
      <c r="C78" s="3" t="s">
        <v>1563</v>
      </c>
      <c r="D78" s="6">
        <v>2024</v>
      </c>
      <c r="E78" s="3" t="s">
        <v>1564</v>
      </c>
      <c r="F78" s="3" t="s">
        <v>1565</v>
      </c>
      <c r="G78" s="5" t="s">
        <v>115</v>
      </c>
      <c r="H78" s="5" t="s">
        <v>1566</v>
      </c>
      <c r="I78" s="5"/>
      <c r="J78" s="3"/>
    </row>
    <row r="79" spans="1:10" ht="228" customHeight="1">
      <c r="A79" s="5" t="s">
        <v>1567</v>
      </c>
      <c r="B79" s="5" t="s">
        <v>11</v>
      </c>
      <c r="C79" s="3" t="s">
        <v>1568</v>
      </c>
      <c r="D79" s="6">
        <v>2022</v>
      </c>
      <c r="E79" s="3" t="s">
        <v>1569</v>
      </c>
      <c r="F79" s="3" t="s">
        <v>1570</v>
      </c>
      <c r="G79" s="5" t="s">
        <v>110</v>
      </c>
      <c r="H79" s="5" t="s">
        <v>1571</v>
      </c>
      <c r="I79" s="5"/>
      <c r="J79" s="3"/>
    </row>
    <row r="80" spans="1:10" ht="213.75" customHeight="1">
      <c r="A80" s="5" t="s">
        <v>1572</v>
      </c>
      <c r="B80" s="5" t="s">
        <v>11</v>
      </c>
      <c r="C80" s="3" t="s">
        <v>1573</v>
      </c>
      <c r="D80" s="6">
        <v>2024</v>
      </c>
      <c r="E80" s="3" t="s">
        <v>1574</v>
      </c>
      <c r="F80" s="3" t="s">
        <v>1575</v>
      </c>
      <c r="G80" s="5" t="s">
        <v>115</v>
      </c>
      <c r="H80" s="5" t="s">
        <v>1576</v>
      </c>
      <c r="I80" s="5"/>
      <c r="J80" s="3"/>
    </row>
    <row r="81" spans="1:10" ht="270.75" customHeight="1">
      <c r="A81" s="5" t="s">
        <v>1577</v>
      </c>
      <c r="B81" s="5" t="s">
        <v>11</v>
      </c>
      <c r="C81" s="3" t="s">
        <v>1578</v>
      </c>
      <c r="D81" s="6">
        <v>2024</v>
      </c>
      <c r="E81" s="3" t="s">
        <v>1579</v>
      </c>
      <c r="F81" s="3" t="s">
        <v>1580</v>
      </c>
      <c r="G81" s="5" t="s">
        <v>115</v>
      </c>
      <c r="H81" s="5" t="s">
        <v>1581</v>
      </c>
      <c r="I81" s="5"/>
      <c r="J81" s="3"/>
    </row>
    <row r="82" spans="1:10" ht="313.5" customHeight="1">
      <c r="A82" s="5" t="s">
        <v>1582</v>
      </c>
      <c r="B82" s="5" t="s">
        <v>11</v>
      </c>
      <c r="C82" s="3" t="s">
        <v>1583</v>
      </c>
      <c r="D82" s="6">
        <v>2025</v>
      </c>
      <c r="E82" s="3" t="s">
        <v>1584</v>
      </c>
      <c r="F82" s="3" t="s">
        <v>1585</v>
      </c>
      <c r="G82" s="5" t="s">
        <v>115</v>
      </c>
      <c r="H82" s="5" t="s">
        <v>1586</v>
      </c>
      <c r="I82" s="5"/>
      <c r="J82" s="3"/>
    </row>
    <row r="83" spans="1:10" ht="242.25" customHeight="1">
      <c r="A83" s="5" t="s">
        <v>1587</v>
      </c>
      <c r="B83" s="5" t="s">
        <v>11</v>
      </c>
      <c r="C83" s="3" t="s">
        <v>1588</v>
      </c>
      <c r="D83" s="6">
        <v>2024</v>
      </c>
      <c r="E83" s="3" t="s">
        <v>1589</v>
      </c>
      <c r="F83" s="3" t="s">
        <v>1590</v>
      </c>
      <c r="G83" s="5" t="s">
        <v>115</v>
      </c>
      <c r="H83" s="5" t="s">
        <v>1591</v>
      </c>
      <c r="I83" s="5"/>
      <c r="J83" s="3"/>
    </row>
    <row r="84" spans="1:10" ht="199.5" customHeight="1">
      <c r="A84" s="5" t="s">
        <v>1592</v>
      </c>
      <c r="B84" s="5" t="s">
        <v>11</v>
      </c>
      <c r="C84" s="3" t="s">
        <v>1593</v>
      </c>
      <c r="D84" s="6">
        <v>2022</v>
      </c>
      <c r="E84" s="3" t="s">
        <v>1594</v>
      </c>
      <c r="F84" s="3" t="s">
        <v>1595</v>
      </c>
      <c r="G84" s="5" t="s">
        <v>115</v>
      </c>
      <c r="H84" s="5" t="s">
        <v>1596</v>
      </c>
      <c r="I84" s="5"/>
      <c r="J84" s="3"/>
    </row>
    <row r="85" spans="1:10" ht="199.5" customHeight="1">
      <c r="A85" s="5" t="s">
        <v>681</v>
      </c>
      <c r="B85" s="5" t="s">
        <v>11</v>
      </c>
      <c r="C85" s="3" t="s">
        <v>682</v>
      </c>
      <c r="D85" s="6">
        <v>2022</v>
      </c>
      <c r="E85" s="3" t="s">
        <v>683</v>
      </c>
      <c r="F85" s="3" t="s">
        <v>1597</v>
      </c>
      <c r="G85" s="5" t="s">
        <v>115</v>
      </c>
      <c r="H85" s="5" t="s">
        <v>1598</v>
      </c>
      <c r="I85" s="5"/>
      <c r="J85" s="3"/>
    </row>
    <row r="86" spans="1:10" ht="171" customHeight="1">
      <c r="A86" s="5" t="s">
        <v>466</v>
      </c>
      <c r="B86" s="5" t="s">
        <v>11</v>
      </c>
      <c r="C86" s="3" t="s">
        <v>467</v>
      </c>
      <c r="D86" s="6">
        <v>2021</v>
      </c>
      <c r="E86" s="3" t="s">
        <v>468</v>
      </c>
      <c r="F86" s="3" t="s">
        <v>1599</v>
      </c>
      <c r="G86" s="5" t="s">
        <v>115</v>
      </c>
      <c r="H86" s="5" t="s">
        <v>1600</v>
      </c>
      <c r="I86" s="5"/>
      <c r="J86" s="3"/>
    </row>
    <row r="87" spans="1:10" ht="270.75" customHeight="1">
      <c r="A87" s="5" t="s">
        <v>1601</v>
      </c>
      <c r="B87" s="5" t="s">
        <v>11</v>
      </c>
      <c r="C87" s="3" t="s">
        <v>1602</v>
      </c>
      <c r="D87" s="6">
        <v>2019</v>
      </c>
      <c r="E87" s="3" t="s">
        <v>1603</v>
      </c>
      <c r="F87" s="3" t="s">
        <v>1604</v>
      </c>
      <c r="G87" s="5" t="s">
        <v>110</v>
      </c>
      <c r="H87" s="5" t="s">
        <v>1605</v>
      </c>
      <c r="I87" s="5"/>
      <c r="J87" s="3"/>
    </row>
    <row r="88" spans="1:10" ht="242.25" customHeight="1">
      <c r="A88" s="5" t="s">
        <v>1606</v>
      </c>
      <c r="B88" s="5" t="s">
        <v>11</v>
      </c>
      <c r="C88" s="3" t="s">
        <v>1607</v>
      </c>
      <c r="D88" s="6">
        <v>2022</v>
      </c>
      <c r="E88" s="3" t="s">
        <v>1608</v>
      </c>
      <c r="F88" s="3" t="s">
        <v>1609</v>
      </c>
      <c r="G88" s="5" t="s">
        <v>115</v>
      </c>
      <c r="H88" s="5" t="s">
        <v>1610</v>
      </c>
      <c r="I88" s="5"/>
      <c r="J88" s="3"/>
    </row>
    <row r="89" spans="1:10" ht="299.25" customHeight="1">
      <c r="A89" s="5" t="s">
        <v>352</v>
      </c>
      <c r="B89" s="5" t="s">
        <v>11</v>
      </c>
      <c r="C89" s="3" t="s">
        <v>353</v>
      </c>
      <c r="D89" s="6">
        <v>2025</v>
      </c>
      <c r="E89" s="3" t="s">
        <v>354</v>
      </c>
      <c r="F89" s="3" t="s">
        <v>1611</v>
      </c>
      <c r="G89" s="5" t="s">
        <v>115</v>
      </c>
      <c r="H89" s="5" t="s">
        <v>1612</v>
      </c>
      <c r="I89" s="5"/>
      <c r="J89" s="3"/>
    </row>
    <row r="90" spans="1:10" ht="213.75" customHeight="1">
      <c r="A90" s="5" t="s">
        <v>1613</v>
      </c>
      <c r="B90" s="5" t="s">
        <v>11</v>
      </c>
      <c r="C90" s="3" t="s">
        <v>1614</v>
      </c>
      <c r="D90" s="6">
        <v>2023</v>
      </c>
      <c r="E90" s="3" t="s">
        <v>1615</v>
      </c>
      <c r="F90" s="3" t="s">
        <v>1616</v>
      </c>
      <c r="G90" s="5" t="s">
        <v>115</v>
      </c>
      <c r="H90" s="5" t="s">
        <v>1617</v>
      </c>
      <c r="I90" s="5"/>
      <c r="J90" s="3"/>
    </row>
    <row r="91" spans="1:10" ht="242.25" customHeight="1">
      <c r="A91" s="5" t="s">
        <v>1618</v>
      </c>
      <c r="B91" s="5" t="s">
        <v>11</v>
      </c>
      <c r="C91" s="3" t="s">
        <v>1619</v>
      </c>
      <c r="D91" s="6">
        <v>2016</v>
      </c>
      <c r="E91" s="3" t="s">
        <v>1620</v>
      </c>
      <c r="F91" s="3" t="s">
        <v>1621</v>
      </c>
      <c r="G91" s="5" t="s">
        <v>110</v>
      </c>
      <c r="H91" s="5" t="s">
        <v>1622</v>
      </c>
      <c r="I91" s="5"/>
      <c r="J91" s="3"/>
    </row>
    <row r="92" spans="1:10" ht="42.75" customHeight="1">
      <c r="A92" s="5" t="s">
        <v>174</v>
      </c>
      <c r="B92" s="5" t="s">
        <v>11</v>
      </c>
      <c r="C92" s="3" t="s">
        <v>175</v>
      </c>
      <c r="D92" s="6">
        <v>2018</v>
      </c>
      <c r="E92" s="3" t="s">
        <v>176</v>
      </c>
      <c r="F92" s="3"/>
      <c r="G92" s="5" t="s">
        <v>110</v>
      </c>
      <c r="H92" s="5" t="s">
        <v>1623</v>
      </c>
      <c r="I92" s="5"/>
      <c r="J92" s="3"/>
    </row>
    <row r="93" spans="1:10" ht="42.75" customHeight="1">
      <c r="A93" s="5" t="s">
        <v>655</v>
      </c>
      <c r="B93" s="5" t="s">
        <v>11</v>
      </c>
      <c r="C93" s="3" t="s">
        <v>656</v>
      </c>
      <c r="D93" s="6">
        <v>2020</v>
      </c>
      <c r="E93" s="3" t="s">
        <v>657</v>
      </c>
      <c r="F93" s="3"/>
      <c r="G93" s="5" t="s">
        <v>110</v>
      </c>
      <c r="H93" s="5" t="s">
        <v>1624</v>
      </c>
      <c r="I93" s="5"/>
      <c r="J93" s="3"/>
    </row>
    <row r="94" spans="1:10" ht="57" customHeight="1">
      <c r="A94" s="5" t="s">
        <v>526</v>
      </c>
      <c r="B94" s="5" t="s">
        <v>11</v>
      </c>
      <c r="C94" s="3" t="s">
        <v>527</v>
      </c>
      <c r="D94" s="6">
        <v>2020</v>
      </c>
      <c r="E94" s="3" t="s">
        <v>528</v>
      </c>
      <c r="F94" s="3"/>
      <c r="G94" s="5" t="s">
        <v>110</v>
      </c>
      <c r="H94" s="5" t="s">
        <v>1625</v>
      </c>
      <c r="I94" s="5"/>
      <c r="J94" s="3"/>
    </row>
    <row r="95" spans="1:10" ht="28.5" customHeight="1">
      <c r="A95" s="5" t="s">
        <v>248</v>
      </c>
      <c r="B95" s="5" t="s">
        <v>11</v>
      </c>
      <c r="C95" s="3" t="s">
        <v>249</v>
      </c>
      <c r="D95" s="6">
        <v>2020</v>
      </c>
      <c r="E95" s="3" t="s">
        <v>250</v>
      </c>
      <c r="F95" s="3"/>
      <c r="G95" s="5" t="s">
        <v>110</v>
      </c>
      <c r="H95" s="5" t="s">
        <v>1626</v>
      </c>
      <c r="I95" s="5"/>
      <c r="J95" s="3"/>
    </row>
    <row r="96" spans="1:10" ht="199.5" customHeight="1">
      <c r="A96" s="5" t="s">
        <v>1627</v>
      </c>
      <c r="B96" s="5" t="s">
        <v>11</v>
      </c>
      <c r="C96" s="3" t="s">
        <v>1628</v>
      </c>
      <c r="D96" s="6">
        <v>2025</v>
      </c>
      <c r="E96" s="3" t="s">
        <v>1629</v>
      </c>
      <c r="F96" s="3"/>
      <c r="G96" s="5" t="s">
        <v>110</v>
      </c>
      <c r="H96" s="5" t="s">
        <v>1630</v>
      </c>
      <c r="I96" s="5"/>
      <c r="J96" s="3"/>
    </row>
    <row r="97" spans="1:10" ht="28.5" customHeight="1">
      <c r="A97" s="5" t="s">
        <v>1631</v>
      </c>
      <c r="B97" s="5" t="s">
        <v>11</v>
      </c>
      <c r="C97" s="3" t="s">
        <v>1632</v>
      </c>
      <c r="D97" s="6">
        <v>2015</v>
      </c>
      <c r="E97" s="3" t="s">
        <v>1633</v>
      </c>
      <c r="F97" s="3"/>
      <c r="G97" s="5" t="s">
        <v>115</v>
      </c>
      <c r="H97" s="5" t="s">
        <v>1634</v>
      </c>
      <c r="I97" s="5"/>
      <c r="J97" s="3"/>
    </row>
    <row r="98" spans="1:10" ht="42.75" customHeight="1">
      <c r="A98" s="5" t="s">
        <v>514</v>
      </c>
      <c r="B98" s="5" t="s">
        <v>11</v>
      </c>
      <c r="C98" s="3" t="s">
        <v>515</v>
      </c>
      <c r="D98" s="6">
        <v>2023</v>
      </c>
      <c r="E98" s="3" t="s">
        <v>516</v>
      </c>
      <c r="F98" s="3"/>
      <c r="G98" s="5" t="s">
        <v>110</v>
      </c>
      <c r="H98" s="5" t="s">
        <v>1635</v>
      </c>
      <c r="I98" s="5"/>
      <c r="J98" s="3"/>
    </row>
    <row r="99" spans="1:10" ht="42.75" customHeight="1">
      <c r="A99" s="5" t="s">
        <v>529</v>
      </c>
      <c r="B99" s="5" t="s">
        <v>11</v>
      </c>
      <c r="C99" s="3" t="s">
        <v>530</v>
      </c>
      <c r="D99" s="6">
        <v>2025</v>
      </c>
      <c r="E99" s="3" t="s">
        <v>531</v>
      </c>
      <c r="F99" s="3"/>
      <c r="G99" s="5" t="s">
        <v>110</v>
      </c>
      <c r="H99" s="5" t="s">
        <v>1636</v>
      </c>
      <c r="I99" s="5"/>
      <c r="J99" s="3"/>
    </row>
    <row r="100" spans="1:10" ht="28.5" customHeight="1">
      <c r="A100" s="5" t="s">
        <v>502</v>
      </c>
      <c r="B100" s="5" t="s">
        <v>11</v>
      </c>
      <c r="C100" s="3" t="s">
        <v>503</v>
      </c>
      <c r="D100" s="6">
        <v>2024</v>
      </c>
      <c r="E100" s="3" t="s">
        <v>504</v>
      </c>
      <c r="F100" s="3"/>
      <c r="G100" s="5" t="s">
        <v>110</v>
      </c>
      <c r="H100" s="5" t="s">
        <v>1637</v>
      </c>
      <c r="I100" s="5"/>
      <c r="J100" s="3"/>
    </row>
    <row r="101" spans="1:10" ht="71.25" customHeight="1">
      <c r="A101" s="5" t="s">
        <v>1638</v>
      </c>
      <c r="B101" s="5" t="s">
        <v>11</v>
      </c>
      <c r="C101" s="3" t="s">
        <v>1639</v>
      </c>
      <c r="D101" s="6">
        <v>2022</v>
      </c>
      <c r="E101" s="3" t="s">
        <v>1640</v>
      </c>
      <c r="F101" s="3"/>
      <c r="G101" s="5" t="s">
        <v>115</v>
      </c>
      <c r="H101" s="5" t="s">
        <v>1641</v>
      </c>
      <c r="I101" s="5"/>
      <c r="J101" s="3"/>
    </row>
    <row r="102" spans="1:10" ht="28.5" customHeight="1">
      <c r="A102" s="5" t="s">
        <v>1642</v>
      </c>
      <c r="B102" s="5" t="s">
        <v>11</v>
      </c>
      <c r="C102" s="3" t="s">
        <v>1643</v>
      </c>
      <c r="D102" s="6">
        <v>2020</v>
      </c>
      <c r="E102" s="3" t="s">
        <v>1644</v>
      </c>
      <c r="F102" s="3"/>
      <c r="G102" s="5" t="s">
        <v>115</v>
      </c>
      <c r="H102" s="5"/>
      <c r="I102" s="5"/>
      <c r="J102" s="3"/>
    </row>
    <row r="103" spans="1:10" ht="57" customHeight="1">
      <c r="A103" s="5" t="s">
        <v>449</v>
      </c>
      <c r="B103" s="5" t="s">
        <v>11</v>
      </c>
      <c r="C103" s="3" t="s">
        <v>450</v>
      </c>
      <c r="D103" s="6">
        <v>2025</v>
      </c>
      <c r="E103" s="3" t="s">
        <v>451</v>
      </c>
      <c r="F103" s="3"/>
      <c r="G103" s="5" t="s">
        <v>110</v>
      </c>
      <c r="H103" s="5" t="s">
        <v>1645</v>
      </c>
      <c r="I103" s="5"/>
      <c r="J103" s="3"/>
    </row>
    <row r="104" spans="1:10" ht="42.75" customHeight="1">
      <c r="A104" s="5" t="s">
        <v>144</v>
      </c>
      <c r="B104" s="5" t="s">
        <v>11</v>
      </c>
      <c r="C104" s="3" t="s">
        <v>145</v>
      </c>
      <c r="D104" s="6">
        <v>2024</v>
      </c>
      <c r="E104" s="3" t="s">
        <v>146</v>
      </c>
      <c r="F104" s="3"/>
      <c r="G104" s="5" t="s">
        <v>110</v>
      </c>
      <c r="H104" s="5" t="s">
        <v>1646</v>
      </c>
      <c r="I104" s="5"/>
      <c r="J104" s="3"/>
    </row>
    <row r="105" spans="1:10" ht="42.75" customHeight="1">
      <c r="A105" s="5" t="s">
        <v>490</v>
      </c>
      <c r="B105" s="5" t="s">
        <v>11</v>
      </c>
      <c r="C105" s="3" t="s">
        <v>491</v>
      </c>
      <c r="D105" s="6">
        <v>2020</v>
      </c>
      <c r="E105" s="3" t="s">
        <v>492</v>
      </c>
      <c r="F105" s="3"/>
      <c r="G105" s="5" t="s">
        <v>110</v>
      </c>
      <c r="H105" s="5" t="s">
        <v>1647</v>
      </c>
      <c r="I105" s="5"/>
      <c r="J105" s="3"/>
    </row>
    <row r="106" spans="1:10" ht="28.5" customHeight="1">
      <c r="A106" s="5" t="s">
        <v>165</v>
      </c>
      <c r="B106" s="5" t="s">
        <v>11</v>
      </c>
      <c r="C106" s="3" t="s">
        <v>166</v>
      </c>
      <c r="D106" s="6">
        <v>2024</v>
      </c>
      <c r="E106" s="3" t="s">
        <v>167</v>
      </c>
      <c r="F106" s="3"/>
      <c r="G106" s="5" t="s">
        <v>110</v>
      </c>
      <c r="H106" s="5" t="s">
        <v>1648</v>
      </c>
      <c r="I106" s="5"/>
      <c r="J106" s="3"/>
    </row>
    <row r="107" spans="1:10" ht="57" customHeight="1">
      <c r="A107" s="5" t="s">
        <v>1649</v>
      </c>
      <c r="B107" s="5" t="s">
        <v>11</v>
      </c>
      <c r="C107" s="3" t="s">
        <v>1650</v>
      </c>
      <c r="D107" s="6">
        <v>2023</v>
      </c>
      <c r="E107" s="3" t="s">
        <v>1651</v>
      </c>
      <c r="F107" s="3"/>
      <c r="G107" s="5" t="s">
        <v>115</v>
      </c>
      <c r="H107" s="5"/>
      <c r="I107" s="5"/>
      <c r="J107" s="3"/>
    </row>
    <row r="108" spans="1:10" ht="42.75" customHeight="1">
      <c r="A108" s="5" t="s">
        <v>693</v>
      </c>
      <c r="B108" s="5" t="s">
        <v>11</v>
      </c>
      <c r="C108" s="3" t="s">
        <v>694</v>
      </c>
      <c r="D108" s="6">
        <v>2025</v>
      </c>
      <c r="E108" s="3" t="s">
        <v>695</v>
      </c>
      <c r="F108" s="3"/>
      <c r="G108" s="5" t="s">
        <v>110</v>
      </c>
      <c r="H108" s="5" t="s">
        <v>1652</v>
      </c>
      <c r="I108" s="5"/>
      <c r="J108" s="3"/>
    </row>
    <row r="109" spans="1:10" ht="28.5" customHeight="1">
      <c r="A109" s="5" t="s">
        <v>329</v>
      </c>
      <c r="B109" s="5" t="s">
        <v>11</v>
      </c>
      <c r="C109" s="3" t="s">
        <v>258</v>
      </c>
      <c r="D109" s="6">
        <v>2023</v>
      </c>
      <c r="E109" s="3" t="s">
        <v>330</v>
      </c>
      <c r="F109" s="3"/>
      <c r="G109" s="5" t="s">
        <v>115</v>
      </c>
      <c r="H109" s="5" t="s">
        <v>1653</v>
      </c>
      <c r="I109" s="5"/>
      <c r="J109" s="3"/>
    </row>
    <row r="110" spans="1:10" ht="28.5" customHeight="1">
      <c r="A110" s="5" t="s">
        <v>1654</v>
      </c>
      <c r="B110" s="5" t="s">
        <v>11</v>
      </c>
      <c r="C110" s="3" t="s">
        <v>1655</v>
      </c>
      <c r="D110" s="6">
        <v>2023</v>
      </c>
      <c r="E110" s="3" t="s">
        <v>1656</v>
      </c>
      <c r="F110" s="3"/>
      <c r="G110" s="5" t="s">
        <v>110</v>
      </c>
      <c r="H110" s="5" t="s">
        <v>1657</v>
      </c>
      <c r="I110" s="5"/>
      <c r="J110" s="3"/>
    </row>
    <row r="111" spans="1:10" ht="28.5" customHeight="1">
      <c r="A111" s="5" t="s">
        <v>399</v>
      </c>
      <c r="B111" s="5" t="s">
        <v>11</v>
      </c>
      <c r="C111" s="3" t="s">
        <v>400</v>
      </c>
      <c r="D111" s="6">
        <v>2025</v>
      </c>
      <c r="E111" s="3" t="s">
        <v>401</v>
      </c>
      <c r="F111" s="3"/>
      <c r="G111" s="5" t="s">
        <v>110</v>
      </c>
      <c r="H111" s="5" t="s">
        <v>1658</v>
      </c>
      <c r="I111" s="5"/>
      <c r="J111" s="3"/>
    </row>
    <row r="112" spans="1:10" ht="28.5" customHeight="1">
      <c r="A112" s="5" t="s">
        <v>266</v>
      </c>
      <c r="B112" s="5" t="s">
        <v>11</v>
      </c>
      <c r="C112" s="3" t="s">
        <v>267</v>
      </c>
      <c r="D112" s="6">
        <v>2025</v>
      </c>
      <c r="E112" s="3" t="s">
        <v>268</v>
      </c>
      <c r="F112" s="3"/>
      <c r="G112" s="5" t="s">
        <v>110</v>
      </c>
      <c r="H112" s="5" t="s">
        <v>1659</v>
      </c>
      <c r="I112" s="5"/>
      <c r="J112" s="3"/>
    </row>
    <row r="113" spans="1:10" ht="28.5" customHeight="1">
      <c r="A113" s="5" t="s">
        <v>517</v>
      </c>
      <c r="B113" s="5" t="s">
        <v>11</v>
      </c>
      <c r="C113" s="3" t="s">
        <v>518</v>
      </c>
      <c r="D113" s="6">
        <v>2024</v>
      </c>
      <c r="E113" s="3" t="s">
        <v>519</v>
      </c>
      <c r="F113" s="3"/>
      <c r="G113" s="5" t="s">
        <v>110</v>
      </c>
      <c r="H113" s="5" t="s">
        <v>1660</v>
      </c>
      <c r="I113" s="5"/>
      <c r="J113" s="3"/>
    </row>
    <row r="114" spans="1:10" ht="57" customHeight="1">
      <c r="A114" s="5" t="s">
        <v>414</v>
      </c>
      <c r="B114" s="5" t="s">
        <v>11</v>
      </c>
      <c r="C114" s="3" t="s">
        <v>415</v>
      </c>
      <c r="D114" s="6">
        <v>2024</v>
      </c>
      <c r="E114" s="3" t="s">
        <v>416</v>
      </c>
      <c r="F114" s="3"/>
      <c r="G114" s="5" t="s">
        <v>110</v>
      </c>
      <c r="H114" s="5" t="s">
        <v>1661</v>
      </c>
      <c r="I114" s="5"/>
      <c r="J114" s="3"/>
    </row>
    <row r="115" spans="1:10" ht="42.75" customHeight="1">
      <c r="A115" s="5" t="s">
        <v>323</v>
      </c>
      <c r="B115" s="5" t="s">
        <v>11</v>
      </c>
      <c r="C115" s="3" t="s">
        <v>324</v>
      </c>
      <c r="D115" s="6">
        <v>2024</v>
      </c>
      <c r="E115" s="3" t="s">
        <v>325</v>
      </c>
      <c r="F115" s="3"/>
      <c r="G115" s="5" t="s">
        <v>110</v>
      </c>
      <c r="H115" s="5" t="s">
        <v>1662</v>
      </c>
      <c r="I115" s="5"/>
      <c r="J115" s="3"/>
    </row>
    <row r="116" spans="1:10" ht="42.75" customHeight="1">
      <c r="A116" s="5" t="s">
        <v>428</v>
      </c>
      <c r="B116" s="5" t="s">
        <v>11</v>
      </c>
      <c r="C116" s="3" t="s">
        <v>429</v>
      </c>
      <c r="D116" s="6">
        <v>2023</v>
      </c>
      <c r="E116" s="3" t="s">
        <v>430</v>
      </c>
      <c r="F116" s="3"/>
      <c r="G116" s="5" t="s">
        <v>110</v>
      </c>
      <c r="H116" s="5" t="s">
        <v>1663</v>
      </c>
      <c r="I116" s="5"/>
      <c r="J116" s="3"/>
    </row>
    <row r="117" spans="1:10" ht="28.5" customHeight="1">
      <c r="A117" s="5" t="s">
        <v>278</v>
      </c>
      <c r="B117" s="5" t="s">
        <v>11</v>
      </c>
      <c r="C117" s="3" t="s">
        <v>279</v>
      </c>
      <c r="D117" s="6">
        <v>2019</v>
      </c>
      <c r="E117" s="3" t="s">
        <v>280</v>
      </c>
      <c r="F117" s="3"/>
      <c r="G117" s="5" t="s">
        <v>115</v>
      </c>
      <c r="H117" s="5" t="s">
        <v>1664</v>
      </c>
      <c r="I117" s="5"/>
      <c r="J117" s="3"/>
    </row>
    <row r="118" spans="1:10" ht="42.75" customHeight="1">
      <c r="A118" s="5" t="s">
        <v>646</v>
      </c>
      <c r="B118" s="5" t="s">
        <v>11</v>
      </c>
      <c r="C118" s="3" t="s">
        <v>647</v>
      </c>
      <c r="D118" s="6">
        <v>2025</v>
      </c>
      <c r="E118" s="3" t="s">
        <v>648</v>
      </c>
      <c r="F118" s="3"/>
      <c r="G118" s="5" t="s">
        <v>110</v>
      </c>
      <c r="H118" s="5" t="s">
        <v>1665</v>
      </c>
      <c r="I118" s="5"/>
      <c r="J118" s="3"/>
    </row>
    <row r="119" spans="1:10" ht="42.75" customHeight="1">
      <c r="A119" s="5" t="s">
        <v>1666</v>
      </c>
      <c r="B119" s="5" t="s">
        <v>11</v>
      </c>
      <c r="C119" s="3" t="s">
        <v>1667</v>
      </c>
      <c r="D119" s="6">
        <v>2020</v>
      </c>
      <c r="E119" s="3" t="s">
        <v>1668</v>
      </c>
      <c r="F119" s="3"/>
      <c r="G119" s="5" t="s">
        <v>110</v>
      </c>
      <c r="H119" s="5" t="s">
        <v>1669</v>
      </c>
      <c r="I119" s="5"/>
      <c r="J119" s="3"/>
    </row>
    <row r="120" spans="1:10" ht="28.5" customHeight="1">
      <c r="A120" s="5" t="s">
        <v>1670</v>
      </c>
      <c r="B120" s="5" t="s">
        <v>11</v>
      </c>
      <c r="C120" s="3" t="s">
        <v>1671</v>
      </c>
      <c r="D120" s="6">
        <v>2025</v>
      </c>
      <c r="E120" s="3" t="s">
        <v>1672</v>
      </c>
      <c r="F120" s="3"/>
      <c r="G120" s="5" t="s">
        <v>110</v>
      </c>
      <c r="H120" s="5" t="s">
        <v>1673</v>
      </c>
      <c r="I120" s="5"/>
      <c r="J120" s="3"/>
    </row>
    <row r="121" spans="1:10" ht="42.75" customHeight="1">
      <c r="A121" s="5" t="s">
        <v>385</v>
      </c>
      <c r="B121" s="5" t="s">
        <v>11</v>
      </c>
      <c r="C121" s="3" t="s">
        <v>386</v>
      </c>
      <c r="D121" s="6">
        <v>2024</v>
      </c>
      <c r="E121" s="3" t="s">
        <v>387</v>
      </c>
      <c r="F121" s="3"/>
      <c r="G121" s="5" t="s">
        <v>110</v>
      </c>
      <c r="H121" s="5" t="s">
        <v>1674</v>
      </c>
      <c r="I121" s="5"/>
      <c r="J121" s="3"/>
    </row>
    <row r="122" spans="1:10" ht="28.5" customHeight="1">
      <c r="A122" s="5" t="s">
        <v>343</v>
      </c>
      <c r="B122" s="5" t="s">
        <v>11</v>
      </c>
      <c r="C122" s="3" t="s">
        <v>344</v>
      </c>
      <c r="D122" s="6">
        <v>2019</v>
      </c>
      <c r="E122" s="3" t="s">
        <v>345</v>
      </c>
      <c r="F122" s="3"/>
      <c r="G122" s="5" t="s">
        <v>110</v>
      </c>
      <c r="H122" s="5" t="s">
        <v>1675</v>
      </c>
      <c r="I122" s="5"/>
      <c r="J122" s="3"/>
    </row>
    <row r="123" spans="1:10" ht="42.75" customHeight="1">
      <c r="A123" s="5" t="s">
        <v>346</v>
      </c>
      <c r="B123" s="5" t="s">
        <v>11</v>
      </c>
      <c r="C123" s="3" t="s">
        <v>347</v>
      </c>
      <c r="D123" s="6">
        <v>2020</v>
      </c>
      <c r="E123" s="3" t="s">
        <v>348</v>
      </c>
      <c r="F123" s="3"/>
      <c r="G123" s="5" t="s">
        <v>110</v>
      </c>
      <c r="H123" s="5" t="s">
        <v>1676</v>
      </c>
      <c r="I123" s="5"/>
      <c r="J123" s="3"/>
    </row>
    <row r="124" spans="1:10" ht="28.5" customHeight="1">
      <c r="A124" s="5" t="s">
        <v>487</v>
      </c>
      <c r="B124" s="5" t="s">
        <v>11</v>
      </c>
      <c r="C124" s="3" t="s">
        <v>488</v>
      </c>
      <c r="D124" s="6">
        <v>2023</v>
      </c>
      <c r="E124" s="3" t="s">
        <v>489</v>
      </c>
      <c r="F124" s="3"/>
      <c r="G124" s="5" t="s">
        <v>110</v>
      </c>
      <c r="H124" s="5" t="s">
        <v>1677</v>
      </c>
      <c r="I124" s="5"/>
      <c r="J124" s="3"/>
    </row>
    <row r="125" spans="1:10" ht="57" customHeight="1">
      <c r="A125" s="5" t="s">
        <v>216</v>
      </c>
      <c r="B125" s="5" t="s">
        <v>11</v>
      </c>
      <c r="C125" s="3" t="s">
        <v>217</v>
      </c>
      <c r="D125" s="6">
        <v>2025</v>
      </c>
      <c r="E125" s="3" t="s">
        <v>218</v>
      </c>
      <c r="F125" s="3"/>
      <c r="G125" s="5" t="s">
        <v>110</v>
      </c>
      <c r="H125" s="5" t="s">
        <v>1678</v>
      </c>
      <c r="I125" s="5"/>
      <c r="J125" s="3"/>
    </row>
    <row r="126" spans="1:10" ht="28.5" customHeight="1">
      <c r="A126" s="5" t="s">
        <v>452</v>
      </c>
      <c r="B126" s="5" t="s">
        <v>11</v>
      </c>
      <c r="C126" s="3" t="s">
        <v>453</v>
      </c>
      <c r="D126" s="6">
        <v>2020</v>
      </c>
      <c r="E126" s="3" t="s">
        <v>454</v>
      </c>
      <c r="F126" s="3"/>
      <c r="G126" s="5" t="s">
        <v>110</v>
      </c>
      <c r="H126" s="5" t="s">
        <v>1679</v>
      </c>
      <c r="I126" s="5"/>
      <c r="J126" s="3"/>
    </row>
    <row r="127" spans="1:10" ht="28.5" customHeight="1">
      <c r="A127" s="5" t="s">
        <v>159</v>
      </c>
      <c r="B127" s="5" t="s">
        <v>11</v>
      </c>
      <c r="C127" s="3" t="s">
        <v>160</v>
      </c>
      <c r="D127" s="6">
        <v>2025</v>
      </c>
      <c r="E127" s="3" t="s">
        <v>161</v>
      </c>
      <c r="F127" s="3"/>
      <c r="G127" s="5" t="s">
        <v>115</v>
      </c>
      <c r="H127" s="5" t="s">
        <v>1680</v>
      </c>
      <c r="I127" s="5"/>
      <c r="J127" s="3"/>
    </row>
    <row r="128" spans="1:10" ht="42.75" customHeight="1">
      <c r="A128" s="5" t="s">
        <v>225</v>
      </c>
      <c r="B128" s="5" t="s">
        <v>11</v>
      </c>
      <c r="C128" s="3" t="s">
        <v>226</v>
      </c>
      <c r="D128" s="6">
        <v>2018</v>
      </c>
      <c r="E128" s="3" t="s">
        <v>227</v>
      </c>
      <c r="F128" s="3"/>
      <c r="G128" s="5" t="s">
        <v>115</v>
      </c>
      <c r="H128" s="5" t="s">
        <v>1681</v>
      </c>
      <c r="I128" s="5"/>
      <c r="J128" s="3"/>
    </row>
    <row r="129" spans="1:10" ht="28.5" customHeight="1">
      <c r="A129" s="5" t="s">
        <v>535</v>
      </c>
      <c r="B129" s="5" t="s">
        <v>11</v>
      </c>
      <c r="C129" s="3" t="s">
        <v>536</v>
      </c>
      <c r="D129" s="6">
        <v>2018</v>
      </c>
      <c r="E129" s="3" t="s">
        <v>537</v>
      </c>
      <c r="F129" s="3"/>
      <c r="G129" s="5" t="s">
        <v>115</v>
      </c>
      <c r="H129" s="5" t="s">
        <v>1682</v>
      </c>
      <c r="I129" s="5"/>
      <c r="J129" s="3"/>
    </row>
    <row r="130" spans="1:10" ht="57" customHeight="1">
      <c r="A130" s="5" t="s">
        <v>1683</v>
      </c>
      <c r="B130" s="5" t="s">
        <v>11</v>
      </c>
      <c r="C130" s="3" t="s">
        <v>1684</v>
      </c>
      <c r="D130" s="6">
        <v>2020</v>
      </c>
      <c r="E130" s="3" t="s">
        <v>1685</v>
      </c>
      <c r="F130" s="3"/>
      <c r="G130" s="5" t="s">
        <v>115</v>
      </c>
      <c r="H130" s="5" t="s">
        <v>1686</v>
      </c>
      <c r="I130" s="5"/>
      <c r="J130" s="3"/>
    </row>
    <row r="131" spans="1:10">
      <c r="A131" s="5" t="s">
        <v>546</v>
      </c>
      <c r="B131" s="5" t="s">
        <v>11</v>
      </c>
      <c r="C131" s="3" t="s">
        <v>547</v>
      </c>
      <c r="D131" s="6">
        <v>2019</v>
      </c>
      <c r="E131" s="3" t="s">
        <v>548</v>
      </c>
      <c r="F131" s="3"/>
      <c r="G131" s="5" t="s">
        <v>110</v>
      </c>
      <c r="H131" s="5" t="s">
        <v>1687</v>
      </c>
      <c r="I131" s="5"/>
      <c r="J131" s="3"/>
    </row>
    <row r="132" spans="1:10" ht="57" customHeight="1">
      <c r="A132" s="5" t="s">
        <v>326</v>
      </c>
      <c r="B132" s="5" t="s">
        <v>11</v>
      </c>
      <c r="C132" s="3" t="s">
        <v>327</v>
      </c>
      <c r="D132" s="6">
        <v>2025</v>
      </c>
      <c r="E132" s="3" t="s">
        <v>328</v>
      </c>
      <c r="F132" s="3"/>
      <c r="G132" s="5" t="s">
        <v>110</v>
      </c>
      <c r="H132" s="5" t="s">
        <v>1688</v>
      </c>
      <c r="I132" s="5"/>
      <c r="J132" s="3"/>
    </row>
    <row r="133" spans="1:10" ht="28.5" customHeight="1">
      <c r="A133" s="5" t="s">
        <v>717</v>
      </c>
      <c r="B133" s="5" t="s">
        <v>11</v>
      </c>
      <c r="C133" s="3" t="s">
        <v>718</v>
      </c>
      <c r="D133" s="6">
        <v>2022</v>
      </c>
      <c r="E133" s="3" t="s">
        <v>719</v>
      </c>
      <c r="F133" s="3"/>
      <c r="G133" s="5" t="s">
        <v>110</v>
      </c>
      <c r="H133" s="5" t="s">
        <v>1689</v>
      </c>
      <c r="I133" s="5"/>
      <c r="J133" s="3"/>
    </row>
    <row r="134" spans="1:10" ht="42.75" customHeight="1">
      <c r="A134" s="5" t="s">
        <v>364</v>
      </c>
      <c r="B134" s="5" t="s">
        <v>11</v>
      </c>
      <c r="C134" s="3" t="s">
        <v>365</v>
      </c>
      <c r="D134" s="6">
        <v>2025</v>
      </c>
      <c r="E134" s="3" t="s">
        <v>366</v>
      </c>
      <c r="F134" s="3"/>
      <c r="G134" s="5" t="s">
        <v>110</v>
      </c>
      <c r="H134" s="5" t="s">
        <v>1690</v>
      </c>
      <c r="I134" s="5"/>
      <c r="J134" s="3"/>
    </row>
    <row r="135" spans="1:10" ht="42.75" customHeight="1">
      <c r="A135" s="5" t="s">
        <v>123</v>
      </c>
      <c r="B135" s="5" t="s">
        <v>11</v>
      </c>
      <c r="C135" s="3" t="s">
        <v>124</v>
      </c>
      <c r="D135" s="6">
        <v>2023</v>
      </c>
      <c r="E135" s="3" t="s">
        <v>125</v>
      </c>
      <c r="F135" s="3"/>
      <c r="G135" s="5" t="s">
        <v>110</v>
      </c>
      <c r="H135" s="5" t="s">
        <v>1691</v>
      </c>
      <c r="I135" s="5"/>
      <c r="J135" s="3"/>
    </row>
    <row r="136" spans="1:10" ht="42.75" customHeight="1">
      <c r="A136" s="5" t="s">
        <v>382</v>
      </c>
      <c r="B136" s="5" t="s">
        <v>11</v>
      </c>
      <c r="C136" s="3" t="s">
        <v>383</v>
      </c>
      <c r="D136" s="6">
        <v>2024</v>
      </c>
      <c r="E136" s="3" t="s">
        <v>384</v>
      </c>
      <c r="F136" s="3"/>
      <c r="G136" s="5" t="s">
        <v>110</v>
      </c>
      <c r="H136" s="5" t="s">
        <v>1692</v>
      </c>
      <c r="I136" s="5"/>
      <c r="J136" s="3"/>
    </row>
    <row r="137" spans="1:10" ht="28.5" customHeight="1">
      <c r="A137" s="5" t="s">
        <v>1693</v>
      </c>
      <c r="B137" s="5" t="s">
        <v>11</v>
      </c>
      <c r="C137" s="3" t="s">
        <v>1694</v>
      </c>
      <c r="D137" s="6">
        <v>2017</v>
      </c>
      <c r="E137" s="3" t="s">
        <v>1695</v>
      </c>
      <c r="F137" s="3"/>
      <c r="G137" s="5" t="s">
        <v>110</v>
      </c>
      <c r="H137" s="5" t="s">
        <v>1696</v>
      </c>
      <c r="I137" s="5"/>
      <c r="J137" s="3"/>
    </row>
    <row r="138" spans="1:10">
      <c r="A138" s="5" t="s">
        <v>234</v>
      </c>
      <c r="B138" s="5" t="s">
        <v>11</v>
      </c>
      <c r="C138" s="3" t="s">
        <v>130</v>
      </c>
      <c r="D138" s="6">
        <v>2023</v>
      </c>
      <c r="E138" s="3" t="s">
        <v>235</v>
      </c>
      <c r="F138" s="3"/>
      <c r="G138" s="5" t="s">
        <v>115</v>
      </c>
      <c r="H138" s="5" t="s">
        <v>1697</v>
      </c>
      <c r="I138" s="5"/>
      <c r="J138" s="3"/>
    </row>
    <row r="139" spans="1:10" ht="42.75" customHeight="1">
      <c r="A139" s="5" t="s">
        <v>340</v>
      </c>
      <c r="B139" s="5" t="s">
        <v>11</v>
      </c>
      <c r="C139" s="3" t="s">
        <v>341</v>
      </c>
      <c r="D139" s="6">
        <v>2024</v>
      </c>
      <c r="E139" s="3" t="s">
        <v>342</v>
      </c>
      <c r="F139" s="3"/>
      <c r="G139" s="5" t="s">
        <v>110</v>
      </c>
      <c r="H139" s="5" t="s">
        <v>1698</v>
      </c>
      <c r="I139" s="5"/>
      <c r="J139" s="3"/>
    </row>
    <row r="140" spans="1:10" ht="28.5" customHeight="1">
      <c r="A140" s="5" t="s">
        <v>150</v>
      </c>
      <c r="B140" s="5" t="s">
        <v>11</v>
      </c>
      <c r="C140" s="3" t="s">
        <v>151</v>
      </c>
      <c r="D140" s="6">
        <v>2022</v>
      </c>
      <c r="E140" s="3" t="s">
        <v>152</v>
      </c>
      <c r="F140" s="3"/>
      <c r="G140" s="5" t="s">
        <v>115</v>
      </c>
      <c r="H140" s="5"/>
      <c r="I140" s="5"/>
      <c r="J140" s="3"/>
    </row>
    <row r="141" spans="1:10" ht="42.75" customHeight="1">
      <c r="A141" s="5" t="s">
        <v>198</v>
      </c>
      <c r="B141" s="5" t="s">
        <v>11</v>
      </c>
      <c r="C141" s="3" t="s">
        <v>199</v>
      </c>
      <c r="D141" s="6">
        <v>2023</v>
      </c>
      <c r="E141" s="3" t="s">
        <v>200</v>
      </c>
      <c r="F141" s="3"/>
      <c r="G141" s="5" t="s">
        <v>110</v>
      </c>
      <c r="H141" s="5" t="s">
        <v>1699</v>
      </c>
      <c r="I141" s="5"/>
      <c r="J141" s="3"/>
    </row>
    <row r="142" spans="1:10" ht="42.75" customHeight="1">
      <c r="A142" s="5" t="s">
        <v>687</v>
      </c>
      <c r="B142" s="5" t="s">
        <v>11</v>
      </c>
      <c r="C142" s="3" t="s">
        <v>688</v>
      </c>
      <c r="D142" s="6">
        <v>2023</v>
      </c>
      <c r="E142" s="3" t="s">
        <v>689</v>
      </c>
      <c r="F142" s="3"/>
      <c r="G142" s="5" t="s">
        <v>115</v>
      </c>
      <c r="H142" s="5"/>
      <c r="I142" s="5"/>
      <c r="J142" s="3"/>
    </row>
    <row r="143" spans="1:10" ht="28.5" customHeight="1">
      <c r="A143" s="5" t="s">
        <v>640</v>
      </c>
      <c r="B143" s="5" t="s">
        <v>11</v>
      </c>
      <c r="C143" s="3" t="s">
        <v>641</v>
      </c>
      <c r="D143" s="6">
        <v>2025</v>
      </c>
      <c r="E143" s="3" t="s">
        <v>642</v>
      </c>
      <c r="F143" s="3"/>
      <c r="G143" s="5" t="s">
        <v>115</v>
      </c>
      <c r="H143" s="5" t="s">
        <v>1700</v>
      </c>
      <c r="I143" s="5"/>
      <c r="J143" s="3"/>
    </row>
    <row r="144" spans="1:10" ht="42.75" customHeight="1">
      <c r="A144" s="5" t="s">
        <v>723</v>
      </c>
      <c r="B144" s="5" t="s">
        <v>11</v>
      </c>
      <c r="C144" s="3" t="s">
        <v>724</v>
      </c>
      <c r="D144" s="6">
        <v>2024</v>
      </c>
      <c r="E144" s="3" t="s">
        <v>725</v>
      </c>
      <c r="F144" s="3"/>
      <c r="G144" s="5" t="s">
        <v>110</v>
      </c>
      <c r="H144" s="5" t="s">
        <v>1701</v>
      </c>
      <c r="I144" s="5"/>
      <c r="J144" s="3"/>
    </row>
    <row r="145" spans="1:10" ht="28.5" customHeight="1">
      <c r="A145" s="5" t="s">
        <v>153</v>
      </c>
      <c r="B145" s="5" t="s">
        <v>11</v>
      </c>
      <c r="C145" s="3" t="s">
        <v>154</v>
      </c>
      <c r="D145" s="6">
        <v>2022</v>
      </c>
      <c r="E145" s="3" t="s">
        <v>155</v>
      </c>
      <c r="F145" s="3"/>
      <c r="G145" s="5" t="s">
        <v>110</v>
      </c>
      <c r="H145" s="5" t="s">
        <v>1702</v>
      </c>
      <c r="I145" s="5"/>
      <c r="J145" s="3"/>
    </row>
    <row r="146" spans="1:10" ht="28.5" customHeight="1">
      <c r="A146" s="5" t="s">
        <v>611</v>
      </c>
      <c r="B146" s="5" t="s">
        <v>11</v>
      </c>
      <c r="C146" s="3" t="s">
        <v>612</v>
      </c>
      <c r="D146" s="6">
        <v>2020</v>
      </c>
      <c r="E146" s="3" t="s">
        <v>613</v>
      </c>
      <c r="F146" s="3"/>
      <c r="G146" s="5" t="s">
        <v>115</v>
      </c>
      <c r="H146" s="5" t="s">
        <v>1703</v>
      </c>
      <c r="I146" s="5"/>
      <c r="J146" s="3"/>
    </row>
    <row r="147" spans="1:10" ht="42.75" customHeight="1">
      <c r="A147" s="5" t="s">
        <v>391</v>
      </c>
      <c r="B147" s="5" t="s">
        <v>11</v>
      </c>
      <c r="C147" s="3" t="s">
        <v>392</v>
      </c>
      <c r="D147" s="6">
        <v>2025</v>
      </c>
      <c r="E147" s="3" t="s">
        <v>393</v>
      </c>
      <c r="F147" s="3"/>
      <c r="G147" s="5" t="s">
        <v>110</v>
      </c>
      <c r="H147" s="5" t="s">
        <v>1704</v>
      </c>
      <c r="I147" s="5"/>
      <c r="J147" s="3"/>
    </row>
    <row r="148" spans="1:10" ht="85.5" customHeight="1">
      <c r="A148" s="5" t="s">
        <v>355</v>
      </c>
      <c r="B148" s="5" t="s">
        <v>11</v>
      </c>
      <c r="C148" s="3" t="s">
        <v>356</v>
      </c>
      <c r="D148" s="6">
        <v>2022</v>
      </c>
      <c r="E148" s="3" t="s">
        <v>357</v>
      </c>
      <c r="F148" s="3"/>
      <c r="G148" s="5" t="s">
        <v>110</v>
      </c>
      <c r="H148" s="5" t="s">
        <v>1705</v>
      </c>
      <c r="I148" s="5"/>
      <c r="J148" s="3"/>
    </row>
    <row r="149" spans="1:10" ht="42.75" customHeight="1">
      <c r="A149" s="5" t="s">
        <v>649</v>
      </c>
      <c r="B149" s="5" t="s">
        <v>11</v>
      </c>
      <c r="C149" s="3" t="s">
        <v>650</v>
      </c>
      <c r="D149" s="6">
        <v>2018</v>
      </c>
      <c r="E149" s="3" t="s">
        <v>651</v>
      </c>
      <c r="F149" s="3"/>
      <c r="G149" s="5" t="s">
        <v>110</v>
      </c>
      <c r="H149" s="5" t="s">
        <v>1706</v>
      </c>
      <c r="I149" s="5"/>
      <c r="J149" s="3"/>
    </row>
    <row r="150" spans="1:10" ht="42.75" customHeight="1">
      <c r="A150" s="5" t="s">
        <v>219</v>
      </c>
      <c r="B150" s="5" t="s">
        <v>11</v>
      </c>
      <c r="C150" s="3" t="s">
        <v>220</v>
      </c>
      <c r="D150" s="6">
        <v>2025</v>
      </c>
      <c r="E150" s="3" t="s">
        <v>221</v>
      </c>
      <c r="F150" s="3"/>
      <c r="G150" s="5" t="s">
        <v>110</v>
      </c>
      <c r="H150" s="5" t="s">
        <v>1707</v>
      </c>
      <c r="I150" s="5"/>
      <c r="J150" s="3"/>
    </row>
    <row r="151" spans="1:10" ht="28.5" customHeight="1">
      <c r="A151" s="5" t="s">
        <v>652</v>
      </c>
      <c r="B151" s="5" t="s">
        <v>11</v>
      </c>
      <c r="C151" s="3" t="s">
        <v>653</v>
      </c>
      <c r="D151" s="6">
        <v>2025</v>
      </c>
      <c r="E151" s="3" t="s">
        <v>654</v>
      </c>
      <c r="F151" s="3"/>
      <c r="G151" s="5" t="s">
        <v>110</v>
      </c>
      <c r="H151" s="5" t="s">
        <v>1708</v>
      </c>
      <c r="I151" s="5"/>
      <c r="J151" s="3"/>
    </row>
    <row r="152" spans="1:10" ht="42.75" customHeight="1">
      <c r="A152" s="5" t="s">
        <v>132</v>
      </c>
      <c r="B152" s="5" t="s">
        <v>11</v>
      </c>
      <c r="C152" s="3" t="s">
        <v>133</v>
      </c>
      <c r="D152" s="6">
        <v>2025</v>
      </c>
      <c r="E152" s="3" t="s">
        <v>134</v>
      </c>
      <c r="F152" s="3"/>
      <c r="G152" s="5" t="s">
        <v>110</v>
      </c>
      <c r="H152" s="5" t="s">
        <v>1709</v>
      </c>
      <c r="I152" s="5"/>
      <c r="J152" s="3"/>
    </row>
    <row r="153" spans="1:10" ht="42.75" customHeight="1">
      <c r="A153" s="5" t="s">
        <v>156</v>
      </c>
      <c r="B153" s="5" t="s">
        <v>11</v>
      </c>
      <c r="C153" s="3" t="s">
        <v>157</v>
      </c>
      <c r="D153" s="6">
        <v>2025</v>
      </c>
      <c r="E153" s="3" t="s">
        <v>158</v>
      </c>
      <c r="F153" s="3"/>
      <c r="G153" s="5" t="s">
        <v>110</v>
      </c>
      <c r="H153" s="5" t="s">
        <v>1710</v>
      </c>
      <c r="I153" s="5"/>
      <c r="J153" s="3"/>
    </row>
    <row r="154" spans="1:10" ht="28.5" customHeight="1">
      <c r="A154" s="5" t="s">
        <v>696</v>
      </c>
      <c r="B154" s="5" t="s">
        <v>11</v>
      </c>
      <c r="C154" s="3" t="s">
        <v>697</v>
      </c>
      <c r="D154" s="6">
        <v>2021</v>
      </c>
      <c r="E154" s="3" t="s">
        <v>698</v>
      </c>
      <c r="F154" s="3"/>
      <c r="G154" s="5" t="s">
        <v>110</v>
      </c>
      <c r="H154" s="5" t="s">
        <v>1711</v>
      </c>
      <c r="I154" s="5"/>
      <c r="J154" s="3"/>
    </row>
    <row r="155" spans="1:10" ht="85.5" customHeight="1">
      <c r="A155" s="5" t="s">
        <v>275</v>
      </c>
      <c r="B155" s="5" t="s">
        <v>11</v>
      </c>
      <c r="C155" s="3" t="s">
        <v>276</v>
      </c>
      <c r="D155" s="6">
        <v>2024</v>
      </c>
      <c r="E155" s="3" t="s">
        <v>277</v>
      </c>
      <c r="F155" s="3"/>
      <c r="G155" s="5" t="s">
        <v>115</v>
      </c>
      <c r="H155" s="5" t="s">
        <v>1712</v>
      </c>
      <c r="I155" s="5"/>
      <c r="J155" s="3"/>
    </row>
    <row r="156" spans="1:10" ht="42.75" customHeight="1">
      <c r="A156" s="5" t="s">
        <v>405</v>
      </c>
      <c r="B156" s="5" t="s">
        <v>11</v>
      </c>
      <c r="C156" s="3" t="s">
        <v>406</v>
      </c>
      <c r="D156" s="6">
        <v>2019</v>
      </c>
      <c r="E156" s="3" t="s">
        <v>407</v>
      </c>
      <c r="F156" s="3"/>
      <c r="G156" s="5" t="s">
        <v>110</v>
      </c>
      <c r="H156" s="5" t="s">
        <v>1713</v>
      </c>
      <c r="I156" s="5"/>
      <c r="J156" s="3"/>
    </row>
    <row r="157" spans="1:10" ht="42.75" customHeight="1">
      <c r="A157" s="5" t="s">
        <v>180</v>
      </c>
      <c r="B157" s="5" t="s">
        <v>11</v>
      </c>
      <c r="C157" s="3" t="s">
        <v>181</v>
      </c>
      <c r="D157" s="6">
        <v>2024</v>
      </c>
      <c r="E157" s="3" t="s">
        <v>182</v>
      </c>
      <c r="F157" s="3"/>
      <c r="G157" s="5" t="s">
        <v>110</v>
      </c>
      <c r="H157" s="5" t="s">
        <v>1714</v>
      </c>
      <c r="I157" s="5"/>
      <c r="J157" s="3"/>
    </row>
    <row r="158" spans="1:10" ht="28.5" customHeight="1">
      <c r="A158" s="5" t="s">
        <v>1715</v>
      </c>
      <c r="B158" s="5" t="s">
        <v>11</v>
      </c>
      <c r="C158" s="3" t="s">
        <v>1716</v>
      </c>
      <c r="D158" s="6">
        <v>2019</v>
      </c>
      <c r="E158" s="3" t="s">
        <v>1717</v>
      </c>
      <c r="F158" s="3"/>
      <c r="G158" s="5" t="s">
        <v>115</v>
      </c>
      <c r="H158" s="5" t="s">
        <v>1718</v>
      </c>
      <c r="I158" s="5"/>
      <c r="J158" s="3"/>
    </row>
    <row r="159" spans="1:10" ht="42.75" customHeight="1">
      <c r="A159" s="5" t="s">
        <v>1719</v>
      </c>
      <c r="B159" s="5" t="s">
        <v>11</v>
      </c>
      <c r="C159" s="3" t="s">
        <v>1720</v>
      </c>
      <c r="D159" s="6">
        <v>2024</v>
      </c>
      <c r="E159" s="3" t="s">
        <v>1721</v>
      </c>
      <c r="F159" s="3"/>
      <c r="G159" s="5" t="s">
        <v>110</v>
      </c>
      <c r="H159" s="5" t="s">
        <v>1722</v>
      </c>
      <c r="I159" s="5"/>
      <c r="J159" s="3"/>
    </row>
    <row r="160" spans="1:10" ht="42.75" customHeight="1">
      <c r="A160" s="5" t="s">
        <v>658</v>
      </c>
      <c r="B160" s="5" t="s">
        <v>11</v>
      </c>
      <c r="C160" s="3" t="s">
        <v>629</v>
      </c>
      <c r="D160" s="6">
        <v>2024</v>
      </c>
      <c r="E160" s="3" t="s">
        <v>659</v>
      </c>
      <c r="F160" s="3"/>
      <c r="G160" s="5" t="s">
        <v>115</v>
      </c>
      <c r="H160" s="5" t="s">
        <v>1723</v>
      </c>
      <c r="I160" s="5"/>
      <c r="J160" s="3"/>
    </row>
    <row r="161" spans="1:10" ht="42.75" customHeight="1">
      <c r="A161" s="5" t="s">
        <v>162</v>
      </c>
      <c r="B161" s="5" t="s">
        <v>11</v>
      </c>
      <c r="C161" s="3" t="s">
        <v>163</v>
      </c>
      <c r="D161" s="6">
        <v>2016</v>
      </c>
      <c r="E161" s="3" t="s">
        <v>164</v>
      </c>
      <c r="F161" s="3"/>
      <c r="G161" s="5" t="s">
        <v>115</v>
      </c>
      <c r="H161" s="5" t="s">
        <v>1724</v>
      </c>
      <c r="I161" s="5"/>
      <c r="J161" s="3"/>
    </row>
    <row r="162" spans="1:10">
      <c r="A162" s="5" t="s">
        <v>1725</v>
      </c>
      <c r="B162" s="5" t="s">
        <v>11</v>
      </c>
      <c r="C162" s="3" t="s">
        <v>1726</v>
      </c>
      <c r="D162" s="6">
        <v>2022</v>
      </c>
      <c r="E162" s="3" t="s">
        <v>1727</v>
      </c>
      <c r="F162" s="3"/>
      <c r="G162" s="5" t="s">
        <v>115</v>
      </c>
      <c r="H162" s="5" t="s">
        <v>1728</v>
      </c>
      <c r="I162" s="5"/>
      <c r="J162" s="3"/>
    </row>
    <row r="163" spans="1:10" ht="28.5" customHeight="1">
      <c r="A163" s="5" t="s">
        <v>541</v>
      </c>
      <c r="B163" s="5" t="s">
        <v>11</v>
      </c>
      <c r="C163" s="3" t="s">
        <v>145</v>
      </c>
      <c r="D163" s="6">
        <v>2022</v>
      </c>
      <c r="E163" s="3" t="s">
        <v>542</v>
      </c>
      <c r="F163" s="3"/>
      <c r="G163" s="5" t="s">
        <v>110</v>
      </c>
      <c r="H163" s="5" t="s">
        <v>1729</v>
      </c>
      <c r="I163" s="5"/>
      <c r="J163" s="3"/>
    </row>
    <row r="164" spans="1:10" ht="28.5" customHeight="1">
      <c r="A164" s="5" t="s">
        <v>290</v>
      </c>
      <c r="B164" s="5" t="s">
        <v>11</v>
      </c>
      <c r="C164" s="3" t="s">
        <v>291</v>
      </c>
      <c r="D164" s="6">
        <v>2015</v>
      </c>
      <c r="E164" s="3" t="s">
        <v>292</v>
      </c>
      <c r="F164" s="3"/>
      <c r="G164" s="5" t="s">
        <v>110</v>
      </c>
      <c r="H164" s="5" t="s">
        <v>1730</v>
      </c>
      <c r="I164" s="5"/>
      <c r="J164" s="3"/>
    </row>
    <row r="165" spans="1:10" ht="42.75" customHeight="1">
      <c r="A165" s="5" t="s">
        <v>684</v>
      </c>
      <c r="B165" s="5" t="s">
        <v>11</v>
      </c>
      <c r="C165" s="3" t="s">
        <v>685</v>
      </c>
      <c r="D165" s="6">
        <v>2022</v>
      </c>
      <c r="E165" s="3" t="s">
        <v>686</v>
      </c>
      <c r="F165" s="3"/>
      <c r="G165" s="5" t="s">
        <v>110</v>
      </c>
      <c r="H165" s="5" t="s">
        <v>1731</v>
      </c>
      <c r="I165" s="5"/>
      <c r="J165" s="3"/>
    </row>
    <row r="166" spans="1:10">
      <c r="A166" s="5" t="s">
        <v>1732</v>
      </c>
      <c r="B166" s="5" t="s">
        <v>11</v>
      </c>
      <c r="C166" s="3" t="s">
        <v>1733</v>
      </c>
      <c r="D166" s="6">
        <v>2016</v>
      </c>
      <c r="E166" s="3" t="s">
        <v>1734</v>
      </c>
      <c r="F166" s="3"/>
      <c r="G166" s="5" t="s">
        <v>110</v>
      </c>
      <c r="H166" s="5" t="s">
        <v>1735</v>
      </c>
      <c r="I166" s="5"/>
      <c r="J166" s="3"/>
    </row>
    <row r="167" spans="1:10" ht="42.75" customHeight="1">
      <c r="A167" s="5" t="s">
        <v>417</v>
      </c>
      <c r="B167" s="5" t="s">
        <v>11</v>
      </c>
      <c r="C167" s="3" t="s">
        <v>418</v>
      </c>
      <c r="D167" s="6">
        <v>2021</v>
      </c>
      <c r="E167" s="3" t="s">
        <v>419</v>
      </c>
      <c r="F167" s="3"/>
      <c r="G167" s="5" t="s">
        <v>110</v>
      </c>
      <c r="H167" s="5" t="s">
        <v>1736</v>
      </c>
      <c r="I167" s="5"/>
      <c r="J167" s="3"/>
    </row>
    <row r="168" spans="1:10" ht="42.75" customHeight="1">
      <c r="A168" s="5" t="s">
        <v>594</v>
      </c>
      <c r="B168" s="5" t="s">
        <v>11</v>
      </c>
      <c r="C168" s="3" t="s">
        <v>595</v>
      </c>
      <c r="D168" s="6">
        <v>2022</v>
      </c>
      <c r="E168" s="3" t="s">
        <v>596</v>
      </c>
      <c r="F168" s="3"/>
      <c r="G168" s="5" t="s">
        <v>110</v>
      </c>
      <c r="H168" s="5" t="s">
        <v>1737</v>
      </c>
      <c r="I168" s="5"/>
      <c r="J168" s="3"/>
    </row>
    <row r="169" spans="1:10" ht="57" customHeight="1">
      <c r="A169" s="5" t="s">
        <v>643</v>
      </c>
      <c r="B169" s="5" t="s">
        <v>11</v>
      </c>
      <c r="C169" s="3" t="s">
        <v>644</v>
      </c>
      <c r="D169" s="6">
        <v>2024</v>
      </c>
      <c r="E169" s="3" t="s">
        <v>645</v>
      </c>
      <c r="F169" s="3"/>
      <c r="G169" s="5" t="s">
        <v>110</v>
      </c>
      <c r="H169" s="5" t="s">
        <v>1738</v>
      </c>
      <c r="I169" s="5"/>
      <c r="J169" s="3"/>
    </row>
    <row r="170" spans="1:10" ht="42.75" customHeight="1">
      <c r="A170" s="5" t="s">
        <v>573</v>
      </c>
      <c r="B170" s="5" t="s">
        <v>11</v>
      </c>
      <c r="C170" s="3" t="s">
        <v>574</v>
      </c>
      <c r="D170" s="6">
        <v>2016</v>
      </c>
      <c r="E170" s="3" t="s">
        <v>575</v>
      </c>
      <c r="F170" s="3"/>
      <c r="G170" s="5" t="s">
        <v>115</v>
      </c>
      <c r="H170" s="5" t="s">
        <v>1739</v>
      </c>
      <c r="I170" s="5"/>
      <c r="J170" s="3"/>
    </row>
    <row r="171" spans="1:10" ht="42.75" customHeight="1">
      <c r="A171" s="5" t="s">
        <v>242</v>
      </c>
      <c r="B171" s="5" t="s">
        <v>11</v>
      </c>
      <c r="C171" s="3" t="s">
        <v>243</v>
      </c>
      <c r="D171" s="6">
        <v>2023</v>
      </c>
      <c r="E171" s="3" t="s">
        <v>244</v>
      </c>
      <c r="F171" s="3"/>
      <c r="G171" s="5" t="s">
        <v>110</v>
      </c>
      <c r="H171" s="5" t="s">
        <v>1740</v>
      </c>
      <c r="I171" s="5"/>
      <c r="J171" s="3"/>
    </row>
    <row r="172" spans="1:10" ht="42.75" customHeight="1">
      <c r="A172" s="5" t="s">
        <v>135</v>
      </c>
      <c r="B172" s="5" t="s">
        <v>11</v>
      </c>
      <c r="C172" s="3" t="s">
        <v>136</v>
      </c>
      <c r="D172" s="6">
        <v>2023</v>
      </c>
      <c r="E172" s="3" t="s">
        <v>137</v>
      </c>
      <c r="F172" s="3"/>
      <c r="G172" s="5" t="s">
        <v>110</v>
      </c>
      <c r="H172" s="5" t="s">
        <v>1741</v>
      </c>
      <c r="I172" s="5"/>
      <c r="J172" s="3"/>
    </row>
    <row r="173" spans="1:10" ht="42.75" customHeight="1">
      <c r="A173" s="5" t="s">
        <v>192</v>
      </c>
      <c r="B173" s="5" t="s">
        <v>11</v>
      </c>
      <c r="C173" s="3" t="s">
        <v>193</v>
      </c>
      <c r="D173" s="6">
        <v>2024</v>
      </c>
      <c r="E173" s="3" t="s">
        <v>194</v>
      </c>
      <c r="F173" s="3"/>
      <c r="G173" s="5" t="s">
        <v>110</v>
      </c>
      <c r="H173" s="5" t="s">
        <v>1742</v>
      </c>
      <c r="I173" s="5"/>
      <c r="J173" s="3"/>
    </row>
    <row r="174" spans="1:10" ht="28.5" customHeight="1">
      <c r="A174" s="5" t="s">
        <v>239</v>
      </c>
      <c r="B174" s="5" t="s">
        <v>11</v>
      </c>
      <c r="C174" s="3" t="s">
        <v>240</v>
      </c>
      <c r="D174" s="6">
        <v>2021</v>
      </c>
      <c r="E174" s="3" t="s">
        <v>241</v>
      </c>
      <c r="F174" s="3"/>
      <c r="G174" s="5" t="s">
        <v>110</v>
      </c>
      <c r="H174" s="5" t="s">
        <v>1743</v>
      </c>
      <c r="I174" s="5"/>
      <c r="J174" s="3"/>
    </row>
    <row r="175" spans="1:10" ht="42.75" customHeight="1">
      <c r="A175" s="5" t="s">
        <v>663</v>
      </c>
      <c r="B175" s="5" t="s">
        <v>11</v>
      </c>
      <c r="C175" s="3" t="s">
        <v>664</v>
      </c>
      <c r="D175" s="6">
        <v>2025</v>
      </c>
      <c r="E175" s="3" t="s">
        <v>665</v>
      </c>
      <c r="F175" s="3"/>
      <c r="G175" s="5" t="s">
        <v>110</v>
      </c>
      <c r="H175" s="5" t="s">
        <v>1744</v>
      </c>
      <c r="I175" s="5"/>
      <c r="J175" s="3"/>
    </row>
    <row r="176" spans="1:10" ht="28.5" customHeight="1">
      <c r="A176" s="5" t="s">
        <v>281</v>
      </c>
      <c r="B176" s="5" t="s">
        <v>11</v>
      </c>
      <c r="C176" s="3" t="s">
        <v>282</v>
      </c>
      <c r="D176" s="6">
        <v>2023</v>
      </c>
      <c r="E176" s="3" t="s">
        <v>283</v>
      </c>
      <c r="F176" s="3"/>
      <c r="G176" s="5" t="s">
        <v>110</v>
      </c>
      <c r="H176" s="5" t="s">
        <v>1745</v>
      </c>
      <c r="I176" s="5"/>
      <c r="J176" s="3"/>
    </row>
    <row r="177" spans="1:10" ht="28.5" customHeight="1">
      <c r="A177" s="5" t="s">
        <v>367</v>
      </c>
      <c r="B177" s="5" t="s">
        <v>11</v>
      </c>
      <c r="C177" s="3" t="s">
        <v>368</v>
      </c>
      <c r="D177" s="6">
        <v>2020</v>
      </c>
      <c r="E177" s="3" t="s">
        <v>369</v>
      </c>
      <c r="F177" s="3"/>
      <c r="G177" s="5" t="s">
        <v>110</v>
      </c>
      <c r="H177" s="5" t="s">
        <v>1746</v>
      </c>
      <c r="I177" s="5"/>
      <c r="J177" s="3"/>
    </row>
    <row r="178" spans="1:10" ht="57" customHeight="1">
      <c r="A178" s="5" t="s">
        <v>396</v>
      </c>
      <c r="B178" s="5" t="s">
        <v>11</v>
      </c>
      <c r="C178" s="3" t="s">
        <v>397</v>
      </c>
      <c r="D178" s="6">
        <v>2022</v>
      </c>
      <c r="E178" s="3" t="s">
        <v>398</v>
      </c>
      <c r="F178" s="3"/>
      <c r="G178" s="5" t="s">
        <v>110</v>
      </c>
      <c r="H178" s="5" t="s">
        <v>1747</v>
      </c>
      <c r="I178" s="5"/>
      <c r="J178" s="3"/>
    </row>
    <row r="179" spans="1:10" ht="42.75" customHeight="1">
      <c r="A179" s="5" t="s">
        <v>1748</v>
      </c>
      <c r="B179" s="5" t="s">
        <v>11</v>
      </c>
      <c r="C179" s="3" t="s">
        <v>1749</v>
      </c>
      <c r="D179" s="6">
        <v>2019</v>
      </c>
      <c r="E179" s="3" t="s">
        <v>1750</v>
      </c>
      <c r="F179" s="3"/>
      <c r="G179" s="5" t="s">
        <v>115</v>
      </c>
      <c r="H179" s="5" t="s">
        <v>1751</v>
      </c>
      <c r="I179" s="5"/>
      <c r="J179" s="3"/>
    </row>
    <row r="180" spans="1:10" ht="42.75" customHeight="1">
      <c r="A180" s="5" t="s">
        <v>263</v>
      </c>
      <c r="B180" s="5" t="s">
        <v>11</v>
      </c>
      <c r="C180" s="3" t="s">
        <v>264</v>
      </c>
      <c r="D180" s="6">
        <v>2020</v>
      </c>
      <c r="E180" s="3" t="s">
        <v>265</v>
      </c>
      <c r="F180" s="3"/>
      <c r="G180" s="5" t="s">
        <v>115</v>
      </c>
      <c r="H180" s="5" t="s">
        <v>1752</v>
      </c>
      <c r="I180" s="5"/>
      <c r="J180" s="3"/>
    </row>
    <row r="181" spans="1:10" ht="28.5" customHeight="1">
      <c r="A181" s="5" t="s">
        <v>564</v>
      </c>
      <c r="B181" s="5" t="s">
        <v>11</v>
      </c>
      <c r="C181" s="3" t="s">
        <v>565</v>
      </c>
      <c r="D181" s="6">
        <v>2023</v>
      </c>
      <c r="E181" s="3" t="s">
        <v>566</v>
      </c>
      <c r="F181" s="3"/>
      <c r="G181" s="5" t="s">
        <v>110</v>
      </c>
      <c r="H181" s="5" t="s">
        <v>1753</v>
      </c>
      <c r="I181" s="5"/>
      <c r="J181" s="3"/>
    </row>
    <row r="182" spans="1:10" ht="42.75" customHeight="1">
      <c r="A182" s="5" t="s">
        <v>511</v>
      </c>
      <c r="B182" s="5" t="s">
        <v>11</v>
      </c>
      <c r="C182" s="3" t="s">
        <v>512</v>
      </c>
      <c r="D182" s="6">
        <v>2025</v>
      </c>
      <c r="E182" s="3" t="s">
        <v>513</v>
      </c>
      <c r="F182" s="3"/>
      <c r="G182" s="5" t="s">
        <v>110</v>
      </c>
      <c r="H182" s="5" t="s">
        <v>1754</v>
      </c>
      <c r="I182" s="5"/>
      <c r="J182" s="3"/>
    </row>
    <row r="183" spans="1:10" ht="42.75" customHeight="1">
      <c r="A183" s="5" t="s">
        <v>305</v>
      </c>
      <c r="B183" s="5" t="s">
        <v>11</v>
      </c>
      <c r="C183" s="3" t="s">
        <v>306</v>
      </c>
      <c r="D183" s="6">
        <v>2024</v>
      </c>
      <c r="E183" s="3" t="s">
        <v>307</v>
      </c>
      <c r="F183" s="3"/>
      <c r="G183" s="5" t="s">
        <v>110</v>
      </c>
      <c r="H183" s="5" t="s">
        <v>1755</v>
      </c>
      <c r="I183" s="5"/>
      <c r="J183" s="3"/>
    </row>
    <row r="184" spans="1:10" ht="42.75" customHeight="1">
      <c r="A184" s="5" t="s">
        <v>678</v>
      </c>
      <c r="B184" s="5" t="s">
        <v>11</v>
      </c>
      <c r="C184" s="3" t="s">
        <v>679</v>
      </c>
      <c r="D184" s="6">
        <v>2022</v>
      </c>
      <c r="E184" s="3" t="s">
        <v>680</v>
      </c>
      <c r="F184" s="3"/>
      <c r="G184" s="5" t="s">
        <v>110</v>
      </c>
      <c r="H184" s="5" t="s">
        <v>1756</v>
      </c>
      <c r="I184" s="5"/>
      <c r="J184" s="3"/>
    </row>
    <row r="185" spans="1:10" ht="28.5" customHeight="1">
      <c r="A185" s="5" t="s">
        <v>609</v>
      </c>
      <c r="B185" s="5" t="s">
        <v>11</v>
      </c>
      <c r="C185" s="3" t="s">
        <v>309</v>
      </c>
      <c r="D185" s="6">
        <v>2016</v>
      </c>
      <c r="E185" s="3" t="s">
        <v>610</v>
      </c>
      <c r="F185" s="3"/>
      <c r="G185" s="5" t="s">
        <v>115</v>
      </c>
      <c r="H185" s="5" t="s">
        <v>1757</v>
      </c>
      <c r="I185" s="5"/>
      <c r="J185" s="3"/>
    </row>
    <row r="186" spans="1:10" ht="28.5" customHeight="1">
      <c r="A186" s="5" t="s">
        <v>1758</v>
      </c>
      <c r="B186" s="5" t="s">
        <v>11</v>
      </c>
      <c r="C186" s="3" t="s">
        <v>1759</v>
      </c>
      <c r="D186" s="6">
        <v>2020</v>
      </c>
      <c r="E186" s="3" t="s">
        <v>1760</v>
      </c>
      <c r="F186" s="3"/>
      <c r="G186" s="5" t="s">
        <v>110</v>
      </c>
      <c r="H186" s="5" t="s">
        <v>1761</v>
      </c>
      <c r="I186" s="5"/>
      <c r="J186" s="3"/>
    </row>
    <row r="187" spans="1:10" ht="28.5" customHeight="1">
      <c r="A187" s="5" t="s">
        <v>508</v>
      </c>
      <c r="B187" s="5" t="s">
        <v>11</v>
      </c>
      <c r="C187" s="3" t="s">
        <v>509</v>
      </c>
      <c r="D187" s="6">
        <v>2020</v>
      </c>
      <c r="E187" s="3" t="s">
        <v>510</v>
      </c>
      <c r="F187" s="3"/>
      <c r="G187" s="5" t="s">
        <v>110</v>
      </c>
      <c r="H187" s="5" t="s">
        <v>1762</v>
      </c>
      <c r="I187" s="5"/>
      <c r="J187" s="3"/>
    </row>
    <row r="188" spans="1:10">
      <c r="A188" s="5" t="s">
        <v>1763</v>
      </c>
      <c r="B188" s="5" t="s">
        <v>11</v>
      </c>
      <c r="C188" s="3" t="s">
        <v>1764</v>
      </c>
      <c r="D188" s="6">
        <v>2020</v>
      </c>
      <c r="E188" s="3" t="s">
        <v>1765</v>
      </c>
      <c r="F188" s="3"/>
      <c r="G188" s="5" t="s">
        <v>115</v>
      </c>
      <c r="H188" s="5" t="s">
        <v>1766</v>
      </c>
      <c r="I188" s="5"/>
      <c r="J188" s="3"/>
    </row>
    <row r="189" spans="1:10" ht="42.75" customHeight="1">
      <c r="A189" s="5" t="s">
        <v>296</v>
      </c>
      <c r="B189" s="5" t="s">
        <v>11</v>
      </c>
      <c r="C189" s="3" t="s">
        <v>297</v>
      </c>
      <c r="D189" s="6">
        <v>2023</v>
      </c>
      <c r="E189" s="3" t="s">
        <v>298</v>
      </c>
      <c r="F189" s="3"/>
      <c r="G189" s="5" t="s">
        <v>110</v>
      </c>
      <c r="H189" s="5" t="s">
        <v>1767</v>
      </c>
      <c r="I189" s="5"/>
      <c r="J189" s="3"/>
    </row>
    <row r="190" spans="1:10" ht="28.5" customHeight="1">
      <c r="A190" s="5" t="s">
        <v>1768</v>
      </c>
      <c r="B190" s="5" t="s">
        <v>11</v>
      </c>
      <c r="C190" s="3" t="s">
        <v>1769</v>
      </c>
      <c r="D190" s="6">
        <v>2024</v>
      </c>
      <c r="E190" s="3" t="s">
        <v>1770</v>
      </c>
      <c r="F190" s="3"/>
      <c r="G190" s="5" t="s">
        <v>115</v>
      </c>
      <c r="H190" s="5" t="s">
        <v>1771</v>
      </c>
      <c r="I190" s="5"/>
      <c r="J190" s="3"/>
    </row>
    <row r="191" spans="1:10" ht="28.5" customHeight="1">
      <c r="A191" s="5" t="s">
        <v>475</v>
      </c>
      <c r="B191" s="5" t="s">
        <v>11</v>
      </c>
      <c r="C191" s="3" t="s">
        <v>476</v>
      </c>
      <c r="D191" s="6">
        <v>2020</v>
      </c>
      <c r="E191" s="3" t="s">
        <v>477</v>
      </c>
      <c r="F191" s="3"/>
      <c r="G191" s="5" t="s">
        <v>110</v>
      </c>
      <c r="H191" s="5" t="s">
        <v>1772</v>
      </c>
      <c r="I191" s="5"/>
      <c r="J191" s="3"/>
    </row>
    <row r="192" spans="1:10" ht="28.5" customHeight="1">
      <c r="A192" s="5" t="s">
        <v>272</v>
      </c>
      <c r="B192" s="5" t="s">
        <v>11</v>
      </c>
      <c r="C192" s="3" t="s">
        <v>273</v>
      </c>
      <c r="D192" s="6">
        <v>2023</v>
      </c>
      <c r="E192" s="3" t="s">
        <v>274</v>
      </c>
      <c r="F192" s="3"/>
      <c r="G192" s="5" t="s">
        <v>110</v>
      </c>
      <c r="H192" s="5" t="s">
        <v>1773</v>
      </c>
      <c r="I192" s="5"/>
      <c r="J192" s="3"/>
    </row>
    <row r="193" spans="1:10" ht="28.5" customHeight="1">
      <c r="A193" s="5" t="s">
        <v>464</v>
      </c>
      <c r="B193" s="5" t="s">
        <v>11</v>
      </c>
      <c r="C193" s="3" t="s">
        <v>145</v>
      </c>
      <c r="D193" s="6">
        <v>2022</v>
      </c>
      <c r="E193" s="3" t="s">
        <v>465</v>
      </c>
      <c r="F193" s="3"/>
      <c r="G193" s="5" t="s">
        <v>110</v>
      </c>
      <c r="H193" s="5" t="s">
        <v>1774</v>
      </c>
      <c r="I193" s="5"/>
      <c r="J193" s="3"/>
    </row>
    <row r="194" spans="1:10" ht="57" customHeight="1">
      <c r="A194" s="5" t="s">
        <v>320</v>
      </c>
      <c r="B194" s="5" t="s">
        <v>11</v>
      </c>
      <c r="C194" s="3" t="s">
        <v>321</v>
      </c>
      <c r="D194" s="6">
        <v>2018</v>
      </c>
      <c r="E194" s="3" t="s">
        <v>322</v>
      </c>
      <c r="F194" s="3"/>
      <c r="G194" s="5" t="s">
        <v>115</v>
      </c>
      <c r="H194" s="5" t="s">
        <v>1775</v>
      </c>
      <c r="I194" s="5"/>
      <c r="J194" s="3"/>
    </row>
    <row r="195" spans="1:10" ht="28.5" customHeight="1">
      <c r="A195" s="5" t="s">
        <v>254</v>
      </c>
      <c r="B195" s="5" t="s">
        <v>11</v>
      </c>
      <c r="C195" s="3" t="s">
        <v>255</v>
      </c>
      <c r="D195" s="6">
        <v>2024</v>
      </c>
      <c r="E195" s="3" t="s">
        <v>256</v>
      </c>
      <c r="F195" s="3"/>
      <c r="G195" s="5" t="s">
        <v>115</v>
      </c>
      <c r="H195" s="5" t="s">
        <v>1776</v>
      </c>
      <c r="I195" s="5"/>
      <c r="J195" s="3"/>
    </row>
    <row r="196" spans="1:10" ht="42.75" customHeight="1">
      <c r="A196" s="5" t="s">
        <v>251</v>
      </c>
      <c r="B196" s="5" t="s">
        <v>11</v>
      </c>
      <c r="C196" s="3" t="s">
        <v>252</v>
      </c>
      <c r="D196" s="6">
        <v>2025</v>
      </c>
      <c r="E196" s="3" t="s">
        <v>253</v>
      </c>
      <c r="F196" s="3"/>
      <c r="G196" s="5" t="s">
        <v>110</v>
      </c>
      <c r="H196" s="5" t="s">
        <v>1777</v>
      </c>
      <c r="I196" s="5"/>
      <c r="J196" s="3"/>
    </row>
    <row r="197" spans="1:10" ht="42.75" customHeight="1">
      <c r="A197" s="5" t="s">
        <v>561</v>
      </c>
      <c r="B197" s="5" t="s">
        <v>11</v>
      </c>
      <c r="C197" s="3" t="s">
        <v>562</v>
      </c>
      <c r="D197" s="6">
        <v>2021</v>
      </c>
      <c r="E197" s="3" t="s">
        <v>563</v>
      </c>
      <c r="F197" s="3"/>
      <c r="G197" s="5" t="s">
        <v>115</v>
      </c>
      <c r="H197" s="5" t="s">
        <v>1778</v>
      </c>
      <c r="I197" s="5"/>
      <c r="J197" s="3"/>
    </row>
    <row r="198" spans="1:10" ht="28.5" customHeight="1">
      <c r="A198" s="5" t="s">
        <v>1779</v>
      </c>
      <c r="B198" s="5" t="s">
        <v>11</v>
      </c>
      <c r="C198" s="3" t="s">
        <v>1780</v>
      </c>
      <c r="D198" s="6">
        <v>2025</v>
      </c>
      <c r="E198" s="3" t="s">
        <v>1781</v>
      </c>
      <c r="F198" s="3"/>
      <c r="G198" s="5" t="s">
        <v>110</v>
      </c>
      <c r="H198" s="5" t="s">
        <v>1782</v>
      </c>
      <c r="I198" s="5"/>
      <c r="J198" s="3"/>
    </row>
    <row r="199" spans="1:10" ht="28.5" customHeight="1">
      <c r="A199" s="5" t="s">
        <v>349</v>
      </c>
      <c r="B199" s="5" t="s">
        <v>11</v>
      </c>
      <c r="C199" s="3" t="s">
        <v>350</v>
      </c>
      <c r="D199" s="6">
        <v>2024</v>
      </c>
      <c r="E199" s="3" t="s">
        <v>351</v>
      </c>
      <c r="F199" s="3"/>
      <c r="G199" s="5" t="s">
        <v>110</v>
      </c>
      <c r="H199" s="5" t="s">
        <v>1783</v>
      </c>
      <c r="I199" s="5"/>
      <c r="J199" s="3"/>
    </row>
    <row r="200" spans="1:10">
      <c r="A200" s="5" t="s">
        <v>672</v>
      </c>
      <c r="B200" s="5" t="s">
        <v>11</v>
      </c>
      <c r="C200" s="3" t="s">
        <v>673</v>
      </c>
      <c r="D200" s="6">
        <v>2022</v>
      </c>
      <c r="E200" s="3" t="s">
        <v>674</v>
      </c>
      <c r="F200" s="3"/>
      <c r="G200" s="5" t="s">
        <v>115</v>
      </c>
      <c r="H200" s="5" t="s">
        <v>1784</v>
      </c>
      <c r="I200" s="5"/>
      <c r="J200" s="3"/>
    </row>
    <row r="201" spans="1:10" ht="42.75" customHeight="1">
      <c r="A201" s="5" t="s">
        <v>1785</v>
      </c>
      <c r="B201" s="5" t="s">
        <v>11</v>
      </c>
      <c r="C201" s="3" t="s">
        <v>1786</v>
      </c>
      <c r="D201" s="6">
        <v>2021</v>
      </c>
      <c r="E201" s="3" t="s">
        <v>1787</v>
      </c>
      <c r="F201" s="3"/>
      <c r="G201" s="5" t="s">
        <v>115</v>
      </c>
      <c r="H201" s="5" t="s">
        <v>1788</v>
      </c>
      <c r="I201" s="5"/>
      <c r="J201" s="3"/>
    </row>
    <row r="202" spans="1:10" ht="28.5" customHeight="1">
      <c r="A202" s="5" t="s">
        <v>420</v>
      </c>
      <c r="B202" s="5" t="s">
        <v>11</v>
      </c>
      <c r="C202" s="3" t="s">
        <v>145</v>
      </c>
      <c r="D202" s="6">
        <v>2022</v>
      </c>
      <c r="E202" s="3" t="s">
        <v>421</v>
      </c>
      <c r="F202" s="3"/>
      <c r="G202" s="5" t="s">
        <v>110</v>
      </c>
      <c r="H202" s="5" t="s">
        <v>1789</v>
      </c>
      <c r="I202" s="5"/>
      <c r="J202" s="3"/>
    </row>
    <row r="203" spans="1:10" ht="42.75" customHeight="1">
      <c r="A203" s="5" t="s">
        <v>597</v>
      </c>
      <c r="B203" s="5" t="s">
        <v>11</v>
      </c>
      <c r="C203" s="3" t="s">
        <v>598</v>
      </c>
      <c r="D203" s="6">
        <v>2025</v>
      </c>
      <c r="E203" s="3" t="s">
        <v>599</v>
      </c>
      <c r="F203" s="3"/>
      <c r="G203" s="5" t="s">
        <v>110</v>
      </c>
      <c r="H203" s="5" t="s">
        <v>1790</v>
      </c>
      <c r="I203" s="5"/>
      <c r="J203" s="3"/>
    </row>
    <row r="204" spans="1:10" ht="28.5" customHeight="1">
      <c r="A204" s="5" t="s">
        <v>129</v>
      </c>
      <c r="B204" s="5" t="s">
        <v>11</v>
      </c>
      <c r="C204" s="3" t="s">
        <v>130</v>
      </c>
      <c r="D204" s="6">
        <v>2023</v>
      </c>
      <c r="E204" s="3" t="s">
        <v>131</v>
      </c>
      <c r="F204" s="3"/>
      <c r="G204" s="5" t="s">
        <v>110</v>
      </c>
      <c r="H204" s="5" t="s">
        <v>1791</v>
      </c>
      <c r="I204" s="5"/>
      <c r="J204" s="3"/>
    </row>
    <row r="205" spans="1:10" ht="28.5" customHeight="1">
      <c r="A205" s="5" t="s">
        <v>302</v>
      </c>
      <c r="B205" s="5" t="s">
        <v>11</v>
      </c>
      <c r="C205" s="3" t="s">
        <v>303</v>
      </c>
      <c r="D205" s="6">
        <v>2021</v>
      </c>
      <c r="E205" s="3" t="s">
        <v>304</v>
      </c>
      <c r="F205" s="3"/>
      <c r="G205" s="5" t="s">
        <v>110</v>
      </c>
      <c r="H205" s="5" t="s">
        <v>1792</v>
      </c>
      <c r="I205" s="5"/>
      <c r="J205" s="3"/>
    </row>
    <row r="206" spans="1:10" ht="28.5" customHeight="1">
      <c r="A206" s="5" t="s">
        <v>1793</v>
      </c>
      <c r="B206" s="5" t="s">
        <v>11</v>
      </c>
      <c r="C206" s="3" t="s">
        <v>1794</v>
      </c>
      <c r="D206" s="6">
        <v>2018</v>
      </c>
      <c r="E206" s="3" t="s">
        <v>1795</v>
      </c>
      <c r="F206" s="3"/>
      <c r="G206" s="5" t="s">
        <v>115</v>
      </c>
      <c r="H206" s="5"/>
      <c r="I206" s="5"/>
      <c r="J206" s="3"/>
    </row>
    <row r="207" spans="1:10" ht="42.75" customHeight="1">
      <c r="A207" s="5" t="s">
        <v>582</v>
      </c>
      <c r="B207" s="5" t="s">
        <v>11</v>
      </c>
      <c r="C207" s="3" t="s">
        <v>583</v>
      </c>
      <c r="D207" s="6">
        <v>2024</v>
      </c>
      <c r="E207" s="3" t="s">
        <v>584</v>
      </c>
      <c r="F207" s="3"/>
      <c r="G207" s="5" t="s">
        <v>110</v>
      </c>
      <c r="H207" s="5" t="s">
        <v>1796</v>
      </c>
      <c r="I207" s="5"/>
      <c r="J207" s="3"/>
    </row>
    <row r="208" spans="1:10" ht="42.75" customHeight="1">
      <c r="A208" s="5" t="s">
        <v>458</v>
      </c>
      <c r="B208" s="5" t="s">
        <v>11</v>
      </c>
      <c r="C208" s="3" t="s">
        <v>459</v>
      </c>
      <c r="D208" s="6">
        <v>2025</v>
      </c>
      <c r="E208" s="3" t="s">
        <v>460</v>
      </c>
      <c r="F208" s="3"/>
      <c r="G208" s="5" t="s">
        <v>110</v>
      </c>
      <c r="H208" s="5" t="s">
        <v>1797</v>
      </c>
      <c r="I208" s="5"/>
      <c r="J208" s="3"/>
    </row>
    <row r="209" spans="1:10" ht="28.5" customHeight="1">
      <c r="A209" s="5" t="s">
        <v>675</v>
      </c>
      <c r="B209" s="5" t="s">
        <v>11</v>
      </c>
      <c r="C209" s="3" t="s">
        <v>676</v>
      </c>
      <c r="D209" s="6">
        <v>2021</v>
      </c>
      <c r="E209" s="3" t="s">
        <v>677</v>
      </c>
      <c r="F209" s="3"/>
      <c r="G209" s="5" t="s">
        <v>110</v>
      </c>
      <c r="H209" s="5" t="s">
        <v>1798</v>
      </c>
      <c r="I209" s="5"/>
      <c r="J209" s="3"/>
    </row>
    <row r="210" spans="1:10" ht="42.75" customHeight="1">
      <c r="A210" s="5" t="s">
        <v>171</v>
      </c>
      <c r="B210" s="5" t="s">
        <v>11</v>
      </c>
      <c r="C210" s="3" t="s">
        <v>172</v>
      </c>
      <c r="D210" s="6">
        <v>2025</v>
      </c>
      <c r="E210" s="3" t="s">
        <v>173</v>
      </c>
      <c r="F210" s="3"/>
      <c r="G210" s="5" t="s">
        <v>110</v>
      </c>
      <c r="H210" s="5" t="s">
        <v>1799</v>
      </c>
      <c r="I210" s="5"/>
      <c r="J210" s="3"/>
    </row>
    <row r="211" spans="1:10">
      <c r="A211" s="5" t="s">
        <v>331</v>
      </c>
      <c r="B211" s="5" t="s">
        <v>11</v>
      </c>
      <c r="C211" s="3" t="s">
        <v>332</v>
      </c>
      <c r="D211" s="6">
        <v>2020</v>
      </c>
      <c r="E211" s="3" t="s">
        <v>333</v>
      </c>
      <c r="F211" s="3"/>
      <c r="G211" s="5" t="s">
        <v>110</v>
      </c>
      <c r="H211" s="5" t="s">
        <v>1800</v>
      </c>
      <c r="I211" s="5"/>
      <c r="J211" s="3"/>
    </row>
    <row r="212" spans="1:10" ht="57" customHeight="1">
      <c r="A212" s="5" t="s">
        <v>361</v>
      </c>
      <c r="B212" s="5" t="s">
        <v>11</v>
      </c>
      <c r="C212" s="3" t="s">
        <v>362</v>
      </c>
      <c r="D212" s="6">
        <v>2024</v>
      </c>
      <c r="E212" s="3" t="s">
        <v>363</v>
      </c>
      <c r="F212" s="3"/>
      <c r="G212" s="5" t="s">
        <v>110</v>
      </c>
      <c r="H212" s="5" t="s">
        <v>1801</v>
      </c>
      <c r="I212" s="5"/>
      <c r="J212" s="3"/>
    </row>
    <row r="213" spans="1:10" ht="42.75" customHeight="1">
      <c r="A213" s="5" t="s">
        <v>107</v>
      </c>
      <c r="B213" s="5" t="s">
        <v>11</v>
      </c>
      <c r="C213" s="3" t="s">
        <v>108</v>
      </c>
      <c r="D213" s="6">
        <v>2022</v>
      </c>
      <c r="E213" s="3" t="s">
        <v>109</v>
      </c>
      <c r="F213" s="3"/>
      <c r="G213" s="5" t="s">
        <v>110</v>
      </c>
      <c r="H213" s="5" t="s">
        <v>1802</v>
      </c>
      <c r="I213" s="5"/>
      <c r="J213" s="3"/>
    </row>
    <row r="214" spans="1:10" ht="28.5" customHeight="1">
      <c r="A214" s="5" t="s">
        <v>1803</v>
      </c>
      <c r="B214" s="5" t="s">
        <v>11</v>
      </c>
      <c r="C214" s="3" t="s">
        <v>1804</v>
      </c>
      <c r="D214" s="6">
        <v>2016</v>
      </c>
      <c r="E214" s="3" t="s">
        <v>1805</v>
      </c>
      <c r="F214" s="3"/>
      <c r="G214" s="5" t="s">
        <v>115</v>
      </c>
      <c r="H214" s="5" t="s">
        <v>1806</v>
      </c>
      <c r="I214" s="5"/>
      <c r="J214" s="3"/>
    </row>
    <row r="215" spans="1:10" ht="28.5" customHeight="1">
      <c r="A215" s="5" t="s">
        <v>257</v>
      </c>
      <c r="B215" s="5" t="s">
        <v>11</v>
      </c>
      <c r="C215" s="3" t="s">
        <v>258</v>
      </c>
      <c r="D215" s="6">
        <v>2022</v>
      </c>
      <c r="E215" s="3" t="s">
        <v>259</v>
      </c>
      <c r="F215" s="3"/>
      <c r="G215" s="5" t="s">
        <v>115</v>
      </c>
      <c r="H215" s="5" t="s">
        <v>1807</v>
      </c>
      <c r="I215" s="5"/>
      <c r="J215" s="3"/>
    </row>
    <row r="216" spans="1:10" ht="28.5" customHeight="1">
      <c r="A216" s="5" t="s">
        <v>147</v>
      </c>
      <c r="B216" s="5" t="s">
        <v>11</v>
      </c>
      <c r="C216" s="3" t="s">
        <v>148</v>
      </c>
      <c r="D216" s="6">
        <v>2023</v>
      </c>
      <c r="E216" s="3" t="s">
        <v>149</v>
      </c>
      <c r="F216" s="3"/>
      <c r="G216" s="5" t="s">
        <v>115</v>
      </c>
      <c r="H216" s="5" t="s">
        <v>1808</v>
      </c>
      <c r="I216" s="5"/>
      <c r="J216" s="3"/>
    </row>
    <row r="217" spans="1:10" ht="42.75" customHeight="1">
      <c r="A217" s="5" t="s">
        <v>628</v>
      </c>
      <c r="B217" s="5" t="s">
        <v>11</v>
      </c>
      <c r="C217" s="3" t="s">
        <v>629</v>
      </c>
      <c r="D217" s="6">
        <v>2025</v>
      </c>
      <c r="E217" s="3" t="s">
        <v>630</v>
      </c>
      <c r="F217" s="3"/>
      <c r="G217" s="5" t="s">
        <v>110</v>
      </c>
      <c r="H217" s="5" t="s">
        <v>1809</v>
      </c>
      <c r="I217" s="5"/>
      <c r="J217" s="3"/>
    </row>
    <row r="218" spans="1:10" ht="42.75" customHeight="1">
      <c r="A218" s="5" t="s">
        <v>334</v>
      </c>
      <c r="B218" s="5" t="s">
        <v>11</v>
      </c>
      <c r="C218" s="3" t="s">
        <v>335</v>
      </c>
      <c r="D218" s="6">
        <v>2020</v>
      </c>
      <c r="E218" s="3" t="s">
        <v>336</v>
      </c>
      <c r="F218" s="3"/>
      <c r="G218" s="5" t="s">
        <v>110</v>
      </c>
      <c r="H218" s="5" t="s">
        <v>1810</v>
      </c>
      <c r="I218" s="5"/>
      <c r="J218" s="3"/>
    </row>
    <row r="219" spans="1:10" ht="42.75" customHeight="1">
      <c r="A219" s="5" t="s">
        <v>699</v>
      </c>
      <c r="B219" s="5" t="s">
        <v>11</v>
      </c>
      <c r="C219" s="3" t="s">
        <v>700</v>
      </c>
      <c r="D219" s="6">
        <v>2024</v>
      </c>
      <c r="E219" s="3" t="s">
        <v>701</v>
      </c>
      <c r="F219" s="3"/>
      <c r="G219" s="5" t="s">
        <v>110</v>
      </c>
      <c r="H219" s="5" t="s">
        <v>1811</v>
      </c>
      <c r="I219" s="5"/>
      <c r="J219" s="3"/>
    </row>
    <row r="220" spans="1:10" ht="28.5" customHeight="1">
      <c r="A220" s="5" t="s">
        <v>472</v>
      </c>
      <c r="B220" s="5" t="s">
        <v>11</v>
      </c>
      <c r="C220" s="3" t="s">
        <v>473</v>
      </c>
      <c r="D220" s="6">
        <v>2022</v>
      </c>
      <c r="E220" s="3" t="s">
        <v>474</v>
      </c>
      <c r="F220" s="3"/>
      <c r="G220" s="5" t="s">
        <v>110</v>
      </c>
      <c r="H220" s="5" t="s">
        <v>1812</v>
      </c>
      <c r="I220" s="5"/>
      <c r="J220" s="3"/>
    </row>
    <row r="221" spans="1:10" ht="28.5" customHeight="1">
      <c r="A221" s="5" t="s">
        <v>189</v>
      </c>
      <c r="B221" s="5" t="s">
        <v>11</v>
      </c>
      <c r="C221" s="3" t="s">
        <v>190</v>
      </c>
      <c r="D221" s="6">
        <v>2023</v>
      </c>
      <c r="E221" s="3" t="s">
        <v>191</v>
      </c>
      <c r="F221" s="3"/>
      <c r="G221" s="5" t="s">
        <v>115</v>
      </c>
      <c r="H221" s="5" t="s">
        <v>1813</v>
      </c>
      <c r="I221" s="5"/>
      <c r="J221" s="3"/>
    </row>
    <row r="222" spans="1:10" ht="42.75" customHeight="1">
      <c r="A222" s="5" t="s">
        <v>720</v>
      </c>
      <c r="B222" s="5" t="s">
        <v>11</v>
      </c>
      <c r="C222" s="3" t="s">
        <v>721</v>
      </c>
      <c r="D222" s="6">
        <v>2024</v>
      </c>
      <c r="E222" s="3" t="s">
        <v>722</v>
      </c>
      <c r="F222" s="3"/>
      <c r="G222" s="5" t="s">
        <v>110</v>
      </c>
      <c r="H222" s="5" t="s">
        <v>1814</v>
      </c>
      <c r="I222" s="5"/>
      <c r="J222" s="3"/>
    </row>
    <row r="223" spans="1:10" ht="42.75" customHeight="1">
      <c r="A223" s="5" t="s">
        <v>591</v>
      </c>
      <c r="B223" s="5" t="s">
        <v>11</v>
      </c>
      <c r="C223" s="3" t="s">
        <v>592</v>
      </c>
      <c r="D223" s="6">
        <v>2020</v>
      </c>
      <c r="E223" s="3" t="s">
        <v>593</v>
      </c>
      <c r="F223" s="3"/>
      <c r="G223" s="5" t="s">
        <v>110</v>
      </c>
      <c r="H223" s="5" t="s">
        <v>1815</v>
      </c>
      <c r="I223" s="5"/>
      <c r="J223" s="3"/>
    </row>
    <row r="224" spans="1:10" ht="42.75" customHeight="1">
      <c r="A224" s="5" t="s">
        <v>622</v>
      </c>
      <c r="B224" s="5" t="s">
        <v>11</v>
      </c>
      <c r="C224" s="3" t="s">
        <v>623</v>
      </c>
      <c r="D224" s="6">
        <v>2019</v>
      </c>
      <c r="E224" s="3" t="s">
        <v>624</v>
      </c>
      <c r="F224" s="3"/>
      <c r="G224" s="5" t="s">
        <v>110</v>
      </c>
      <c r="H224" s="5" t="s">
        <v>1816</v>
      </c>
      <c r="I224" s="5"/>
      <c r="J224" s="3"/>
    </row>
    <row r="225" spans="1:10" ht="42.75" customHeight="1">
      <c r="A225" s="5" t="s">
        <v>1817</v>
      </c>
      <c r="B225" s="5" t="s">
        <v>11</v>
      </c>
      <c r="C225" s="3" t="s">
        <v>1818</v>
      </c>
      <c r="D225" s="6">
        <v>2024</v>
      </c>
      <c r="E225" s="3" t="s">
        <v>1819</v>
      </c>
      <c r="F225" s="3"/>
      <c r="G225" s="5" t="s">
        <v>110</v>
      </c>
      <c r="H225" s="5" t="s">
        <v>1820</v>
      </c>
      <c r="I225" s="5"/>
      <c r="J225" s="3"/>
    </row>
    <row r="226" spans="1:10" ht="42.75" customHeight="1">
      <c r="A226" s="5" t="s">
        <v>314</v>
      </c>
      <c r="B226" s="5" t="s">
        <v>11</v>
      </c>
      <c r="C226" s="3" t="s">
        <v>315</v>
      </c>
      <c r="D226" s="6">
        <v>2024</v>
      </c>
      <c r="E226" s="3" t="s">
        <v>316</v>
      </c>
      <c r="F226" s="3"/>
      <c r="G226" s="5" t="s">
        <v>110</v>
      </c>
      <c r="H226" s="5" t="s">
        <v>1821</v>
      </c>
      <c r="I226" s="5"/>
      <c r="J226" s="3"/>
    </row>
    <row r="227" spans="1:10">
      <c r="A227" s="5" t="s">
        <v>585</v>
      </c>
      <c r="B227" s="5" t="s">
        <v>11</v>
      </c>
      <c r="C227" s="3" t="s">
        <v>586</v>
      </c>
      <c r="D227" s="6">
        <v>2024</v>
      </c>
      <c r="E227" s="3" t="s">
        <v>587</v>
      </c>
      <c r="F227" s="3"/>
      <c r="G227" s="5" t="s">
        <v>110</v>
      </c>
      <c r="H227" s="5" t="s">
        <v>1822</v>
      </c>
      <c r="I227" s="5"/>
      <c r="J227" s="3"/>
    </row>
    <row r="228" spans="1:10">
      <c r="A228" s="5" t="s">
        <v>1823</v>
      </c>
      <c r="B228" s="5" t="s">
        <v>11</v>
      </c>
      <c r="C228" s="3" t="s">
        <v>1824</v>
      </c>
      <c r="D228" s="6">
        <v>2022</v>
      </c>
      <c r="E228" s="3" t="s">
        <v>1825</v>
      </c>
      <c r="F228" s="3"/>
      <c r="G228" s="5" t="s">
        <v>115</v>
      </c>
      <c r="H228" s="5" t="s">
        <v>1826</v>
      </c>
      <c r="I228" s="5"/>
      <c r="J228" s="3"/>
    </row>
    <row r="229" spans="1:10" ht="42.75" customHeight="1">
      <c r="A229" s="5" t="s">
        <v>588</v>
      </c>
      <c r="B229" s="5" t="s">
        <v>11</v>
      </c>
      <c r="C229" s="3" t="s">
        <v>589</v>
      </c>
      <c r="D229" s="6">
        <v>2025</v>
      </c>
      <c r="E229" s="3" t="s">
        <v>590</v>
      </c>
      <c r="F229" s="3"/>
      <c r="G229" s="5" t="s">
        <v>110</v>
      </c>
      <c r="H229" s="5" t="s">
        <v>1827</v>
      </c>
      <c r="I229" s="5"/>
      <c r="J229" s="3"/>
    </row>
    <row r="230" spans="1:10" ht="42.75" customHeight="1">
      <c r="A230" s="5" t="s">
        <v>440</v>
      </c>
      <c r="B230" s="5" t="s">
        <v>11</v>
      </c>
      <c r="C230" s="3" t="s">
        <v>441</v>
      </c>
      <c r="D230" s="6">
        <v>2024</v>
      </c>
      <c r="E230" s="3" t="s">
        <v>442</v>
      </c>
      <c r="F230" s="3"/>
      <c r="G230" s="5" t="s">
        <v>110</v>
      </c>
      <c r="H230" s="5" t="s">
        <v>1828</v>
      </c>
      <c r="I230" s="5"/>
      <c r="J230" s="3"/>
    </row>
    <row r="231" spans="1:10" ht="28.5" customHeight="1">
      <c r="A231" s="5" t="s">
        <v>394</v>
      </c>
      <c r="B231" s="5" t="s">
        <v>11</v>
      </c>
      <c r="C231" s="3" t="s">
        <v>309</v>
      </c>
      <c r="D231" s="6">
        <v>2015</v>
      </c>
      <c r="E231" s="3" t="s">
        <v>395</v>
      </c>
      <c r="F231" s="3"/>
      <c r="G231" s="5" t="s">
        <v>115</v>
      </c>
      <c r="H231" s="5" t="s">
        <v>1829</v>
      </c>
      <c r="I231" s="5"/>
      <c r="J231" s="3"/>
    </row>
    <row r="232" spans="1:10" ht="42.75" customHeight="1">
      <c r="A232" s="5" t="s">
        <v>1830</v>
      </c>
      <c r="B232" s="5" t="s">
        <v>11</v>
      </c>
      <c r="C232" s="3" t="s">
        <v>1831</v>
      </c>
      <c r="D232" s="6">
        <v>2020</v>
      </c>
      <c r="E232" s="3" t="s">
        <v>1832</v>
      </c>
      <c r="F232" s="3"/>
      <c r="G232" s="5" t="s">
        <v>115</v>
      </c>
      <c r="H232" s="5" t="s">
        <v>1833</v>
      </c>
      <c r="I232" s="5"/>
      <c r="J232" s="3"/>
    </row>
    <row r="233" spans="1:10" ht="42.75" customHeight="1">
      <c r="A233" s="5" t="s">
        <v>1834</v>
      </c>
      <c r="B233" s="5" t="s">
        <v>11</v>
      </c>
      <c r="C233" s="3" t="s">
        <v>1835</v>
      </c>
      <c r="D233" s="6">
        <v>2023</v>
      </c>
      <c r="E233" s="3" t="s">
        <v>1836</v>
      </c>
      <c r="F233" s="3"/>
      <c r="G233" s="5" t="s">
        <v>110</v>
      </c>
      <c r="H233" s="5" t="s">
        <v>1837</v>
      </c>
      <c r="I233" s="5"/>
      <c r="J233" s="3"/>
    </row>
    <row r="234" spans="1:10" ht="42.75" customHeight="1">
      <c r="A234" s="5" t="s">
        <v>402</v>
      </c>
      <c r="B234" s="5" t="s">
        <v>11</v>
      </c>
      <c r="C234" s="3" t="s">
        <v>403</v>
      </c>
      <c r="D234" s="6">
        <v>2021</v>
      </c>
      <c r="E234" s="3" t="s">
        <v>404</v>
      </c>
      <c r="F234" s="3"/>
      <c r="G234" s="5" t="s">
        <v>110</v>
      </c>
      <c r="H234" s="5" t="s">
        <v>1838</v>
      </c>
      <c r="I234" s="5"/>
      <c r="J234" s="3"/>
    </row>
    <row r="235" spans="1:10" ht="42.75" customHeight="1">
      <c r="A235" s="5" t="s">
        <v>358</v>
      </c>
      <c r="B235" s="5" t="s">
        <v>11</v>
      </c>
      <c r="C235" s="3" t="s">
        <v>359</v>
      </c>
      <c r="D235" s="6">
        <v>2023</v>
      </c>
      <c r="E235" s="3" t="s">
        <v>360</v>
      </c>
      <c r="F235" s="3"/>
      <c r="G235" s="5" t="s">
        <v>110</v>
      </c>
      <c r="H235" s="5" t="s">
        <v>1839</v>
      </c>
      <c r="I235" s="5"/>
      <c r="J235" s="3"/>
    </row>
    <row r="236" spans="1:10" ht="28.5" customHeight="1">
      <c r="A236" s="5" t="s">
        <v>1840</v>
      </c>
      <c r="B236" s="5" t="s">
        <v>11</v>
      </c>
      <c r="C236" s="3" t="s">
        <v>1841</v>
      </c>
      <c r="D236" s="6">
        <v>2021</v>
      </c>
      <c r="E236" s="3" t="s">
        <v>1842</v>
      </c>
      <c r="F236" s="3"/>
      <c r="G236" s="5" t="s">
        <v>110</v>
      </c>
      <c r="H236" s="5" t="s">
        <v>1843</v>
      </c>
      <c r="I236" s="5"/>
      <c r="J236" s="3"/>
    </row>
    <row r="237" spans="1:10" ht="42.75" customHeight="1">
      <c r="A237" s="5" t="s">
        <v>308</v>
      </c>
      <c r="B237" s="5" t="s">
        <v>11</v>
      </c>
      <c r="C237" s="3" t="s">
        <v>309</v>
      </c>
      <c r="D237" s="6">
        <v>2017</v>
      </c>
      <c r="E237" s="3" t="s">
        <v>310</v>
      </c>
      <c r="F237" s="3"/>
      <c r="G237" s="5" t="s">
        <v>115</v>
      </c>
      <c r="H237" s="5" t="s">
        <v>1844</v>
      </c>
      <c r="I237" s="5"/>
      <c r="J237" s="3"/>
    </row>
    <row r="238" spans="1:10" ht="28.5" customHeight="1">
      <c r="A238" s="5" t="s">
        <v>1845</v>
      </c>
      <c r="B238" s="5" t="s">
        <v>11</v>
      </c>
      <c r="C238" s="3" t="s">
        <v>1846</v>
      </c>
      <c r="D238" s="6">
        <v>2023</v>
      </c>
      <c r="E238" s="3" t="s">
        <v>1847</v>
      </c>
      <c r="F238" s="3"/>
      <c r="G238" s="5" t="s">
        <v>110</v>
      </c>
      <c r="H238" s="5" t="s">
        <v>1848</v>
      </c>
      <c r="I238" s="5"/>
      <c r="J238" s="3"/>
    </row>
    <row r="239" spans="1:10" ht="28.5" customHeight="1">
      <c r="A239" s="5" t="s">
        <v>555</v>
      </c>
      <c r="B239" s="5" t="s">
        <v>11</v>
      </c>
      <c r="C239" s="3" t="s">
        <v>556</v>
      </c>
      <c r="D239" s="6">
        <v>2015</v>
      </c>
      <c r="E239" s="3" t="s">
        <v>557</v>
      </c>
      <c r="F239" s="3"/>
      <c r="G239" s="5" t="s">
        <v>110</v>
      </c>
      <c r="H239" s="5" t="s">
        <v>1849</v>
      </c>
      <c r="I239" s="5"/>
      <c r="J239" s="3"/>
    </row>
    <row r="240" spans="1:10" ht="28.5" customHeight="1">
      <c r="A240" s="5" t="s">
        <v>1850</v>
      </c>
      <c r="B240" s="5" t="s">
        <v>11</v>
      </c>
      <c r="C240" s="3" t="s">
        <v>1851</v>
      </c>
      <c r="D240" s="6">
        <v>2020</v>
      </c>
      <c r="E240" s="3" t="s">
        <v>1852</v>
      </c>
      <c r="F240" s="3"/>
      <c r="G240" s="5" t="s">
        <v>110</v>
      </c>
      <c r="H240" s="5" t="s">
        <v>1853</v>
      </c>
      <c r="I240" s="5"/>
      <c r="J240" s="3"/>
    </row>
    <row r="241" spans="1:10" ht="42.75" customHeight="1">
      <c r="A241" s="5" t="s">
        <v>461</v>
      </c>
      <c r="B241" s="5" t="s">
        <v>11</v>
      </c>
      <c r="C241" s="3" t="s">
        <v>462</v>
      </c>
      <c r="D241" s="6">
        <v>2021</v>
      </c>
      <c r="E241" s="3" t="s">
        <v>463</v>
      </c>
      <c r="F241" s="3"/>
      <c r="G241" s="5" t="s">
        <v>115</v>
      </c>
      <c r="H241" s="5" t="s">
        <v>1854</v>
      </c>
      <c r="I241" s="5"/>
      <c r="J241" s="3"/>
    </row>
    <row r="242" spans="1:10" ht="28.5" customHeight="1">
      <c r="A242" s="5" t="s">
        <v>204</v>
      </c>
      <c r="B242" s="5" t="s">
        <v>11</v>
      </c>
      <c r="C242" s="3" t="s">
        <v>205</v>
      </c>
      <c r="D242" s="6">
        <v>2024</v>
      </c>
      <c r="E242" s="3" t="s">
        <v>206</v>
      </c>
      <c r="F242" s="3"/>
      <c r="G242" s="5" t="s">
        <v>110</v>
      </c>
      <c r="H242" s="5" t="s">
        <v>1855</v>
      </c>
      <c r="I242" s="5"/>
      <c r="J242" s="3"/>
    </row>
    <row r="243" spans="1:10" ht="42.75" customHeight="1">
      <c r="A243" s="5" t="s">
        <v>186</v>
      </c>
      <c r="B243" s="5" t="s">
        <v>11</v>
      </c>
      <c r="C243" s="3" t="s">
        <v>187</v>
      </c>
      <c r="D243" s="6">
        <v>2025</v>
      </c>
      <c r="E243" s="3" t="s">
        <v>188</v>
      </c>
      <c r="F243" s="3"/>
      <c r="G243" s="5" t="s">
        <v>110</v>
      </c>
      <c r="H243" s="5" t="s">
        <v>1856</v>
      </c>
      <c r="I243" s="5"/>
      <c r="J243" s="3"/>
    </row>
    <row r="244" spans="1:10" ht="28.5" customHeight="1">
      <c r="A244" s="5" t="s">
        <v>1857</v>
      </c>
      <c r="B244" s="5" t="s">
        <v>11</v>
      </c>
      <c r="C244" s="3" t="s">
        <v>1858</v>
      </c>
      <c r="D244" s="6">
        <v>2019</v>
      </c>
      <c r="E244" s="3" t="s">
        <v>1859</v>
      </c>
      <c r="F244" s="3"/>
      <c r="G244" s="5" t="s">
        <v>110</v>
      </c>
      <c r="H244" s="5" t="s">
        <v>1860</v>
      </c>
      <c r="I244" s="5"/>
      <c r="J244" s="3"/>
    </row>
    <row r="245" spans="1:10" ht="28.5" customHeight="1">
      <c r="A245" s="5" t="s">
        <v>1861</v>
      </c>
      <c r="B245" s="5" t="s">
        <v>11</v>
      </c>
      <c r="C245" s="3" t="s">
        <v>1862</v>
      </c>
      <c r="D245" s="6">
        <v>2021</v>
      </c>
      <c r="E245" s="3" t="s">
        <v>1863</v>
      </c>
      <c r="F245" s="3"/>
      <c r="G245" s="5" t="s">
        <v>110</v>
      </c>
      <c r="H245" s="5" t="s">
        <v>1864</v>
      </c>
      <c r="I245" s="5"/>
      <c r="J245" s="3"/>
    </row>
    <row r="246" spans="1:10" ht="28.5" customHeight="1">
      <c r="A246" s="5" t="s">
        <v>311</v>
      </c>
      <c r="B246" s="5" t="s">
        <v>11</v>
      </c>
      <c r="C246" s="3" t="s">
        <v>312</v>
      </c>
      <c r="D246" s="6">
        <v>2022</v>
      </c>
      <c r="E246" s="3" t="s">
        <v>313</v>
      </c>
      <c r="F246" s="3"/>
      <c r="G246" s="5" t="s">
        <v>110</v>
      </c>
      <c r="H246" s="5" t="s">
        <v>1865</v>
      </c>
      <c r="I246" s="5"/>
      <c r="J246" s="3"/>
    </row>
    <row r="247" spans="1:10" ht="57" customHeight="1">
      <c r="A247" s="5" t="s">
        <v>376</v>
      </c>
      <c r="B247" s="5" t="s">
        <v>11</v>
      </c>
      <c r="C247" s="3" t="s">
        <v>377</v>
      </c>
      <c r="D247" s="6">
        <v>2024</v>
      </c>
      <c r="E247" s="3" t="s">
        <v>378</v>
      </c>
      <c r="F247" s="3"/>
      <c r="G247" s="5" t="s">
        <v>110</v>
      </c>
      <c r="H247" s="5" t="s">
        <v>1866</v>
      </c>
      <c r="I247" s="5"/>
      <c r="J247" s="3"/>
    </row>
    <row r="248" spans="1:10" ht="42.75" customHeight="1">
      <c r="A248" s="5" t="s">
        <v>269</v>
      </c>
      <c r="B248" s="5" t="s">
        <v>11</v>
      </c>
      <c r="C248" s="3" t="s">
        <v>270</v>
      </c>
      <c r="D248" s="6">
        <v>2024</v>
      </c>
      <c r="E248" s="3" t="s">
        <v>271</v>
      </c>
      <c r="F248" s="3"/>
      <c r="G248" s="5" t="s">
        <v>110</v>
      </c>
      <c r="H248" s="5" t="s">
        <v>1867</v>
      </c>
      <c r="I248" s="5"/>
      <c r="J248" s="3"/>
    </row>
    <row r="249" spans="1:10" ht="42.75" customHeight="1">
      <c r="A249" s="5" t="s">
        <v>711</v>
      </c>
      <c r="B249" s="5" t="s">
        <v>11</v>
      </c>
      <c r="C249" s="3" t="s">
        <v>712</v>
      </c>
      <c r="D249" s="6">
        <v>2025</v>
      </c>
      <c r="E249" s="3" t="s">
        <v>713</v>
      </c>
      <c r="F249" s="3"/>
      <c r="G249" s="5" t="s">
        <v>110</v>
      </c>
      <c r="H249" s="5" t="s">
        <v>1868</v>
      </c>
      <c r="I249" s="5"/>
      <c r="J249" s="3"/>
    </row>
    <row r="250" spans="1:10" ht="57" customHeight="1">
      <c r="A250" s="5" t="s">
        <v>201</v>
      </c>
      <c r="B250" s="5" t="s">
        <v>11</v>
      </c>
      <c r="C250" s="3" t="s">
        <v>202</v>
      </c>
      <c r="D250" s="6">
        <v>2020</v>
      </c>
      <c r="E250" s="3" t="s">
        <v>203</v>
      </c>
      <c r="F250" s="3"/>
      <c r="G250" s="5" t="s">
        <v>110</v>
      </c>
      <c r="H250" s="5" t="s">
        <v>1869</v>
      </c>
      <c r="I250" s="5"/>
      <c r="J250" s="3"/>
    </row>
    <row r="251" spans="1:10" ht="28.5" customHeight="1">
      <c r="A251" s="5" t="s">
        <v>141</v>
      </c>
      <c r="B251" s="5" t="s">
        <v>11</v>
      </c>
      <c r="C251" s="3" t="s">
        <v>142</v>
      </c>
      <c r="D251" s="6">
        <v>2025</v>
      </c>
      <c r="E251" s="3" t="s">
        <v>143</v>
      </c>
      <c r="F251" s="3"/>
      <c r="G251" s="5" t="s">
        <v>110</v>
      </c>
      <c r="H251" s="5" t="s">
        <v>1870</v>
      </c>
      <c r="I251" s="5"/>
      <c r="J251" s="3"/>
    </row>
    <row r="252" spans="1:10" ht="42.75" customHeight="1">
      <c r="A252" s="5" t="s">
        <v>207</v>
      </c>
      <c r="B252" s="5" t="s">
        <v>11</v>
      </c>
      <c r="C252" s="3" t="s">
        <v>208</v>
      </c>
      <c r="D252" s="6">
        <v>2021</v>
      </c>
      <c r="E252" s="3" t="s">
        <v>209</v>
      </c>
      <c r="F252" s="3"/>
      <c r="G252" s="5" t="s">
        <v>110</v>
      </c>
      <c r="H252" s="5" t="s">
        <v>1871</v>
      </c>
      <c r="I252" s="5"/>
      <c r="J252" s="3"/>
    </row>
    <row r="253" spans="1:10" ht="28.5" customHeight="1">
      <c r="A253" s="5" t="s">
        <v>443</v>
      </c>
      <c r="B253" s="5" t="s">
        <v>11</v>
      </c>
      <c r="C253" s="3" t="s">
        <v>444</v>
      </c>
      <c r="D253" s="6">
        <v>2025</v>
      </c>
      <c r="E253" s="3" t="s">
        <v>445</v>
      </c>
      <c r="F253" s="3"/>
      <c r="G253" s="5" t="s">
        <v>110</v>
      </c>
      <c r="H253" s="5" t="s">
        <v>1872</v>
      </c>
      <c r="I253" s="5"/>
      <c r="J253" s="3"/>
    </row>
    <row r="254" spans="1:10" ht="28.5" customHeight="1">
      <c r="A254" s="5" t="s">
        <v>210</v>
      </c>
      <c r="B254" s="5" t="s">
        <v>11</v>
      </c>
      <c r="C254" s="3" t="s">
        <v>211</v>
      </c>
      <c r="D254" s="6">
        <v>2019</v>
      </c>
      <c r="E254" s="3" t="s">
        <v>212</v>
      </c>
      <c r="F254" s="3"/>
      <c r="G254" s="5" t="s">
        <v>110</v>
      </c>
      <c r="H254" s="5" t="s">
        <v>1873</v>
      </c>
      <c r="I254" s="5"/>
      <c r="J254" s="3"/>
    </row>
    <row r="255" spans="1:10" ht="28.5" customHeight="1">
      <c r="A255" s="5" t="s">
        <v>1874</v>
      </c>
      <c r="B255" s="5" t="s">
        <v>11</v>
      </c>
      <c r="C255" s="3" t="s">
        <v>1875</v>
      </c>
      <c r="D255" s="6">
        <v>2022</v>
      </c>
      <c r="E255" s="3" t="s">
        <v>1876</v>
      </c>
      <c r="F255" s="3"/>
      <c r="G255" s="5" t="s">
        <v>110</v>
      </c>
      <c r="H255" s="5" t="s">
        <v>1877</v>
      </c>
      <c r="I255" s="5"/>
      <c r="J255" s="3"/>
    </row>
    <row r="256" spans="1:10" ht="28.5" customHeight="1">
      <c r="A256" s="5" t="s">
        <v>702</v>
      </c>
      <c r="B256" s="5" t="s">
        <v>11</v>
      </c>
      <c r="C256" s="3" t="s">
        <v>703</v>
      </c>
      <c r="D256" s="6">
        <v>2018</v>
      </c>
      <c r="E256" s="3" t="s">
        <v>704</v>
      </c>
      <c r="F256" s="3"/>
      <c r="G256" s="5" t="s">
        <v>115</v>
      </c>
      <c r="H256" s="5" t="s">
        <v>1878</v>
      </c>
      <c r="I256" s="5"/>
      <c r="J256" s="3"/>
    </row>
    <row r="257" spans="1:10" ht="28.5" customHeight="1">
      <c r="A257" s="5" t="s">
        <v>284</v>
      </c>
      <c r="B257" s="5" t="s">
        <v>11</v>
      </c>
      <c r="C257" s="3" t="s">
        <v>285</v>
      </c>
      <c r="D257" s="6">
        <v>2025</v>
      </c>
      <c r="E257" s="3" t="s">
        <v>286</v>
      </c>
      <c r="F257" s="3"/>
      <c r="G257" s="5" t="s">
        <v>115</v>
      </c>
      <c r="H257" s="5" t="s">
        <v>1879</v>
      </c>
      <c r="I257" s="5"/>
      <c r="J257" s="3"/>
    </row>
    <row r="258" spans="1:10" ht="28.5" customHeight="1">
      <c r="A258" s="5" t="s">
        <v>625</v>
      </c>
      <c r="B258" s="5" t="s">
        <v>11</v>
      </c>
      <c r="C258" s="3" t="s">
        <v>626</v>
      </c>
      <c r="D258" s="6">
        <v>2019</v>
      </c>
      <c r="E258" s="3" t="s">
        <v>627</v>
      </c>
      <c r="F258" s="3"/>
      <c r="G258" s="5" t="s">
        <v>110</v>
      </c>
      <c r="H258" s="5" t="s">
        <v>1880</v>
      </c>
      <c r="I258" s="5"/>
      <c r="J258" s="3"/>
    </row>
    <row r="259" spans="1:10" ht="28.5" customHeight="1">
      <c r="A259" s="5" t="s">
        <v>620</v>
      </c>
      <c r="B259" s="5" t="s">
        <v>11</v>
      </c>
      <c r="C259" s="3" t="s">
        <v>536</v>
      </c>
      <c r="D259" s="6">
        <v>2019</v>
      </c>
      <c r="E259" s="3" t="s">
        <v>621</v>
      </c>
      <c r="F259" s="3"/>
      <c r="G259" s="5" t="s">
        <v>110</v>
      </c>
      <c r="H259" s="5" t="s">
        <v>1881</v>
      </c>
      <c r="I259" s="5"/>
      <c r="J259" s="3"/>
    </row>
    <row r="260" spans="1:10" ht="57" customHeight="1">
      <c r="A260" s="5" t="s">
        <v>299</v>
      </c>
      <c r="B260" s="5" t="s">
        <v>11</v>
      </c>
      <c r="C260" s="3" t="s">
        <v>300</v>
      </c>
      <c r="D260" s="6">
        <v>2025</v>
      </c>
      <c r="E260" s="3" t="s">
        <v>301</v>
      </c>
      <c r="F260" s="3"/>
      <c r="G260" s="5" t="s">
        <v>110</v>
      </c>
      <c r="H260" s="5" t="s">
        <v>1882</v>
      </c>
      <c r="I260" s="5"/>
      <c r="J260" s="3"/>
    </row>
    <row r="261" spans="1:10" ht="42.75" customHeight="1">
      <c r="A261" s="5" t="s">
        <v>523</v>
      </c>
      <c r="B261" s="5" t="s">
        <v>11</v>
      </c>
      <c r="C261" s="3" t="s">
        <v>524</v>
      </c>
      <c r="D261" s="6">
        <v>2025</v>
      </c>
      <c r="E261" s="3" t="s">
        <v>525</v>
      </c>
      <c r="F261" s="3"/>
      <c r="G261" s="5" t="s">
        <v>110</v>
      </c>
      <c r="H261" s="5" t="s">
        <v>1883</v>
      </c>
      <c r="I261" s="5"/>
      <c r="J261" s="3"/>
    </row>
    <row r="262" spans="1:10" ht="28.5" customHeight="1">
      <c r="A262" s="5" t="s">
        <v>631</v>
      </c>
      <c r="B262" s="5" t="s">
        <v>11</v>
      </c>
      <c r="C262" s="3" t="s">
        <v>632</v>
      </c>
      <c r="D262" s="6">
        <v>2023</v>
      </c>
      <c r="E262" s="3" t="s">
        <v>633</v>
      </c>
      <c r="F262" s="3"/>
      <c r="G262" s="5" t="s">
        <v>110</v>
      </c>
      <c r="H262" s="5" t="s">
        <v>1884</v>
      </c>
      <c r="I262" s="5"/>
      <c r="J262" s="3"/>
    </row>
    <row r="263" spans="1:10" ht="42.75" customHeight="1">
      <c r="A263" s="5" t="s">
        <v>408</v>
      </c>
      <c r="B263" s="5" t="s">
        <v>11</v>
      </c>
      <c r="C263" s="3" t="s">
        <v>409</v>
      </c>
      <c r="D263" s="6">
        <v>2024</v>
      </c>
      <c r="E263" s="3" t="s">
        <v>410</v>
      </c>
      <c r="F263" s="3"/>
      <c r="G263" s="5" t="s">
        <v>115</v>
      </c>
      <c r="H263" s="5" t="s">
        <v>1885</v>
      </c>
      <c r="I263" s="5"/>
      <c r="J263" s="3"/>
    </row>
    <row r="264" spans="1:10" ht="28.5" customHeight="1">
      <c r="A264" s="5" t="s">
        <v>1886</v>
      </c>
      <c r="B264" s="5" t="s">
        <v>11</v>
      </c>
      <c r="C264" s="3" t="s">
        <v>1887</v>
      </c>
      <c r="D264" s="6">
        <v>2020</v>
      </c>
      <c r="E264" s="3" t="s">
        <v>1888</v>
      </c>
      <c r="F264" s="3"/>
      <c r="G264" s="5" t="s">
        <v>115</v>
      </c>
      <c r="H264" s="5" t="s">
        <v>1889</v>
      </c>
      <c r="I264" s="5"/>
      <c r="J264" s="3"/>
    </row>
    <row r="265" spans="1:10" ht="28.5" customHeight="1">
      <c r="A265" s="5" t="s">
        <v>1890</v>
      </c>
      <c r="B265" s="5" t="s">
        <v>11</v>
      </c>
      <c r="C265" s="3" t="s">
        <v>1891</v>
      </c>
      <c r="D265" s="6">
        <v>2021</v>
      </c>
      <c r="E265" s="3" t="s">
        <v>1892</v>
      </c>
      <c r="F265" s="3"/>
      <c r="G265" s="5" t="s">
        <v>115</v>
      </c>
      <c r="H265" s="5" t="s">
        <v>1893</v>
      </c>
      <c r="I265" s="5"/>
      <c r="J265" s="3"/>
    </row>
    <row r="266" spans="1:10" ht="42.75" customHeight="1">
      <c r="A266" s="5" t="s">
        <v>634</v>
      </c>
      <c r="B266" s="5" t="s">
        <v>11</v>
      </c>
      <c r="C266" s="3" t="s">
        <v>635</v>
      </c>
      <c r="D266" s="6">
        <v>2024</v>
      </c>
      <c r="E266" s="3" t="s">
        <v>636</v>
      </c>
      <c r="F266" s="3"/>
      <c r="G266" s="5" t="s">
        <v>110</v>
      </c>
      <c r="H266" s="5"/>
      <c r="I266" s="5"/>
      <c r="J266" s="3"/>
    </row>
    <row r="267" spans="1:10" ht="28.5" customHeight="1">
      <c r="A267" s="5" t="s">
        <v>1894</v>
      </c>
      <c r="B267" s="5" t="s">
        <v>11</v>
      </c>
      <c r="C267" s="3" t="s">
        <v>1895</v>
      </c>
      <c r="D267" s="6">
        <v>2024</v>
      </c>
      <c r="E267" s="3" t="s">
        <v>1896</v>
      </c>
      <c r="F267" s="3"/>
      <c r="G267" s="5" t="s">
        <v>110</v>
      </c>
      <c r="H267" s="5" t="s">
        <v>1897</v>
      </c>
      <c r="I267" s="5"/>
      <c r="J267" s="3"/>
    </row>
    <row r="268" spans="1:10" ht="42.75" customHeight="1">
      <c r="A268" s="5" t="s">
        <v>373</v>
      </c>
      <c r="B268" s="5" t="s">
        <v>11</v>
      </c>
      <c r="C268" s="3" t="s">
        <v>374</v>
      </c>
      <c r="D268" s="6">
        <v>2024</v>
      </c>
      <c r="E268" s="3" t="s">
        <v>375</v>
      </c>
      <c r="F268" s="3"/>
      <c r="G268" s="5" t="s">
        <v>110</v>
      </c>
      <c r="H268" s="5" t="s">
        <v>1898</v>
      </c>
      <c r="I268" s="5"/>
      <c r="J268" s="3"/>
    </row>
    <row r="269" spans="1:10" ht="42.75" customHeight="1">
      <c r="A269" s="5" t="s">
        <v>379</v>
      </c>
      <c r="B269" s="5" t="s">
        <v>11</v>
      </c>
      <c r="C269" s="3" t="s">
        <v>380</v>
      </c>
      <c r="D269" s="6">
        <v>2022</v>
      </c>
      <c r="E269" s="3" t="s">
        <v>381</v>
      </c>
      <c r="F269" s="3"/>
      <c r="G269" s="5" t="s">
        <v>110</v>
      </c>
      <c r="H269" s="5" t="s">
        <v>1899</v>
      </c>
      <c r="I269" s="5"/>
      <c r="J269" s="3"/>
    </row>
    <row r="270" spans="1:10" ht="28.5" customHeight="1">
      <c r="A270" s="5" t="s">
        <v>484</v>
      </c>
      <c r="B270" s="5" t="s">
        <v>11</v>
      </c>
      <c r="C270" s="3" t="s">
        <v>485</v>
      </c>
      <c r="D270" s="6">
        <v>2021</v>
      </c>
      <c r="E270" s="3" t="s">
        <v>486</v>
      </c>
      <c r="F270" s="3"/>
      <c r="G270" s="5" t="s">
        <v>115</v>
      </c>
      <c r="H270" s="5" t="s">
        <v>1900</v>
      </c>
      <c r="I270" s="5"/>
      <c r="J270" s="3"/>
    </row>
    <row r="271" spans="1:10" ht="57" customHeight="1">
      <c r="A271" s="5" t="s">
        <v>1901</v>
      </c>
      <c r="B271" s="5" t="s">
        <v>11</v>
      </c>
      <c r="C271" s="3" t="s">
        <v>1902</v>
      </c>
      <c r="D271" s="6">
        <v>2022</v>
      </c>
      <c r="E271" s="3" t="s">
        <v>1903</v>
      </c>
      <c r="F271" s="3"/>
      <c r="G271" s="5" t="s">
        <v>110</v>
      </c>
      <c r="H271" s="5" t="s">
        <v>1904</v>
      </c>
      <c r="I271" s="5"/>
      <c r="J271" s="3"/>
    </row>
    <row r="272" spans="1:10" ht="42.75" customHeight="1">
      <c r="A272" s="5" t="s">
        <v>446</v>
      </c>
      <c r="B272" s="5" t="s">
        <v>11</v>
      </c>
      <c r="C272" s="3" t="s">
        <v>447</v>
      </c>
      <c r="D272" s="6">
        <v>2019</v>
      </c>
      <c r="E272" s="3" t="s">
        <v>448</v>
      </c>
      <c r="F272" s="3"/>
      <c r="G272" s="5" t="s">
        <v>110</v>
      </c>
      <c r="H272" s="5" t="s">
        <v>1905</v>
      </c>
      <c r="I272" s="5"/>
      <c r="J272" s="3"/>
    </row>
    <row r="273" spans="1:10" ht="42.75" customHeight="1">
      <c r="A273" s="5" t="s">
        <v>669</v>
      </c>
      <c r="B273" s="5" t="s">
        <v>11</v>
      </c>
      <c r="C273" s="3" t="s">
        <v>670</v>
      </c>
      <c r="D273" s="6">
        <v>2021</v>
      </c>
      <c r="E273" s="3" t="s">
        <v>671</v>
      </c>
      <c r="F273" s="3"/>
      <c r="G273" s="5" t="s">
        <v>115</v>
      </c>
      <c r="H273" s="5" t="s">
        <v>1906</v>
      </c>
      <c r="I273" s="5"/>
      <c r="J273" s="3"/>
    </row>
    <row r="274" spans="1:10" ht="28.5" customHeight="1">
      <c r="A274" s="5" t="s">
        <v>600</v>
      </c>
      <c r="B274" s="5" t="s">
        <v>11</v>
      </c>
      <c r="C274" s="3" t="s">
        <v>601</v>
      </c>
      <c r="D274" s="6">
        <v>2017</v>
      </c>
      <c r="E274" s="3" t="s">
        <v>602</v>
      </c>
      <c r="F274" s="3"/>
      <c r="G274" s="5" t="s">
        <v>115</v>
      </c>
      <c r="H274" s="5"/>
      <c r="I274" s="5"/>
      <c r="J274" s="3"/>
    </row>
    <row r="275" spans="1:10" ht="42.75" customHeight="1">
      <c r="A275" s="5" t="s">
        <v>1907</v>
      </c>
      <c r="B275" s="5" t="s">
        <v>11</v>
      </c>
      <c r="C275" s="3" t="s">
        <v>1908</v>
      </c>
      <c r="D275" s="6">
        <v>2022</v>
      </c>
      <c r="E275" s="3" t="s">
        <v>1909</v>
      </c>
      <c r="F275" s="3"/>
      <c r="G275" s="5" t="s">
        <v>115</v>
      </c>
      <c r="H275" s="5" t="s">
        <v>1910</v>
      </c>
      <c r="I275" s="5"/>
      <c r="J275" s="3"/>
    </row>
    <row r="276" spans="1:10" ht="42.75" customHeight="1">
      <c r="A276" s="5" t="s">
        <v>499</v>
      </c>
      <c r="B276" s="5" t="s">
        <v>11</v>
      </c>
      <c r="C276" s="3" t="s">
        <v>500</v>
      </c>
      <c r="D276" s="6">
        <v>2018</v>
      </c>
      <c r="E276" s="3" t="s">
        <v>501</v>
      </c>
      <c r="F276" s="3"/>
      <c r="G276" s="5" t="s">
        <v>110</v>
      </c>
      <c r="H276" s="5" t="s">
        <v>1911</v>
      </c>
      <c r="I276" s="5"/>
      <c r="J276" s="3"/>
    </row>
    <row r="277" spans="1:10" ht="42.75" customHeight="1">
      <c r="A277" s="5" t="s">
        <v>434</v>
      </c>
      <c r="B277" s="5" t="s">
        <v>11</v>
      </c>
      <c r="C277" s="3" t="s">
        <v>435</v>
      </c>
      <c r="D277" s="6">
        <v>2025</v>
      </c>
      <c r="E277" s="3" t="s">
        <v>436</v>
      </c>
      <c r="F277" s="3"/>
      <c r="G277" s="5" t="s">
        <v>110</v>
      </c>
      <c r="H277" s="5" t="s">
        <v>1912</v>
      </c>
      <c r="I277" s="5"/>
      <c r="J277" s="3"/>
    </row>
    <row r="278" spans="1:10" ht="42.75" customHeight="1">
      <c r="A278" s="5" t="s">
        <v>576</v>
      </c>
      <c r="B278" s="5" t="s">
        <v>11</v>
      </c>
      <c r="C278" s="3" t="s">
        <v>577</v>
      </c>
      <c r="D278" s="6">
        <v>2022</v>
      </c>
      <c r="E278" s="3" t="s">
        <v>578</v>
      </c>
      <c r="F278" s="3"/>
      <c r="G278" s="5" t="s">
        <v>110</v>
      </c>
      <c r="H278" s="5" t="s">
        <v>1913</v>
      </c>
      <c r="I278" s="5"/>
      <c r="J278" s="3"/>
    </row>
    <row r="279" spans="1:10" ht="85.5" customHeight="1">
      <c r="A279" s="5" t="s">
        <v>705</v>
      </c>
      <c r="B279" s="5" t="s">
        <v>11</v>
      </c>
      <c r="C279" s="3" t="s">
        <v>706</v>
      </c>
      <c r="D279" s="6">
        <v>2023</v>
      </c>
      <c r="E279" s="3" t="s">
        <v>707</v>
      </c>
      <c r="F279" s="3"/>
      <c r="G279" s="5" t="s">
        <v>115</v>
      </c>
      <c r="H279" s="5" t="s">
        <v>1914</v>
      </c>
      <c r="I279" s="5"/>
      <c r="J279" s="3"/>
    </row>
    <row r="280" spans="1:10" ht="42.75" customHeight="1">
      <c r="A280" s="5" t="s">
        <v>478</v>
      </c>
      <c r="B280" s="5" t="s">
        <v>11</v>
      </c>
      <c r="C280" s="3" t="s">
        <v>479</v>
      </c>
      <c r="D280" s="6">
        <v>2020</v>
      </c>
      <c r="E280" s="3" t="s">
        <v>480</v>
      </c>
      <c r="F280" s="3"/>
      <c r="G280" s="5" t="s">
        <v>110</v>
      </c>
      <c r="H280" s="5" t="s">
        <v>1915</v>
      </c>
      <c r="I280" s="5"/>
      <c r="J280" s="3"/>
    </row>
    <row r="281" spans="1:10" ht="28.5" customHeight="1">
      <c r="A281" s="5" t="s">
        <v>1916</v>
      </c>
      <c r="B281" s="5" t="s">
        <v>11</v>
      </c>
      <c r="C281" s="3" t="s">
        <v>1917</v>
      </c>
      <c r="D281" s="6">
        <v>2022</v>
      </c>
      <c r="E281" s="3" t="s">
        <v>1918</v>
      </c>
      <c r="F281" s="3"/>
      <c r="G281" s="5" t="s">
        <v>115</v>
      </c>
      <c r="H281" s="5" t="s">
        <v>1919</v>
      </c>
      <c r="I281" s="5"/>
      <c r="J281" s="3"/>
    </row>
    <row r="282" spans="1:10" ht="28.5" customHeight="1">
      <c r="A282" s="5" t="s">
        <v>120</v>
      </c>
      <c r="B282" s="5" t="s">
        <v>11</v>
      </c>
      <c r="C282" s="3" t="s">
        <v>121</v>
      </c>
      <c r="D282" s="6">
        <v>2023</v>
      </c>
      <c r="E282" s="3" t="s">
        <v>122</v>
      </c>
      <c r="F282" s="3"/>
      <c r="G282" s="5" t="s">
        <v>115</v>
      </c>
      <c r="H282" s="5" t="s">
        <v>1920</v>
      </c>
      <c r="I282" s="5"/>
      <c r="J282" s="3"/>
    </row>
    <row r="283" spans="1:10" ht="28.5" customHeight="1">
      <c r="A283" s="5" t="s">
        <v>708</v>
      </c>
      <c r="B283" s="5" t="s">
        <v>11</v>
      </c>
      <c r="C283" s="3" t="s">
        <v>709</v>
      </c>
      <c r="D283" s="6">
        <v>2018</v>
      </c>
      <c r="E283" s="3" t="s">
        <v>710</v>
      </c>
      <c r="F283" s="3"/>
      <c r="G283" s="5" t="s">
        <v>110</v>
      </c>
      <c r="H283" s="5" t="s">
        <v>1921</v>
      </c>
      <c r="I283" s="5"/>
      <c r="J283" s="3"/>
    </row>
    <row r="284" spans="1:10" ht="42.75" customHeight="1">
      <c r="A284" s="5" t="s">
        <v>388</v>
      </c>
      <c r="B284" s="5" t="s">
        <v>11</v>
      </c>
      <c r="C284" s="3" t="s">
        <v>389</v>
      </c>
      <c r="D284" s="6">
        <v>2021</v>
      </c>
      <c r="E284" s="3" t="s">
        <v>390</v>
      </c>
      <c r="F284" s="3"/>
      <c r="G284" s="5" t="s">
        <v>110</v>
      </c>
      <c r="H284" s="5" t="s">
        <v>1922</v>
      </c>
      <c r="I284" s="5"/>
      <c r="J284" s="3"/>
    </row>
    <row r="285" spans="1:10" ht="42.75" customHeight="1">
      <c r="A285" s="5" t="s">
        <v>1923</v>
      </c>
      <c r="B285" s="5" t="s">
        <v>11</v>
      </c>
      <c r="C285" s="3" t="s">
        <v>1924</v>
      </c>
      <c r="D285" s="6">
        <v>2025</v>
      </c>
      <c r="E285" s="3" t="s">
        <v>1925</v>
      </c>
      <c r="F285" s="3"/>
      <c r="G285" s="5" t="s">
        <v>110</v>
      </c>
      <c r="H285" s="5" t="s">
        <v>1926</v>
      </c>
      <c r="I285" s="5"/>
      <c r="J285" s="3"/>
    </row>
    <row r="286" spans="1:10" ht="42.75" customHeight="1">
      <c r="A286" s="5" t="s">
        <v>425</v>
      </c>
      <c r="B286" s="5" t="s">
        <v>11</v>
      </c>
      <c r="C286" s="3" t="s">
        <v>426</v>
      </c>
      <c r="D286" s="6">
        <v>2025</v>
      </c>
      <c r="E286" s="3" t="s">
        <v>427</v>
      </c>
      <c r="F286" s="3"/>
      <c r="G286" s="5" t="s">
        <v>110</v>
      </c>
      <c r="H286" s="5" t="s">
        <v>1927</v>
      </c>
      <c r="I286" s="5"/>
      <c r="J286" s="3"/>
    </row>
    <row r="287" spans="1:10" ht="42.75" customHeight="1">
      <c r="A287" s="5" t="s">
        <v>245</v>
      </c>
      <c r="B287" s="5" t="s">
        <v>11</v>
      </c>
      <c r="C287" s="3" t="s">
        <v>246</v>
      </c>
      <c r="D287" s="6">
        <v>2021</v>
      </c>
      <c r="E287" s="3" t="s">
        <v>247</v>
      </c>
      <c r="F287" s="3"/>
      <c r="G287" s="5" t="s">
        <v>110</v>
      </c>
      <c r="H287" s="5" t="s">
        <v>1928</v>
      </c>
      <c r="I287" s="5"/>
      <c r="J287" s="3"/>
    </row>
    <row r="288" spans="1:10" ht="42.75" customHeight="1">
      <c r="A288" s="5" t="s">
        <v>422</v>
      </c>
      <c r="B288" s="5" t="s">
        <v>11</v>
      </c>
      <c r="C288" s="3" t="s">
        <v>423</v>
      </c>
      <c r="D288" s="6">
        <v>2023</v>
      </c>
      <c r="E288" s="3" t="s">
        <v>424</v>
      </c>
      <c r="F288" s="3"/>
      <c r="G288" s="5" t="s">
        <v>110</v>
      </c>
      <c r="H288" s="5" t="s">
        <v>1929</v>
      </c>
      <c r="I288" s="5"/>
      <c r="J288" s="3"/>
    </row>
    <row r="289" spans="1:10" ht="28.5" customHeight="1">
      <c r="A289" s="5" t="s">
        <v>1930</v>
      </c>
      <c r="B289" s="5" t="s">
        <v>11</v>
      </c>
      <c r="C289" s="3" t="s">
        <v>1931</v>
      </c>
      <c r="D289" s="6">
        <v>2023</v>
      </c>
      <c r="E289" s="3" t="s">
        <v>1932</v>
      </c>
      <c r="F289" s="3"/>
      <c r="G289" s="5" t="s">
        <v>115</v>
      </c>
      <c r="H289" s="5" t="s">
        <v>1933</v>
      </c>
      <c r="I289" s="5"/>
      <c r="J289" s="3"/>
    </row>
    <row r="290" spans="1:10" ht="28.5" customHeight="1">
      <c r="A290" s="5" t="s">
        <v>183</v>
      </c>
      <c r="B290" s="5" t="s">
        <v>11</v>
      </c>
      <c r="C290" s="3" t="s">
        <v>184</v>
      </c>
      <c r="D290" s="6">
        <v>2020</v>
      </c>
      <c r="E290" s="3" t="s">
        <v>185</v>
      </c>
      <c r="F290" s="3"/>
      <c r="G290" s="5" t="s">
        <v>115</v>
      </c>
      <c r="H290" s="5" t="s">
        <v>1934</v>
      </c>
      <c r="I290" s="5"/>
      <c r="J290" s="3"/>
    </row>
    <row r="291" spans="1:10" ht="28.5" customHeight="1">
      <c r="A291" s="5" t="s">
        <v>1935</v>
      </c>
      <c r="B291" s="5" t="s">
        <v>11</v>
      </c>
      <c r="C291" s="3" t="s">
        <v>1936</v>
      </c>
      <c r="D291" s="6">
        <v>2023</v>
      </c>
      <c r="E291" s="3" t="s">
        <v>1937</v>
      </c>
      <c r="F291" s="3"/>
      <c r="G291" s="5" t="s">
        <v>115</v>
      </c>
      <c r="H291" s="5" t="s">
        <v>1938</v>
      </c>
      <c r="I291" s="5"/>
      <c r="J291" s="3"/>
    </row>
    <row r="292" spans="1:10">
      <c r="A292" s="5" t="s">
        <v>1939</v>
      </c>
      <c r="B292" s="5" t="s">
        <v>11</v>
      </c>
      <c r="C292" s="3" t="s">
        <v>1940</v>
      </c>
      <c r="D292" s="6">
        <v>2024</v>
      </c>
      <c r="E292" s="3" t="s">
        <v>1941</v>
      </c>
      <c r="F292" s="3"/>
      <c r="G292" s="5" t="s">
        <v>115</v>
      </c>
      <c r="H292" s="5" t="s">
        <v>1942</v>
      </c>
      <c r="I292" s="5"/>
      <c r="J292" s="3"/>
    </row>
    <row r="293" spans="1:10" ht="42.75" customHeight="1">
      <c r="A293" s="5" t="s">
        <v>177</v>
      </c>
      <c r="B293" s="5" t="s">
        <v>11</v>
      </c>
      <c r="C293" s="3" t="s">
        <v>178</v>
      </c>
      <c r="D293" s="6">
        <v>2025</v>
      </c>
      <c r="E293" s="3" t="s">
        <v>179</v>
      </c>
      <c r="F293" s="3"/>
      <c r="G293" s="5" t="s">
        <v>110</v>
      </c>
      <c r="H293" s="5" t="s">
        <v>1943</v>
      </c>
      <c r="I293" s="5"/>
      <c r="J293" s="3"/>
    </row>
    <row r="294" spans="1:10" ht="42.75" customHeight="1">
      <c r="A294" s="5" t="s">
        <v>538</v>
      </c>
      <c r="B294" s="5" t="s">
        <v>11</v>
      </c>
      <c r="C294" s="3" t="s">
        <v>539</v>
      </c>
      <c r="D294" s="6">
        <v>2024</v>
      </c>
      <c r="E294" s="3" t="s">
        <v>540</v>
      </c>
      <c r="F294" s="3"/>
      <c r="G294" s="5" t="s">
        <v>110</v>
      </c>
      <c r="H294" s="5" t="s">
        <v>1944</v>
      </c>
      <c r="I294" s="5"/>
      <c r="J294" s="3"/>
    </row>
    <row r="295" spans="1:10" ht="28.5" customHeight="1">
      <c r="A295" s="5" t="s">
        <v>1945</v>
      </c>
      <c r="B295" s="5" t="s">
        <v>11</v>
      </c>
      <c r="C295" s="3" t="s">
        <v>1946</v>
      </c>
      <c r="D295" s="6">
        <v>2025</v>
      </c>
      <c r="E295" s="3" t="s">
        <v>1947</v>
      </c>
      <c r="F295" s="3"/>
      <c r="G295" s="5" t="s">
        <v>110</v>
      </c>
      <c r="H295" s="5" t="s">
        <v>1948</v>
      </c>
      <c r="I295" s="5"/>
      <c r="J295" s="3"/>
    </row>
    <row r="296" spans="1:10" ht="28.5" customHeight="1">
      <c r="A296" s="5" t="s">
        <v>168</v>
      </c>
      <c r="B296" s="5" t="s">
        <v>11</v>
      </c>
      <c r="C296" s="3" t="s">
        <v>169</v>
      </c>
      <c r="D296" s="6">
        <v>2022</v>
      </c>
      <c r="E296" s="3" t="s">
        <v>170</v>
      </c>
      <c r="F296" s="3"/>
      <c r="G296" s="5" t="s">
        <v>115</v>
      </c>
      <c r="H296" s="5"/>
      <c r="I296" s="5"/>
      <c r="J296" s="3"/>
    </row>
    <row r="297" spans="1:10" ht="42.75" customHeight="1">
      <c r="A297" s="5" t="s">
        <v>1949</v>
      </c>
      <c r="B297" s="5" t="s">
        <v>11</v>
      </c>
      <c r="C297" s="3" t="s">
        <v>1950</v>
      </c>
      <c r="D297" s="6">
        <v>2025</v>
      </c>
      <c r="E297" s="3" t="s">
        <v>1951</v>
      </c>
      <c r="F297" s="3"/>
      <c r="G297" s="5" t="s">
        <v>110</v>
      </c>
      <c r="H297" s="5" t="s">
        <v>1952</v>
      </c>
      <c r="I297" s="5"/>
      <c r="J297" s="3"/>
    </row>
    <row r="298" spans="1:10" ht="28.5" customHeight="1">
      <c r="A298" s="5" t="s">
        <v>496</v>
      </c>
      <c r="B298" s="5" t="s">
        <v>11</v>
      </c>
      <c r="C298" s="3" t="s">
        <v>497</v>
      </c>
      <c r="D298" s="6">
        <v>2021</v>
      </c>
      <c r="E298" s="3" t="s">
        <v>498</v>
      </c>
      <c r="F298" s="3"/>
      <c r="G298" s="5" t="s">
        <v>110</v>
      </c>
      <c r="H298" s="5" t="s">
        <v>1953</v>
      </c>
      <c r="I298" s="5"/>
      <c r="J298" s="3"/>
    </row>
    <row r="299" spans="1:10" ht="42.75" customHeight="1">
      <c r="A299" s="5" t="s">
        <v>293</v>
      </c>
      <c r="B299" s="5" t="s">
        <v>11</v>
      </c>
      <c r="C299" s="3" t="s">
        <v>294</v>
      </c>
      <c r="D299" s="6">
        <v>2025</v>
      </c>
      <c r="E299" s="3" t="s">
        <v>295</v>
      </c>
      <c r="F299" s="3"/>
      <c r="G299" s="5" t="s">
        <v>115</v>
      </c>
      <c r="H299" s="5" t="s">
        <v>1954</v>
      </c>
      <c r="I299" s="5"/>
      <c r="J299" s="3"/>
    </row>
    <row r="300" spans="1:10" ht="28.5" customHeight="1">
      <c r="A300" s="5" t="s">
        <v>726</v>
      </c>
      <c r="B300" s="5" t="s">
        <v>11</v>
      </c>
      <c r="C300" s="3" t="s">
        <v>727</v>
      </c>
      <c r="D300" s="6">
        <v>2022</v>
      </c>
      <c r="E300" s="3" t="s">
        <v>728</v>
      </c>
      <c r="F300" s="3"/>
      <c r="G300" s="5" t="s">
        <v>115</v>
      </c>
      <c r="H300" s="5" t="s">
        <v>1955</v>
      </c>
      <c r="I300" s="5"/>
      <c r="J300" s="3"/>
    </row>
    <row r="301" spans="1:10" ht="28.5" customHeight="1">
      <c r="A301" s="5" t="s">
        <v>603</v>
      </c>
      <c r="B301" s="5" t="s">
        <v>11</v>
      </c>
      <c r="C301" s="3" t="s">
        <v>604</v>
      </c>
      <c r="D301" s="6">
        <v>2016</v>
      </c>
      <c r="E301" s="3" t="s">
        <v>605</v>
      </c>
      <c r="F301" s="3"/>
      <c r="G301" s="5" t="s">
        <v>110</v>
      </c>
      <c r="H301" s="5" t="s">
        <v>1956</v>
      </c>
      <c r="I301" s="5"/>
      <c r="J301" s="3"/>
    </row>
    <row r="302" spans="1:10" ht="42.75" customHeight="1">
      <c r="A302" s="5" t="s">
        <v>493</v>
      </c>
      <c r="B302" s="5" t="s">
        <v>11</v>
      </c>
      <c r="C302" s="3" t="s">
        <v>494</v>
      </c>
      <c r="D302" s="6">
        <v>2018</v>
      </c>
      <c r="E302" s="3" t="s">
        <v>495</v>
      </c>
      <c r="F302" s="3"/>
      <c r="G302" s="5" t="s">
        <v>110</v>
      </c>
      <c r="H302" s="5" t="s">
        <v>1957</v>
      </c>
      <c r="I302" s="5"/>
      <c r="J302" s="3"/>
    </row>
    <row r="303" spans="1:10" ht="28.5" customHeight="1">
      <c r="A303" s="5" t="s">
        <v>543</v>
      </c>
      <c r="B303" s="5" t="s">
        <v>11</v>
      </c>
      <c r="C303" s="3" t="s">
        <v>544</v>
      </c>
      <c r="D303" s="6">
        <v>2021</v>
      </c>
      <c r="E303" s="3" t="s">
        <v>545</v>
      </c>
      <c r="F303" s="3"/>
      <c r="G303" s="5" t="s">
        <v>110</v>
      </c>
      <c r="H303" s="5" t="s">
        <v>1958</v>
      </c>
      <c r="I303" s="5"/>
      <c r="J303" s="3"/>
    </row>
    <row r="304" spans="1:10" ht="28.5" customHeight="1">
      <c r="A304" s="5" t="s">
        <v>660</v>
      </c>
      <c r="B304" s="5" t="s">
        <v>11</v>
      </c>
      <c r="C304" s="3" t="s">
        <v>661</v>
      </c>
      <c r="D304" s="6">
        <v>2019</v>
      </c>
      <c r="E304" s="3" t="s">
        <v>662</v>
      </c>
      <c r="F304" s="3"/>
      <c r="G304" s="5" t="s">
        <v>110</v>
      </c>
      <c r="H304" s="5" t="s">
        <v>1959</v>
      </c>
      <c r="I304" s="5"/>
      <c r="J304" s="3"/>
    </row>
    <row r="305" spans="1:10" ht="28.5" customHeight="1">
      <c r="A305" s="5" t="s">
        <v>1960</v>
      </c>
      <c r="B305" s="5" t="s">
        <v>11</v>
      </c>
      <c r="C305" s="3" t="s">
        <v>1961</v>
      </c>
      <c r="D305" s="6">
        <v>2022</v>
      </c>
      <c r="E305" s="3" t="s">
        <v>1962</v>
      </c>
      <c r="F305" s="3"/>
      <c r="G305" s="5" t="s">
        <v>110</v>
      </c>
      <c r="H305" s="5" t="s">
        <v>1963</v>
      </c>
      <c r="I305" s="5"/>
      <c r="J305" s="3"/>
    </row>
    <row r="306" spans="1:10" ht="28.5" customHeight="1">
      <c r="A306" s="5" t="s">
        <v>666</v>
      </c>
      <c r="B306" s="5" t="s">
        <v>11</v>
      </c>
      <c r="C306" s="3" t="s">
        <v>667</v>
      </c>
      <c r="D306" s="6">
        <v>2017</v>
      </c>
      <c r="E306" s="3" t="s">
        <v>668</v>
      </c>
      <c r="F306" s="3"/>
      <c r="G306" s="5" t="s">
        <v>115</v>
      </c>
      <c r="H306" s="5" t="s">
        <v>1964</v>
      </c>
      <c r="I306" s="5"/>
      <c r="J306" s="3"/>
    </row>
    <row r="307" spans="1:10" ht="28.5" customHeight="1">
      <c r="A307" s="5" t="s">
        <v>222</v>
      </c>
      <c r="B307" s="5" t="s">
        <v>11</v>
      </c>
      <c r="C307" s="3" t="s">
        <v>223</v>
      </c>
      <c r="D307" s="6">
        <v>2021</v>
      </c>
      <c r="E307" s="3" t="s">
        <v>224</v>
      </c>
      <c r="F307" s="3"/>
      <c r="G307" s="5" t="s">
        <v>115</v>
      </c>
      <c r="H307" s="5" t="s">
        <v>1965</v>
      </c>
      <c r="I307" s="5"/>
      <c r="J307" s="3"/>
    </row>
    <row r="308" spans="1:10" ht="42.75" customHeight="1">
      <c r="A308" s="5" t="s">
        <v>614</v>
      </c>
      <c r="B308" s="5" t="s">
        <v>11</v>
      </c>
      <c r="C308" s="3" t="s">
        <v>615</v>
      </c>
      <c r="D308" s="6">
        <v>2024</v>
      </c>
      <c r="E308" s="3" t="s">
        <v>616</v>
      </c>
      <c r="F308" s="3"/>
      <c r="G308" s="5" t="s">
        <v>110</v>
      </c>
      <c r="H308" s="5" t="s">
        <v>1966</v>
      </c>
      <c r="I308" s="5"/>
      <c r="J308" s="3"/>
    </row>
    <row r="309" spans="1:10" ht="42.75" customHeight="1">
      <c r="A309" s="5" t="s">
        <v>1967</v>
      </c>
      <c r="B309" s="5" t="s">
        <v>20</v>
      </c>
      <c r="C309" s="3" t="s">
        <v>1968</v>
      </c>
      <c r="D309" s="6">
        <v>2026</v>
      </c>
      <c r="E309" s="3" t="s">
        <v>1969</v>
      </c>
      <c r="F309" s="3" t="s">
        <v>1970</v>
      </c>
      <c r="G309" s="5" t="s">
        <v>119</v>
      </c>
      <c r="H309" s="5"/>
      <c r="I309" s="5"/>
      <c r="J309" s="3"/>
    </row>
    <row r="310" spans="1:10" ht="42.75" customHeight="1">
      <c r="A310" s="5" t="s">
        <v>1971</v>
      </c>
      <c r="B310" s="5" t="s">
        <v>20</v>
      </c>
      <c r="C310" s="3" t="s">
        <v>1972</v>
      </c>
      <c r="D310" s="6">
        <v>2026</v>
      </c>
      <c r="E310" s="3" t="s">
        <v>1973</v>
      </c>
      <c r="F310" s="3" t="s">
        <v>1974</v>
      </c>
      <c r="G310" s="5" t="s">
        <v>119</v>
      </c>
      <c r="H310" s="5"/>
      <c r="I310" s="5"/>
      <c r="J310" s="3"/>
    </row>
    <row r="311" spans="1:10" ht="28.5" customHeight="1">
      <c r="A311" s="5" t="s">
        <v>738</v>
      </c>
      <c r="B311" s="5" t="s">
        <v>20</v>
      </c>
      <c r="C311" s="3" t="s">
        <v>739</v>
      </c>
      <c r="D311" s="6">
        <v>2026</v>
      </c>
      <c r="E311" s="3" t="s">
        <v>740</v>
      </c>
      <c r="F311" s="3" t="s">
        <v>1975</v>
      </c>
      <c r="G311" s="5" t="s">
        <v>119</v>
      </c>
      <c r="H311" s="5"/>
      <c r="I311" s="5"/>
      <c r="J311" s="3"/>
    </row>
    <row r="312" spans="1:10" ht="57" customHeight="1">
      <c r="A312" s="5" t="s">
        <v>1976</v>
      </c>
      <c r="B312" s="5" t="s">
        <v>20</v>
      </c>
      <c r="C312" s="3" t="s">
        <v>1977</v>
      </c>
      <c r="D312" s="6">
        <v>2026</v>
      </c>
      <c r="E312" s="3" t="s">
        <v>1978</v>
      </c>
      <c r="F312" s="3" t="s">
        <v>1979</v>
      </c>
      <c r="G312" s="5" t="s">
        <v>119</v>
      </c>
      <c r="H312" s="5" t="s">
        <v>1980</v>
      </c>
      <c r="I312" s="5"/>
      <c r="J312" s="3"/>
    </row>
    <row r="313" spans="1:10" ht="57" customHeight="1">
      <c r="A313" s="5" t="s">
        <v>1296</v>
      </c>
      <c r="B313" s="5" t="s">
        <v>20</v>
      </c>
      <c r="C313" s="3" t="s">
        <v>1297</v>
      </c>
      <c r="D313" s="6">
        <v>2026</v>
      </c>
      <c r="E313" s="3" t="s">
        <v>1298</v>
      </c>
      <c r="F313" s="3" t="s">
        <v>1981</v>
      </c>
      <c r="G313" s="5" t="s">
        <v>119</v>
      </c>
      <c r="H313" s="5"/>
      <c r="I313" s="5"/>
      <c r="J313" s="3"/>
    </row>
    <row r="314" spans="1:10" ht="28.5" customHeight="1">
      <c r="A314" s="5" t="s">
        <v>1982</v>
      </c>
      <c r="B314" s="5" t="s">
        <v>20</v>
      </c>
      <c r="C314" s="3" t="s">
        <v>1983</v>
      </c>
      <c r="D314" s="6">
        <v>2026</v>
      </c>
      <c r="E314" s="3" t="s">
        <v>1984</v>
      </c>
      <c r="F314" s="3" t="s">
        <v>1985</v>
      </c>
      <c r="G314" s="5" t="s">
        <v>119</v>
      </c>
      <c r="H314" s="5"/>
      <c r="I314" s="5"/>
      <c r="J314" s="3"/>
    </row>
    <row r="315" spans="1:10" ht="42.75" customHeight="1">
      <c r="A315" s="5" t="s">
        <v>1986</v>
      </c>
      <c r="B315" s="5" t="s">
        <v>20</v>
      </c>
      <c r="C315" s="3" t="s">
        <v>1987</v>
      </c>
      <c r="D315" s="6">
        <v>2026</v>
      </c>
      <c r="E315" s="3" t="s">
        <v>1988</v>
      </c>
      <c r="F315" s="3" t="s">
        <v>1989</v>
      </c>
      <c r="G315" s="5" t="s">
        <v>119</v>
      </c>
      <c r="H315" s="5" t="s">
        <v>1990</v>
      </c>
      <c r="I315" s="5"/>
      <c r="J315" s="3"/>
    </row>
    <row r="316" spans="1:10" ht="57" customHeight="1">
      <c r="A316" s="5" t="s">
        <v>1991</v>
      </c>
      <c r="B316" s="5" t="s">
        <v>20</v>
      </c>
      <c r="C316" s="3" t="s">
        <v>1992</v>
      </c>
      <c r="D316" s="6">
        <v>2026</v>
      </c>
      <c r="E316" s="3" t="s">
        <v>1993</v>
      </c>
      <c r="F316" s="3" t="s">
        <v>1994</v>
      </c>
      <c r="G316" s="5" t="s">
        <v>119</v>
      </c>
      <c r="H316" s="5"/>
      <c r="I316" s="5"/>
      <c r="J316" s="3"/>
    </row>
    <row r="317" spans="1:10" ht="57" customHeight="1">
      <c r="A317" s="5" t="s">
        <v>1995</v>
      </c>
      <c r="B317" s="5" t="s">
        <v>20</v>
      </c>
      <c r="C317" s="3" t="s">
        <v>1996</v>
      </c>
      <c r="D317" s="6">
        <v>2026</v>
      </c>
      <c r="E317" s="3" t="s">
        <v>1997</v>
      </c>
      <c r="F317" s="3" t="s">
        <v>1998</v>
      </c>
      <c r="G317" s="5" t="s">
        <v>119</v>
      </c>
      <c r="H317" s="5"/>
      <c r="I317" s="5"/>
      <c r="J317" s="3"/>
    </row>
    <row r="318" spans="1:10" ht="28.5" customHeight="1">
      <c r="A318" s="5" t="s">
        <v>1999</v>
      </c>
      <c r="B318" s="5" t="s">
        <v>20</v>
      </c>
      <c r="C318" s="3" t="s">
        <v>2000</v>
      </c>
      <c r="D318" s="6">
        <v>2026</v>
      </c>
      <c r="E318" s="3" t="s">
        <v>2001</v>
      </c>
      <c r="F318" s="3" t="s">
        <v>2002</v>
      </c>
      <c r="G318" s="5" t="s">
        <v>119</v>
      </c>
      <c r="H318" s="5"/>
      <c r="I318" s="5"/>
      <c r="J318" s="3"/>
    </row>
    <row r="319" spans="1:10" ht="42.75" customHeight="1">
      <c r="A319" s="5" t="s">
        <v>2003</v>
      </c>
      <c r="B319" s="5" t="s">
        <v>20</v>
      </c>
      <c r="C319" s="3" t="s">
        <v>2004</v>
      </c>
      <c r="D319" s="6">
        <v>2026</v>
      </c>
      <c r="E319" s="3" t="s">
        <v>2005</v>
      </c>
      <c r="F319" s="3" t="s">
        <v>2006</v>
      </c>
      <c r="G319" s="5" t="s">
        <v>119</v>
      </c>
      <c r="H319" s="5"/>
      <c r="I319" s="5"/>
      <c r="J319" s="3"/>
    </row>
    <row r="320" spans="1:10" ht="57" customHeight="1">
      <c r="A320" s="5" t="s">
        <v>768</v>
      </c>
      <c r="B320" s="5" t="s">
        <v>20</v>
      </c>
      <c r="C320" s="3" t="s">
        <v>769</v>
      </c>
      <c r="D320" s="6">
        <v>2026</v>
      </c>
      <c r="E320" s="3" t="s">
        <v>770</v>
      </c>
      <c r="F320" s="3" t="s">
        <v>2007</v>
      </c>
      <c r="G320" s="5" t="s">
        <v>119</v>
      </c>
      <c r="H320" s="5"/>
      <c r="I320" s="5"/>
      <c r="J320" s="3"/>
    </row>
    <row r="321" spans="1:10" ht="42.75" customHeight="1">
      <c r="A321" s="5" t="s">
        <v>2008</v>
      </c>
      <c r="B321" s="5" t="s">
        <v>20</v>
      </c>
      <c r="C321" s="3" t="s">
        <v>2009</v>
      </c>
      <c r="D321" s="6">
        <v>2026</v>
      </c>
      <c r="E321" s="3" t="s">
        <v>2010</v>
      </c>
      <c r="F321" s="3" t="s">
        <v>2011</v>
      </c>
      <c r="G321" s="5" t="s">
        <v>119</v>
      </c>
      <c r="H321" s="5"/>
      <c r="I321" s="5"/>
      <c r="J321" s="3"/>
    </row>
    <row r="322" spans="1:10" ht="42.75" customHeight="1">
      <c r="A322" s="5" t="s">
        <v>2012</v>
      </c>
      <c r="B322" s="5" t="s">
        <v>20</v>
      </c>
      <c r="C322" s="3" t="s">
        <v>2013</v>
      </c>
      <c r="D322" s="6">
        <v>2026</v>
      </c>
      <c r="E322" s="3" t="s">
        <v>2014</v>
      </c>
      <c r="F322" s="3" t="s">
        <v>1975</v>
      </c>
      <c r="G322" s="5" t="s">
        <v>119</v>
      </c>
      <c r="H322" s="5"/>
      <c r="I322" s="5"/>
      <c r="J322" s="3"/>
    </row>
    <row r="323" spans="1:10" ht="42.75" customHeight="1">
      <c r="A323" s="5" t="s">
        <v>2015</v>
      </c>
      <c r="B323" s="5" t="s">
        <v>20</v>
      </c>
      <c r="C323" s="3" t="s">
        <v>2016</v>
      </c>
      <c r="D323" s="6">
        <v>2026</v>
      </c>
      <c r="E323" s="3" t="s">
        <v>2017</v>
      </c>
      <c r="F323" s="3" t="s">
        <v>2018</v>
      </c>
      <c r="G323" s="5" t="s">
        <v>119</v>
      </c>
      <c r="H323" s="5"/>
      <c r="I323" s="5"/>
      <c r="J323" s="3"/>
    </row>
    <row r="324" spans="1:10" ht="42.75" customHeight="1">
      <c r="A324" s="5" t="s">
        <v>2019</v>
      </c>
      <c r="B324" s="5" t="s">
        <v>20</v>
      </c>
      <c r="C324" s="3" t="s">
        <v>2020</v>
      </c>
      <c r="D324" s="6">
        <v>2026</v>
      </c>
      <c r="E324" s="3" t="s">
        <v>2021</v>
      </c>
      <c r="F324" s="3" t="s">
        <v>2022</v>
      </c>
      <c r="G324" s="5" t="s">
        <v>119</v>
      </c>
      <c r="H324" s="5"/>
      <c r="I324" s="5"/>
      <c r="J324" s="3"/>
    </row>
    <row r="325" spans="1:10" ht="42.75" customHeight="1">
      <c r="A325" s="5" t="s">
        <v>2023</v>
      </c>
      <c r="B325" s="5" t="s">
        <v>20</v>
      </c>
      <c r="C325" s="3" t="s">
        <v>2024</v>
      </c>
      <c r="D325" s="6">
        <v>2026</v>
      </c>
      <c r="E325" s="3" t="s">
        <v>2025</v>
      </c>
      <c r="F325" s="3" t="s">
        <v>2026</v>
      </c>
      <c r="G325" s="5" t="s">
        <v>119</v>
      </c>
      <c r="H325" s="5"/>
      <c r="I325" s="5"/>
      <c r="J325" s="3"/>
    </row>
    <row r="326" spans="1:10" ht="42.75" customHeight="1">
      <c r="A326" s="5" t="s">
        <v>2027</v>
      </c>
      <c r="B326" s="5" t="s">
        <v>20</v>
      </c>
      <c r="C326" s="3" t="s">
        <v>2028</v>
      </c>
      <c r="D326" s="6">
        <v>2026</v>
      </c>
      <c r="E326" s="3" t="s">
        <v>2029</v>
      </c>
      <c r="F326" s="3" t="s">
        <v>1975</v>
      </c>
      <c r="G326" s="5" t="s">
        <v>119</v>
      </c>
      <c r="H326" s="5"/>
      <c r="I326" s="5"/>
      <c r="J326" s="3"/>
    </row>
    <row r="327" spans="1:10" ht="71.25" customHeight="1">
      <c r="A327" s="5" t="s">
        <v>1063</v>
      </c>
      <c r="B327" s="5" t="s">
        <v>20</v>
      </c>
      <c r="C327" s="3" t="s">
        <v>1064</v>
      </c>
      <c r="D327" s="6">
        <v>2026</v>
      </c>
      <c r="E327" s="3" t="s">
        <v>1065</v>
      </c>
      <c r="F327" s="3" t="s">
        <v>2030</v>
      </c>
      <c r="G327" s="5" t="s">
        <v>119</v>
      </c>
      <c r="H327" s="5"/>
      <c r="I327" s="5"/>
      <c r="J327" s="3"/>
    </row>
    <row r="328" spans="1:10" ht="42.75" customHeight="1">
      <c r="A328" s="5" t="s">
        <v>2031</v>
      </c>
      <c r="B328" s="5" t="s">
        <v>20</v>
      </c>
      <c r="C328" s="3" t="s">
        <v>2032</v>
      </c>
      <c r="D328" s="6">
        <v>2026</v>
      </c>
      <c r="E328" s="3" t="s">
        <v>2033</v>
      </c>
      <c r="F328" s="3" t="s">
        <v>2034</v>
      </c>
      <c r="G328" s="5" t="s">
        <v>119</v>
      </c>
      <c r="H328" s="5"/>
      <c r="I328" s="5"/>
      <c r="J328" s="3"/>
    </row>
    <row r="329" spans="1:10" ht="114" customHeight="1">
      <c r="A329" s="5" t="s">
        <v>2035</v>
      </c>
      <c r="B329" s="5" t="s">
        <v>20</v>
      </c>
      <c r="C329" s="3" t="s">
        <v>2036</v>
      </c>
      <c r="D329" s="6">
        <v>2026</v>
      </c>
      <c r="E329" s="3" t="s">
        <v>2037</v>
      </c>
      <c r="F329" s="3" t="s">
        <v>2038</v>
      </c>
      <c r="G329" s="5" t="s">
        <v>119</v>
      </c>
      <c r="H329" s="5"/>
      <c r="I329" s="5"/>
      <c r="J329" s="3"/>
    </row>
    <row r="330" spans="1:10" ht="57" customHeight="1">
      <c r="A330" s="5" t="s">
        <v>2039</v>
      </c>
      <c r="B330" s="5" t="s">
        <v>20</v>
      </c>
      <c r="C330" s="3" t="s">
        <v>2040</v>
      </c>
      <c r="D330" s="6">
        <v>2026</v>
      </c>
      <c r="E330" s="3" t="s">
        <v>2041</v>
      </c>
      <c r="F330" s="3" t="s">
        <v>2042</v>
      </c>
      <c r="G330" s="5" t="s">
        <v>119</v>
      </c>
      <c r="H330" s="5"/>
      <c r="I330" s="5"/>
      <c r="J330" s="3"/>
    </row>
    <row r="331" spans="1:10" ht="71.25" customHeight="1">
      <c r="A331" s="5" t="s">
        <v>2043</v>
      </c>
      <c r="B331" s="5" t="s">
        <v>20</v>
      </c>
      <c r="C331" s="3" t="s">
        <v>2044</v>
      </c>
      <c r="D331" s="6">
        <v>2026</v>
      </c>
      <c r="E331" s="3" t="s">
        <v>2045</v>
      </c>
      <c r="F331" s="3" t="s">
        <v>2046</v>
      </c>
      <c r="G331" s="5" t="s">
        <v>119</v>
      </c>
      <c r="H331" s="5"/>
      <c r="I331" s="5"/>
      <c r="J331" s="3"/>
    </row>
    <row r="332" spans="1:10" ht="57" customHeight="1">
      <c r="A332" s="5" t="s">
        <v>2047</v>
      </c>
      <c r="B332" s="5" t="s">
        <v>20</v>
      </c>
      <c r="C332" s="3" t="s">
        <v>2048</v>
      </c>
      <c r="D332" s="6">
        <v>2026</v>
      </c>
      <c r="E332" s="3" t="s">
        <v>2049</v>
      </c>
      <c r="F332" s="3" t="s">
        <v>1975</v>
      </c>
      <c r="G332" s="5" t="s">
        <v>119</v>
      </c>
      <c r="H332" s="5"/>
      <c r="I332" s="5"/>
      <c r="J332" s="3"/>
    </row>
    <row r="333" spans="1:10" ht="42.75" customHeight="1">
      <c r="A333" s="5" t="s">
        <v>1003</v>
      </c>
      <c r="B333" s="5" t="s">
        <v>20</v>
      </c>
      <c r="C333" s="3" t="s">
        <v>1004</v>
      </c>
      <c r="D333" s="6">
        <v>2026</v>
      </c>
      <c r="E333" s="3" t="s">
        <v>1005</v>
      </c>
      <c r="F333" s="3" t="s">
        <v>2050</v>
      </c>
      <c r="G333" s="5" t="s">
        <v>119</v>
      </c>
      <c r="H333" s="5"/>
      <c r="I333" s="5"/>
      <c r="J333" s="3"/>
    </row>
    <row r="334" spans="1:10" ht="42.75" customHeight="1">
      <c r="A334" s="5" t="s">
        <v>2051</v>
      </c>
      <c r="B334" s="5" t="s">
        <v>20</v>
      </c>
      <c r="C334" s="3" t="s">
        <v>2052</v>
      </c>
      <c r="D334" s="6">
        <v>2026</v>
      </c>
      <c r="E334" s="3" t="s">
        <v>2053</v>
      </c>
      <c r="F334" s="3" t="s">
        <v>2054</v>
      </c>
      <c r="G334" s="5" t="s">
        <v>119</v>
      </c>
      <c r="H334" s="5"/>
      <c r="I334" s="5"/>
      <c r="J334" s="3"/>
    </row>
    <row r="335" spans="1:10" ht="42.75" customHeight="1">
      <c r="A335" s="5" t="s">
        <v>2055</v>
      </c>
      <c r="B335" s="5" t="s">
        <v>20</v>
      </c>
      <c r="C335" s="3" t="s">
        <v>2056</v>
      </c>
      <c r="D335" s="6">
        <v>2026</v>
      </c>
      <c r="E335" s="3" t="s">
        <v>2057</v>
      </c>
      <c r="F335" s="3" t="s">
        <v>2058</v>
      </c>
      <c r="G335" s="5" t="s">
        <v>119</v>
      </c>
      <c r="H335" s="5"/>
      <c r="I335" s="5"/>
      <c r="J335" s="3"/>
    </row>
    <row r="336" spans="1:10" ht="42.75" customHeight="1">
      <c r="A336" s="5" t="s">
        <v>2059</v>
      </c>
      <c r="B336" s="5" t="s">
        <v>20</v>
      </c>
      <c r="C336" s="3" t="s">
        <v>2060</v>
      </c>
      <c r="D336" s="6">
        <v>2026</v>
      </c>
      <c r="E336" s="3" t="s">
        <v>2061</v>
      </c>
      <c r="F336" s="3" t="s">
        <v>2062</v>
      </c>
      <c r="G336" s="5" t="s">
        <v>119</v>
      </c>
      <c r="H336" s="5"/>
      <c r="I336" s="5"/>
      <c r="J336" s="3"/>
    </row>
    <row r="337" spans="1:10" ht="42.75" customHeight="1">
      <c r="A337" s="5" t="s">
        <v>2063</v>
      </c>
      <c r="B337" s="5" t="s">
        <v>20</v>
      </c>
      <c r="C337" s="3" t="s">
        <v>2064</v>
      </c>
      <c r="D337" s="6">
        <v>2026</v>
      </c>
      <c r="E337" s="3" t="s">
        <v>2065</v>
      </c>
      <c r="F337" s="3" t="s">
        <v>2066</v>
      </c>
      <c r="G337" s="5" t="s">
        <v>119</v>
      </c>
      <c r="H337" s="5"/>
      <c r="I337" s="5"/>
      <c r="J337" s="3"/>
    </row>
    <row r="338" spans="1:10" ht="28.5" customHeight="1">
      <c r="A338" s="5" t="s">
        <v>2067</v>
      </c>
      <c r="B338" s="5" t="s">
        <v>20</v>
      </c>
      <c r="C338" s="3" t="s">
        <v>2068</v>
      </c>
      <c r="D338" s="6">
        <v>2026</v>
      </c>
      <c r="E338" s="3" t="s">
        <v>2069</v>
      </c>
      <c r="F338" s="3" t="s">
        <v>2070</v>
      </c>
      <c r="G338" s="5" t="s">
        <v>119</v>
      </c>
      <c r="H338" s="5" t="s">
        <v>2071</v>
      </c>
      <c r="I338" s="5"/>
      <c r="J338" s="3"/>
    </row>
    <row r="339" spans="1:10" ht="71.25" customHeight="1">
      <c r="A339" s="5" t="s">
        <v>2072</v>
      </c>
      <c r="B339" s="5" t="s">
        <v>20</v>
      </c>
      <c r="C339" s="3" t="s">
        <v>2073</v>
      </c>
      <c r="D339" s="6">
        <v>2026</v>
      </c>
      <c r="E339" s="3" t="s">
        <v>2074</v>
      </c>
      <c r="F339" s="3" t="s">
        <v>2075</v>
      </c>
      <c r="G339" s="5" t="s">
        <v>119</v>
      </c>
      <c r="H339" s="5"/>
      <c r="I339" s="5"/>
      <c r="J339" s="3"/>
    </row>
    <row r="340" spans="1:10" ht="28.5" customHeight="1">
      <c r="A340" s="5" t="s">
        <v>2076</v>
      </c>
      <c r="B340" s="5" t="s">
        <v>20</v>
      </c>
      <c r="C340" s="3" t="s">
        <v>2077</v>
      </c>
      <c r="D340" s="6">
        <v>2026</v>
      </c>
      <c r="E340" s="3" t="s">
        <v>2078</v>
      </c>
      <c r="F340" s="3" t="s">
        <v>2079</v>
      </c>
      <c r="G340" s="5" t="s">
        <v>119</v>
      </c>
      <c r="H340" s="5"/>
      <c r="I340" s="5"/>
      <c r="J340" s="3"/>
    </row>
    <row r="341" spans="1:10" ht="28.5" customHeight="1">
      <c r="A341" s="5" t="s">
        <v>2080</v>
      </c>
      <c r="B341" s="5" t="s">
        <v>20</v>
      </c>
      <c r="C341" s="3" t="s">
        <v>2081</v>
      </c>
      <c r="D341" s="6">
        <v>2026</v>
      </c>
      <c r="E341" s="3" t="s">
        <v>2082</v>
      </c>
      <c r="F341" s="3" t="s">
        <v>2083</v>
      </c>
      <c r="G341" s="5" t="s">
        <v>119</v>
      </c>
      <c r="H341" s="5"/>
      <c r="I341" s="5"/>
      <c r="J341" s="3"/>
    </row>
    <row r="342" spans="1:10" ht="57" customHeight="1">
      <c r="A342" s="5" t="s">
        <v>2084</v>
      </c>
      <c r="B342" s="5" t="s">
        <v>20</v>
      </c>
      <c r="C342" s="3" t="s">
        <v>2085</v>
      </c>
      <c r="D342" s="6">
        <v>2026</v>
      </c>
      <c r="E342" s="3" t="s">
        <v>2086</v>
      </c>
      <c r="F342" s="3" t="s">
        <v>2087</v>
      </c>
      <c r="G342" s="5" t="s">
        <v>119</v>
      </c>
      <c r="H342" s="5"/>
      <c r="I342" s="5"/>
      <c r="J342" s="3"/>
    </row>
    <row r="343" spans="1:10" ht="28.5" customHeight="1">
      <c r="A343" s="5" t="s">
        <v>2088</v>
      </c>
      <c r="B343" s="5" t="s">
        <v>20</v>
      </c>
      <c r="C343" s="3" t="s">
        <v>2089</v>
      </c>
      <c r="D343" s="6">
        <v>2026</v>
      </c>
      <c r="E343" s="3" t="s">
        <v>2090</v>
      </c>
      <c r="F343" s="3" t="s">
        <v>2091</v>
      </c>
      <c r="G343" s="5" t="s">
        <v>119</v>
      </c>
      <c r="H343" s="5"/>
      <c r="I343" s="5"/>
      <c r="J343" s="3"/>
    </row>
    <row r="344" spans="1:10" ht="28.5" customHeight="1">
      <c r="A344" s="5" t="s">
        <v>2092</v>
      </c>
      <c r="B344" s="5" t="s">
        <v>20</v>
      </c>
      <c r="C344" s="3" t="s">
        <v>2093</v>
      </c>
      <c r="D344" s="6">
        <v>2026</v>
      </c>
      <c r="E344" s="3" t="s">
        <v>2094</v>
      </c>
      <c r="F344" s="3" t="s">
        <v>2095</v>
      </c>
      <c r="G344" s="5" t="s">
        <v>119</v>
      </c>
      <c r="H344" s="5"/>
      <c r="I344" s="5"/>
      <c r="J344" s="3"/>
    </row>
    <row r="345" spans="1:10" ht="42.75" customHeight="1">
      <c r="A345" s="5" t="s">
        <v>2096</v>
      </c>
      <c r="B345" s="5" t="s">
        <v>20</v>
      </c>
      <c r="C345" s="3" t="s">
        <v>2097</v>
      </c>
      <c r="D345" s="6">
        <v>2025</v>
      </c>
      <c r="E345" s="3" t="s">
        <v>2098</v>
      </c>
      <c r="F345" s="3" t="s">
        <v>2099</v>
      </c>
      <c r="G345" s="5" t="s">
        <v>119</v>
      </c>
      <c r="H345" s="5"/>
      <c r="I345" s="5"/>
      <c r="J345" s="3"/>
    </row>
    <row r="346" spans="1:10" ht="71.25" customHeight="1">
      <c r="A346" s="5" t="s">
        <v>2100</v>
      </c>
      <c r="B346" s="5" t="s">
        <v>20</v>
      </c>
      <c r="C346" s="3" t="s">
        <v>2101</v>
      </c>
      <c r="D346" s="6">
        <v>2026</v>
      </c>
      <c r="E346" s="3" t="s">
        <v>2102</v>
      </c>
      <c r="F346" s="3" t="s">
        <v>2103</v>
      </c>
      <c r="G346" s="5" t="s">
        <v>119</v>
      </c>
      <c r="H346" s="5"/>
      <c r="I346" s="5"/>
      <c r="J346" s="3"/>
    </row>
    <row r="347" spans="1:10" ht="28.5" customHeight="1">
      <c r="A347" s="5" t="s">
        <v>2104</v>
      </c>
      <c r="B347" s="5" t="s">
        <v>20</v>
      </c>
      <c r="C347" s="3" t="s">
        <v>2105</v>
      </c>
      <c r="D347" s="6">
        <v>2025</v>
      </c>
      <c r="E347" s="3" t="s">
        <v>2106</v>
      </c>
      <c r="F347" s="3" t="s">
        <v>2107</v>
      </c>
      <c r="G347" s="5" t="s">
        <v>119</v>
      </c>
      <c r="H347" s="5"/>
      <c r="I347" s="5"/>
      <c r="J347" s="3"/>
    </row>
    <row r="348" spans="1:10" ht="42.75" customHeight="1">
      <c r="A348" s="5" t="s">
        <v>2108</v>
      </c>
      <c r="B348" s="5" t="s">
        <v>20</v>
      </c>
      <c r="C348" s="3" t="s">
        <v>2109</v>
      </c>
      <c r="D348" s="6">
        <v>2025</v>
      </c>
      <c r="E348" s="3" t="s">
        <v>2110</v>
      </c>
      <c r="F348" s="3" t="s">
        <v>2026</v>
      </c>
      <c r="G348" s="5" t="s">
        <v>119</v>
      </c>
      <c r="H348" s="5"/>
      <c r="I348" s="5"/>
      <c r="J348" s="3"/>
    </row>
    <row r="349" spans="1:10" ht="57" customHeight="1">
      <c r="A349" s="5" t="s">
        <v>2111</v>
      </c>
      <c r="B349" s="5" t="s">
        <v>20</v>
      </c>
      <c r="C349" s="3" t="s">
        <v>2112</v>
      </c>
      <c r="D349" s="6">
        <v>2025</v>
      </c>
      <c r="E349" s="3" t="s">
        <v>2113</v>
      </c>
      <c r="F349" s="3" t="s">
        <v>2114</v>
      </c>
      <c r="G349" s="5" t="s">
        <v>119</v>
      </c>
      <c r="H349" s="5"/>
      <c r="I349" s="5"/>
      <c r="J349" s="3"/>
    </row>
    <row r="350" spans="1:10" ht="42.75" customHeight="1">
      <c r="A350" s="5" t="s">
        <v>2115</v>
      </c>
      <c r="B350" s="5" t="s">
        <v>20</v>
      </c>
      <c r="C350" s="3" t="s">
        <v>2116</v>
      </c>
      <c r="D350" s="6">
        <v>2025</v>
      </c>
      <c r="E350" s="3" t="s">
        <v>2117</v>
      </c>
      <c r="F350" s="3" t="s">
        <v>2118</v>
      </c>
      <c r="G350" s="5" t="s">
        <v>119</v>
      </c>
      <c r="H350" s="5"/>
      <c r="I350" s="5"/>
      <c r="J350" s="3"/>
    </row>
    <row r="351" spans="1:10" ht="57" customHeight="1">
      <c r="A351" s="5" t="s">
        <v>2119</v>
      </c>
      <c r="B351" s="5" t="s">
        <v>20</v>
      </c>
      <c r="C351" s="3" t="s">
        <v>2120</v>
      </c>
      <c r="D351" s="6">
        <v>2025</v>
      </c>
      <c r="E351" s="3" t="s">
        <v>2121</v>
      </c>
      <c r="F351" s="3" t="s">
        <v>2122</v>
      </c>
      <c r="G351" s="5" t="s">
        <v>119</v>
      </c>
      <c r="H351" s="5"/>
      <c r="I351" s="5"/>
      <c r="J351" s="3"/>
    </row>
    <row r="352" spans="1:10" ht="28.5" customHeight="1">
      <c r="A352" s="5" t="s">
        <v>2123</v>
      </c>
      <c r="B352" s="5" t="s">
        <v>20</v>
      </c>
      <c r="C352" s="3" t="s">
        <v>2124</v>
      </c>
      <c r="D352" s="6">
        <v>2025</v>
      </c>
      <c r="E352" s="3" t="s">
        <v>2125</v>
      </c>
      <c r="F352" s="3" t="s">
        <v>2126</v>
      </c>
      <c r="G352" s="5" t="s">
        <v>119</v>
      </c>
      <c r="H352" s="5"/>
      <c r="I352" s="5"/>
      <c r="J352" s="3"/>
    </row>
    <row r="353" spans="1:10" ht="42.75" customHeight="1">
      <c r="A353" s="5" t="s">
        <v>2127</v>
      </c>
      <c r="B353" s="5" t="s">
        <v>20</v>
      </c>
      <c r="C353" s="3" t="s">
        <v>2128</v>
      </c>
      <c r="D353" s="6">
        <v>2025</v>
      </c>
      <c r="E353" s="3" t="s">
        <v>2129</v>
      </c>
      <c r="F353" s="3" t="s">
        <v>2130</v>
      </c>
      <c r="G353" s="5" t="s">
        <v>119</v>
      </c>
      <c r="H353" s="5" t="s">
        <v>2131</v>
      </c>
      <c r="I353" s="5"/>
      <c r="J353" s="3"/>
    </row>
    <row r="354" spans="1:10" ht="142.5" customHeight="1">
      <c r="A354" s="5" t="s">
        <v>2132</v>
      </c>
      <c r="B354" s="5" t="s">
        <v>20</v>
      </c>
      <c r="C354" s="3" t="s">
        <v>2133</v>
      </c>
      <c r="D354" s="6">
        <v>2026</v>
      </c>
      <c r="E354" s="3" t="s">
        <v>2134</v>
      </c>
      <c r="F354" s="3" t="s">
        <v>2135</v>
      </c>
      <c r="G354" s="5" t="s">
        <v>119</v>
      </c>
      <c r="H354" s="5"/>
      <c r="I354" s="5"/>
      <c r="J354" s="3"/>
    </row>
    <row r="355" spans="1:10" ht="42.75" customHeight="1">
      <c r="A355" s="5" t="s">
        <v>2136</v>
      </c>
      <c r="B355" s="5" t="s">
        <v>20</v>
      </c>
      <c r="C355" s="3" t="s">
        <v>2137</v>
      </c>
      <c r="D355" s="6">
        <v>2025</v>
      </c>
      <c r="E355" s="3" t="s">
        <v>2138</v>
      </c>
      <c r="F355" s="3" t="s">
        <v>2139</v>
      </c>
      <c r="G355" s="5" t="s">
        <v>119</v>
      </c>
      <c r="H355" s="5"/>
      <c r="I355" s="5"/>
      <c r="J355" s="3"/>
    </row>
    <row r="356" spans="1:10" ht="71.25" customHeight="1">
      <c r="A356" s="5" t="s">
        <v>2140</v>
      </c>
      <c r="B356" s="5" t="s">
        <v>20</v>
      </c>
      <c r="C356" s="3" t="s">
        <v>2141</v>
      </c>
      <c r="D356" s="6">
        <v>2025</v>
      </c>
      <c r="E356" s="3" t="s">
        <v>2142</v>
      </c>
      <c r="F356" s="3" t="s">
        <v>2143</v>
      </c>
      <c r="G356" s="5" t="s">
        <v>119</v>
      </c>
      <c r="H356" s="5"/>
      <c r="I356" s="5"/>
      <c r="J356" s="3"/>
    </row>
    <row r="357" spans="1:10" ht="42.75" customHeight="1">
      <c r="A357" s="5" t="s">
        <v>2144</v>
      </c>
      <c r="B357" s="5" t="s">
        <v>20</v>
      </c>
      <c r="C357" s="3" t="s">
        <v>2145</v>
      </c>
      <c r="D357" s="6">
        <v>2025</v>
      </c>
      <c r="E357" s="3" t="s">
        <v>2146</v>
      </c>
      <c r="F357" s="3" t="s">
        <v>2147</v>
      </c>
      <c r="G357" s="5" t="s">
        <v>119</v>
      </c>
      <c r="H357" s="5"/>
      <c r="I357" s="5"/>
      <c r="J357" s="3"/>
    </row>
    <row r="358" spans="1:10" ht="42.75" customHeight="1">
      <c r="A358" s="5" t="s">
        <v>2148</v>
      </c>
      <c r="B358" s="5" t="s">
        <v>20</v>
      </c>
      <c r="C358" s="3" t="s">
        <v>2149</v>
      </c>
      <c r="D358" s="6">
        <v>2025</v>
      </c>
      <c r="E358" s="3" t="s">
        <v>2150</v>
      </c>
      <c r="F358" s="3" t="s">
        <v>2151</v>
      </c>
      <c r="G358" s="5" t="s">
        <v>119</v>
      </c>
      <c r="H358" s="5"/>
      <c r="I358" s="5"/>
      <c r="J358" s="3"/>
    </row>
    <row r="359" spans="1:10" ht="42.75" customHeight="1">
      <c r="A359" s="5" t="s">
        <v>1087</v>
      </c>
      <c r="B359" s="5" t="s">
        <v>20</v>
      </c>
      <c r="C359" s="3" t="s">
        <v>1088</v>
      </c>
      <c r="D359" s="6">
        <v>2025</v>
      </c>
      <c r="E359" s="3" t="s">
        <v>1089</v>
      </c>
      <c r="F359" s="3" t="s">
        <v>2152</v>
      </c>
      <c r="G359" s="5" t="s">
        <v>119</v>
      </c>
      <c r="H359" s="5"/>
      <c r="I359" s="5"/>
      <c r="J359" s="3"/>
    </row>
    <row r="360" spans="1:10" ht="28.5" customHeight="1">
      <c r="A360" s="5" t="s">
        <v>2153</v>
      </c>
      <c r="B360" s="5" t="s">
        <v>20</v>
      </c>
      <c r="C360" s="3" t="s">
        <v>2154</v>
      </c>
      <c r="D360" s="6">
        <v>2025</v>
      </c>
      <c r="E360" s="3" t="s">
        <v>2155</v>
      </c>
      <c r="F360" s="3" t="s">
        <v>2156</v>
      </c>
      <c r="G360" s="5" t="s">
        <v>119</v>
      </c>
      <c r="H360" s="5" t="s">
        <v>2157</v>
      </c>
      <c r="I360" s="5"/>
      <c r="J360" s="3"/>
    </row>
    <row r="361" spans="1:10" ht="28.5" customHeight="1">
      <c r="A361" s="5" t="s">
        <v>2158</v>
      </c>
      <c r="B361" s="5" t="s">
        <v>20</v>
      </c>
      <c r="C361" s="3" t="s">
        <v>2159</v>
      </c>
      <c r="D361" s="6">
        <v>2025</v>
      </c>
      <c r="E361" s="3" t="s">
        <v>2160</v>
      </c>
      <c r="F361" s="3" t="s">
        <v>2161</v>
      </c>
      <c r="G361" s="5" t="s">
        <v>119</v>
      </c>
      <c r="H361" s="5"/>
      <c r="I361" s="5"/>
      <c r="J361" s="3"/>
    </row>
    <row r="362" spans="1:10" ht="42.75" customHeight="1">
      <c r="A362" s="5" t="s">
        <v>2162</v>
      </c>
      <c r="B362" s="5" t="s">
        <v>20</v>
      </c>
      <c r="C362" s="3" t="s">
        <v>2163</v>
      </c>
      <c r="D362" s="6">
        <v>2025</v>
      </c>
      <c r="E362" s="3" t="s">
        <v>2164</v>
      </c>
      <c r="F362" s="3" t="s">
        <v>2165</v>
      </c>
      <c r="G362" s="5" t="s">
        <v>119</v>
      </c>
      <c r="H362" s="5"/>
      <c r="I362" s="5"/>
      <c r="J362" s="3"/>
    </row>
    <row r="363" spans="1:10" ht="28.5" customHeight="1">
      <c r="A363" s="5" t="s">
        <v>2166</v>
      </c>
      <c r="B363" s="5" t="s">
        <v>20</v>
      </c>
      <c r="C363" s="3" t="s">
        <v>2167</v>
      </c>
      <c r="D363" s="6">
        <v>2025</v>
      </c>
      <c r="E363" s="3" t="s">
        <v>2168</v>
      </c>
      <c r="F363" s="3" t="s">
        <v>2169</v>
      </c>
      <c r="G363" s="5" t="s">
        <v>119</v>
      </c>
      <c r="H363" s="5" t="s">
        <v>2170</v>
      </c>
      <c r="I363" s="5"/>
      <c r="J363" s="3"/>
    </row>
    <row r="364" spans="1:10" ht="42.75" customHeight="1">
      <c r="A364" s="5" t="s">
        <v>2171</v>
      </c>
      <c r="B364" s="5" t="s">
        <v>20</v>
      </c>
      <c r="C364" s="3" t="s">
        <v>2172</v>
      </c>
      <c r="D364" s="6">
        <v>2025</v>
      </c>
      <c r="E364" s="3" t="s">
        <v>2173</v>
      </c>
      <c r="F364" s="3" t="s">
        <v>2026</v>
      </c>
      <c r="G364" s="5" t="s">
        <v>119</v>
      </c>
      <c r="H364" s="5"/>
      <c r="I364" s="5"/>
      <c r="J364" s="3"/>
    </row>
    <row r="365" spans="1:10" ht="57" customHeight="1">
      <c r="A365" s="5" t="s">
        <v>2174</v>
      </c>
      <c r="B365" s="5" t="s">
        <v>20</v>
      </c>
      <c r="C365" s="3" t="s">
        <v>2175</v>
      </c>
      <c r="D365" s="6">
        <v>2025</v>
      </c>
      <c r="E365" s="3" t="s">
        <v>2176</v>
      </c>
      <c r="F365" s="3" t="s">
        <v>2177</v>
      </c>
      <c r="G365" s="5" t="s">
        <v>119</v>
      </c>
      <c r="H365" s="5"/>
      <c r="I365" s="5"/>
      <c r="J365" s="3"/>
    </row>
    <row r="366" spans="1:10" ht="71.25" customHeight="1">
      <c r="A366" s="5" t="s">
        <v>2178</v>
      </c>
      <c r="B366" s="5" t="s">
        <v>20</v>
      </c>
      <c r="C366" s="3" t="s">
        <v>2179</v>
      </c>
      <c r="D366" s="6">
        <v>2025</v>
      </c>
      <c r="E366" s="3" t="s">
        <v>2180</v>
      </c>
      <c r="F366" s="3" t="s">
        <v>2181</v>
      </c>
      <c r="G366" s="5" t="s">
        <v>119</v>
      </c>
      <c r="H366" s="5"/>
      <c r="I366" s="5"/>
      <c r="J366" s="3"/>
    </row>
    <row r="367" spans="1:10" ht="28.5" customHeight="1">
      <c r="A367" s="5" t="s">
        <v>2182</v>
      </c>
      <c r="B367" s="5" t="s">
        <v>20</v>
      </c>
      <c r="C367" s="3" t="s">
        <v>2183</v>
      </c>
      <c r="D367" s="6">
        <v>2025</v>
      </c>
      <c r="E367" s="3" t="s">
        <v>2184</v>
      </c>
      <c r="F367" s="3" t="s">
        <v>2185</v>
      </c>
      <c r="G367" s="5" t="s">
        <v>119</v>
      </c>
      <c r="H367" s="5"/>
      <c r="I367" s="5"/>
      <c r="J367" s="3"/>
    </row>
    <row r="368" spans="1:10" ht="42.75" customHeight="1">
      <c r="A368" s="5" t="s">
        <v>116</v>
      </c>
      <c r="B368" s="5" t="s">
        <v>20</v>
      </c>
      <c r="C368" s="3" t="s">
        <v>117</v>
      </c>
      <c r="D368" s="6">
        <v>2025</v>
      </c>
      <c r="E368" s="3" t="s">
        <v>118</v>
      </c>
      <c r="F368" s="3" t="s">
        <v>2186</v>
      </c>
      <c r="G368" s="5" t="s">
        <v>119</v>
      </c>
      <c r="H368" s="5" t="s">
        <v>2187</v>
      </c>
      <c r="I368" s="5"/>
      <c r="J368" s="3"/>
    </row>
    <row r="369" spans="1:10" ht="28.5" customHeight="1">
      <c r="A369" s="5" t="s">
        <v>2188</v>
      </c>
      <c r="B369" s="5" t="s">
        <v>20</v>
      </c>
      <c r="C369" s="3" t="s">
        <v>2189</v>
      </c>
      <c r="D369" s="6">
        <v>2025</v>
      </c>
      <c r="E369" s="3" t="s">
        <v>2190</v>
      </c>
      <c r="F369" s="3" t="s">
        <v>2191</v>
      </c>
      <c r="G369" s="5" t="s">
        <v>119</v>
      </c>
      <c r="H369" s="5"/>
      <c r="I369" s="5"/>
      <c r="J369" s="3"/>
    </row>
    <row r="370" spans="1:10" ht="57" customHeight="1">
      <c r="A370" s="5" t="s">
        <v>2192</v>
      </c>
      <c r="B370" s="5" t="s">
        <v>20</v>
      </c>
      <c r="C370" s="3" t="s">
        <v>2193</v>
      </c>
      <c r="D370" s="6">
        <v>2025</v>
      </c>
      <c r="E370" s="3" t="s">
        <v>2194</v>
      </c>
      <c r="F370" s="3" t="s">
        <v>1975</v>
      </c>
      <c r="G370" s="5" t="s">
        <v>119</v>
      </c>
      <c r="H370" s="5"/>
      <c r="I370" s="5"/>
      <c r="J370" s="3"/>
    </row>
    <row r="371" spans="1:10" ht="42.75" customHeight="1">
      <c r="A371" s="5" t="s">
        <v>1137</v>
      </c>
      <c r="B371" s="5" t="s">
        <v>20</v>
      </c>
      <c r="C371" s="3" t="s">
        <v>1138</v>
      </c>
      <c r="D371" s="6">
        <v>2025</v>
      </c>
      <c r="E371" s="3" t="s">
        <v>1139</v>
      </c>
      <c r="F371" s="3" t="s">
        <v>2195</v>
      </c>
      <c r="G371" s="5" t="s">
        <v>119</v>
      </c>
      <c r="H371" s="5"/>
      <c r="I371" s="5"/>
      <c r="J371" s="3"/>
    </row>
    <row r="372" spans="1:10" ht="71.25" customHeight="1">
      <c r="A372" s="5" t="s">
        <v>2196</v>
      </c>
      <c r="B372" s="5" t="s">
        <v>20</v>
      </c>
      <c r="C372" s="3" t="s">
        <v>2197</v>
      </c>
      <c r="D372" s="6">
        <v>2025</v>
      </c>
      <c r="E372" s="3" t="s">
        <v>2198</v>
      </c>
      <c r="F372" s="3" t="s">
        <v>2199</v>
      </c>
      <c r="G372" s="5" t="s">
        <v>119</v>
      </c>
      <c r="H372" s="5"/>
      <c r="I372" s="5"/>
      <c r="J372" s="3"/>
    </row>
    <row r="373" spans="1:10" ht="28.5" customHeight="1">
      <c r="A373" s="5" t="s">
        <v>2200</v>
      </c>
      <c r="B373" s="5" t="s">
        <v>20</v>
      </c>
      <c r="C373" s="3" t="s">
        <v>2201</v>
      </c>
      <c r="D373" s="6">
        <v>2025</v>
      </c>
      <c r="E373" s="3" t="s">
        <v>2202</v>
      </c>
      <c r="F373" s="3" t="s">
        <v>2203</v>
      </c>
      <c r="G373" s="5" t="s">
        <v>119</v>
      </c>
      <c r="H373" s="5"/>
      <c r="I373" s="5"/>
      <c r="J373" s="3"/>
    </row>
    <row r="374" spans="1:10" ht="42.75" customHeight="1">
      <c r="A374" s="5" t="s">
        <v>2204</v>
      </c>
      <c r="B374" s="5" t="s">
        <v>20</v>
      </c>
      <c r="C374" s="3" t="s">
        <v>2205</v>
      </c>
      <c r="D374" s="6">
        <v>2025</v>
      </c>
      <c r="E374" s="3" t="s">
        <v>2206</v>
      </c>
      <c r="F374" s="3" t="s">
        <v>2207</v>
      </c>
      <c r="G374" s="5" t="s">
        <v>119</v>
      </c>
      <c r="H374" s="5"/>
      <c r="I374" s="5"/>
      <c r="J374" s="3"/>
    </row>
    <row r="375" spans="1:10" ht="28.5" customHeight="1">
      <c r="A375" s="5" t="s">
        <v>2208</v>
      </c>
      <c r="B375" s="5" t="s">
        <v>20</v>
      </c>
      <c r="C375" s="3" t="s">
        <v>2209</v>
      </c>
      <c r="D375" s="6">
        <v>2025</v>
      </c>
      <c r="E375" s="3" t="s">
        <v>2210</v>
      </c>
      <c r="F375" s="3" t="s">
        <v>2211</v>
      </c>
      <c r="G375" s="5" t="s">
        <v>119</v>
      </c>
      <c r="H375" s="5"/>
      <c r="I375" s="5"/>
      <c r="J375" s="3"/>
    </row>
    <row r="376" spans="1:10" ht="28.5" customHeight="1">
      <c r="A376" s="5" t="s">
        <v>2212</v>
      </c>
      <c r="B376" s="5" t="s">
        <v>20</v>
      </c>
      <c r="C376" s="3" t="s">
        <v>2213</v>
      </c>
      <c r="D376" s="6">
        <v>2025</v>
      </c>
      <c r="E376" s="3" t="s">
        <v>2214</v>
      </c>
      <c r="F376" s="3" t="s">
        <v>2215</v>
      </c>
      <c r="G376" s="5" t="s">
        <v>119</v>
      </c>
      <c r="H376" s="5"/>
      <c r="I376" s="5"/>
      <c r="J376" s="3"/>
    </row>
    <row r="377" spans="1:10" ht="71.25" customHeight="1">
      <c r="A377" s="5" t="s">
        <v>2216</v>
      </c>
      <c r="B377" s="5" t="s">
        <v>20</v>
      </c>
      <c r="C377" s="3" t="s">
        <v>2217</v>
      </c>
      <c r="D377" s="6">
        <v>2026</v>
      </c>
      <c r="E377" s="3" t="s">
        <v>2218</v>
      </c>
      <c r="F377" s="3" t="s">
        <v>2219</v>
      </c>
      <c r="G377" s="5" t="s">
        <v>119</v>
      </c>
      <c r="H377" s="5"/>
      <c r="I377" s="5"/>
      <c r="J377" s="3"/>
    </row>
    <row r="378" spans="1:10" ht="42.75" customHeight="1">
      <c r="A378" s="5" t="s">
        <v>2220</v>
      </c>
      <c r="B378" s="5" t="s">
        <v>20</v>
      </c>
      <c r="C378" s="3" t="s">
        <v>2221</v>
      </c>
      <c r="D378" s="6">
        <v>2026</v>
      </c>
      <c r="E378" s="3" t="s">
        <v>2222</v>
      </c>
      <c r="F378" s="3" t="s">
        <v>2018</v>
      </c>
      <c r="G378" s="5" t="s">
        <v>119</v>
      </c>
      <c r="H378" s="5"/>
      <c r="I378" s="5"/>
      <c r="J378" s="3"/>
    </row>
    <row r="379" spans="1:10" ht="57" customHeight="1">
      <c r="A379" s="5" t="s">
        <v>2223</v>
      </c>
      <c r="B379" s="5" t="s">
        <v>20</v>
      </c>
      <c r="C379" s="3" t="s">
        <v>2224</v>
      </c>
      <c r="D379" s="6">
        <v>2025</v>
      </c>
      <c r="E379" s="3" t="s">
        <v>2225</v>
      </c>
      <c r="F379" s="3" t="s">
        <v>2226</v>
      </c>
      <c r="G379" s="5" t="s">
        <v>119</v>
      </c>
      <c r="H379" s="5"/>
      <c r="I379" s="5"/>
      <c r="J379" s="3"/>
    </row>
    <row r="380" spans="1:10" ht="28.5" customHeight="1">
      <c r="A380" s="5" t="s">
        <v>2227</v>
      </c>
      <c r="B380" s="5" t="s">
        <v>20</v>
      </c>
      <c r="C380" s="3" t="s">
        <v>2228</v>
      </c>
      <c r="D380" s="6">
        <v>2025</v>
      </c>
      <c r="E380" s="3" t="s">
        <v>2229</v>
      </c>
      <c r="F380" s="3" t="s">
        <v>2230</v>
      </c>
      <c r="G380" s="5" t="s">
        <v>119</v>
      </c>
      <c r="H380" s="5"/>
      <c r="I380" s="5"/>
      <c r="J380" s="3"/>
    </row>
    <row r="381" spans="1:10" ht="28.5" customHeight="1">
      <c r="A381" s="5" t="s">
        <v>2231</v>
      </c>
      <c r="B381" s="5" t="s">
        <v>20</v>
      </c>
      <c r="C381" s="3" t="s">
        <v>2232</v>
      </c>
      <c r="D381" s="6">
        <v>2025</v>
      </c>
      <c r="E381" s="3" t="s">
        <v>2233</v>
      </c>
      <c r="F381" s="3" t="s">
        <v>2203</v>
      </c>
      <c r="G381" s="5" t="s">
        <v>119</v>
      </c>
      <c r="H381" s="5"/>
      <c r="I381" s="5"/>
      <c r="J381" s="3"/>
    </row>
    <row r="382" spans="1:10" ht="42.75" customHeight="1">
      <c r="A382" s="5" t="s">
        <v>2234</v>
      </c>
      <c r="B382" s="5" t="s">
        <v>20</v>
      </c>
      <c r="C382" s="3" t="s">
        <v>2235</v>
      </c>
      <c r="D382" s="6">
        <v>2025</v>
      </c>
      <c r="E382" s="3" t="s">
        <v>2236</v>
      </c>
      <c r="F382" s="3" t="s">
        <v>2237</v>
      </c>
      <c r="G382" s="5" t="s">
        <v>119</v>
      </c>
      <c r="H382" s="5"/>
      <c r="I382" s="5"/>
      <c r="J382" s="3"/>
    </row>
    <row r="383" spans="1:10" ht="42.75" customHeight="1">
      <c r="A383" s="5" t="s">
        <v>765</v>
      </c>
      <c r="B383" s="5" t="s">
        <v>20</v>
      </c>
      <c r="C383" s="3" t="s">
        <v>766</v>
      </c>
      <c r="D383" s="6">
        <v>2025</v>
      </c>
      <c r="E383" s="3" t="s">
        <v>767</v>
      </c>
      <c r="F383" s="3" t="s">
        <v>2238</v>
      </c>
      <c r="G383" s="5" t="s">
        <v>119</v>
      </c>
      <c r="H383" s="5"/>
      <c r="I383" s="5"/>
      <c r="J383" s="3"/>
    </row>
    <row r="384" spans="1:10" ht="57" customHeight="1">
      <c r="A384" s="5" t="s">
        <v>2239</v>
      </c>
      <c r="B384" s="5" t="s">
        <v>20</v>
      </c>
      <c r="C384" s="3" t="s">
        <v>2240</v>
      </c>
      <c r="D384" s="6">
        <v>2026</v>
      </c>
      <c r="E384" s="3" t="s">
        <v>2241</v>
      </c>
      <c r="F384" s="3" t="s">
        <v>2242</v>
      </c>
      <c r="G384" s="5" t="s">
        <v>119</v>
      </c>
      <c r="H384" s="5"/>
      <c r="I384" s="5"/>
      <c r="J384" s="3"/>
    </row>
    <row r="385" spans="1:10" ht="28.5" customHeight="1">
      <c r="A385" s="5" t="s">
        <v>2243</v>
      </c>
      <c r="B385" s="5" t="s">
        <v>20</v>
      </c>
      <c r="C385" s="3" t="s">
        <v>2244</v>
      </c>
      <c r="D385" s="6">
        <v>2025</v>
      </c>
      <c r="E385" s="3" t="s">
        <v>2245</v>
      </c>
      <c r="F385" s="3" t="s">
        <v>2246</v>
      </c>
      <c r="G385" s="5" t="s">
        <v>119</v>
      </c>
      <c r="H385" s="5"/>
      <c r="I385" s="5"/>
      <c r="J385" s="3"/>
    </row>
    <row r="386" spans="1:10" ht="42.75" customHeight="1">
      <c r="A386" s="5" t="s">
        <v>1012</v>
      </c>
      <c r="B386" s="5" t="s">
        <v>20</v>
      </c>
      <c r="C386" s="3" t="s">
        <v>1013</v>
      </c>
      <c r="D386" s="6">
        <v>2026</v>
      </c>
      <c r="E386" s="3" t="s">
        <v>1014</v>
      </c>
      <c r="F386" s="3" t="s">
        <v>2026</v>
      </c>
      <c r="G386" s="5" t="s">
        <v>119</v>
      </c>
      <c r="H386" s="5"/>
      <c r="I386" s="5"/>
      <c r="J386" s="3"/>
    </row>
    <row r="387" spans="1:10" ht="28.5" customHeight="1">
      <c r="A387" s="5" t="s">
        <v>2247</v>
      </c>
      <c r="B387" s="5" t="s">
        <v>20</v>
      </c>
      <c r="C387" s="3" t="s">
        <v>2248</v>
      </c>
      <c r="D387" s="6">
        <v>2025</v>
      </c>
      <c r="E387" s="3" t="s">
        <v>2249</v>
      </c>
      <c r="F387" s="3" t="s">
        <v>2250</v>
      </c>
      <c r="G387" s="5" t="s">
        <v>119</v>
      </c>
      <c r="H387" s="5"/>
      <c r="I387" s="5"/>
      <c r="J387" s="3"/>
    </row>
    <row r="388" spans="1:10" ht="28.5" customHeight="1">
      <c r="A388" s="5" t="s">
        <v>2251</v>
      </c>
      <c r="B388" s="5" t="s">
        <v>20</v>
      </c>
      <c r="C388" s="3" t="s">
        <v>2252</v>
      </c>
      <c r="D388" s="6">
        <v>2025</v>
      </c>
      <c r="E388" s="3" t="s">
        <v>2253</v>
      </c>
      <c r="F388" s="3" t="s">
        <v>2018</v>
      </c>
      <c r="G388" s="5" t="s">
        <v>119</v>
      </c>
      <c r="H388" s="5"/>
      <c r="I388" s="5"/>
      <c r="J388" s="3"/>
    </row>
    <row r="389" spans="1:10" ht="42.75" customHeight="1">
      <c r="A389" s="5" t="s">
        <v>2254</v>
      </c>
      <c r="B389" s="5" t="s">
        <v>20</v>
      </c>
      <c r="C389" s="3" t="s">
        <v>2255</v>
      </c>
      <c r="D389" s="6">
        <v>2026</v>
      </c>
      <c r="E389" s="3" t="s">
        <v>2256</v>
      </c>
      <c r="F389" s="3" t="s">
        <v>2257</v>
      </c>
      <c r="G389" s="5" t="s">
        <v>119</v>
      </c>
      <c r="H389" s="5"/>
      <c r="I389" s="5"/>
      <c r="J389" s="3"/>
    </row>
    <row r="390" spans="1:10" ht="28.5" customHeight="1">
      <c r="A390" s="5" t="s">
        <v>2258</v>
      </c>
      <c r="B390" s="5" t="s">
        <v>20</v>
      </c>
      <c r="C390" s="3" t="s">
        <v>2259</v>
      </c>
      <c r="D390" s="6">
        <v>2025</v>
      </c>
      <c r="E390" s="3" t="s">
        <v>2260</v>
      </c>
      <c r="F390" s="3" t="s">
        <v>2261</v>
      </c>
      <c r="G390" s="5" t="s">
        <v>119</v>
      </c>
      <c r="H390" s="5" t="s">
        <v>2262</v>
      </c>
      <c r="I390" s="5"/>
      <c r="J390" s="3"/>
    </row>
    <row r="391" spans="1:10" ht="42.75" customHeight="1">
      <c r="A391" s="5" t="s">
        <v>2263</v>
      </c>
      <c r="B391" s="5" t="s">
        <v>20</v>
      </c>
      <c r="C391" s="3" t="s">
        <v>2264</v>
      </c>
      <c r="D391" s="6">
        <v>2026</v>
      </c>
      <c r="E391" s="3" t="s">
        <v>2265</v>
      </c>
      <c r="F391" s="3" t="s">
        <v>2266</v>
      </c>
      <c r="G391" s="5" t="s">
        <v>119</v>
      </c>
      <c r="H391" s="5"/>
      <c r="I391" s="5"/>
      <c r="J391" s="3"/>
    </row>
    <row r="392" spans="1:10" ht="42.75" customHeight="1">
      <c r="A392" s="5" t="s">
        <v>2267</v>
      </c>
      <c r="B392" s="5" t="s">
        <v>20</v>
      </c>
      <c r="C392" s="3" t="s">
        <v>2268</v>
      </c>
      <c r="D392" s="6">
        <v>2025</v>
      </c>
      <c r="E392" s="3" t="s">
        <v>2269</v>
      </c>
      <c r="F392" s="3" t="s">
        <v>2270</v>
      </c>
      <c r="G392" s="5" t="s">
        <v>119</v>
      </c>
      <c r="H392" s="5"/>
      <c r="I392" s="5"/>
      <c r="J392" s="3"/>
    </row>
    <row r="393" spans="1:10" ht="42.75" customHeight="1">
      <c r="A393" s="5" t="s">
        <v>2271</v>
      </c>
      <c r="B393" s="5" t="s">
        <v>20</v>
      </c>
      <c r="C393" s="3" t="s">
        <v>2272</v>
      </c>
      <c r="D393" s="6">
        <v>2025</v>
      </c>
      <c r="E393" s="3" t="s">
        <v>2273</v>
      </c>
      <c r="F393" s="3" t="s">
        <v>2274</v>
      </c>
      <c r="G393" s="5" t="s">
        <v>119</v>
      </c>
      <c r="H393" s="5"/>
      <c r="I393" s="5"/>
      <c r="J393" s="3"/>
    </row>
    <row r="394" spans="1:10" ht="57" customHeight="1">
      <c r="A394" s="5" t="s">
        <v>744</v>
      </c>
      <c r="B394" s="5" t="s">
        <v>20</v>
      </c>
      <c r="C394" s="3" t="s">
        <v>745</v>
      </c>
      <c r="D394" s="6">
        <v>2025</v>
      </c>
      <c r="E394" s="3" t="s">
        <v>746</v>
      </c>
      <c r="F394" s="3" t="s">
        <v>2275</v>
      </c>
      <c r="G394" s="5" t="s">
        <v>119</v>
      </c>
      <c r="H394" s="5"/>
      <c r="I394" s="5"/>
      <c r="J394" s="3"/>
    </row>
    <row r="395" spans="1:10" ht="71.25" customHeight="1">
      <c r="A395" s="5" t="s">
        <v>2276</v>
      </c>
      <c r="B395" s="5" t="s">
        <v>20</v>
      </c>
      <c r="C395" s="3" t="s">
        <v>2277</v>
      </c>
      <c r="D395" s="6">
        <v>2026</v>
      </c>
      <c r="E395" s="3" t="s">
        <v>2278</v>
      </c>
      <c r="F395" s="3" t="s">
        <v>2279</v>
      </c>
      <c r="G395" s="5" t="s">
        <v>119</v>
      </c>
      <c r="H395" s="5"/>
      <c r="I395" s="5"/>
      <c r="J395" s="3"/>
    </row>
    <row r="396" spans="1:10" ht="71.25" customHeight="1">
      <c r="A396" s="5" t="s">
        <v>2280</v>
      </c>
      <c r="B396" s="5" t="s">
        <v>20</v>
      </c>
      <c r="C396" s="3" t="s">
        <v>2281</v>
      </c>
      <c r="D396" s="6">
        <v>2025</v>
      </c>
      <c r="E396" s="3" t="s">
        <v>2282</v>
      </c>
      <c r="F396" s="3" t="s">
        <v>2283</v>
      </c>
      <c r="G396" s="5" t="s">
        <v>119</v>
      </c>
      <c r="H396" s="5"/>
      <c r="I396" s="5"/>
      <c r="J396" s="3"/>
    </row>
    <row r="397" spans="1:10" ht="57" customHeight="1">
      <c r="A397" s="5" t="s">
        <v>2284</v>
      </c>
      <c r="B397" s="5" t="s">
        <v>20</v>
      </c>
      <c r="C397" s="3" t="s">
        <v>2285</v>
      </c>
      <c r="D397" s="6">
        <v>2025</v>
      </c>
      <c r="E397" s="3" t="s">
        <v>2286</v>
      </c>
      <c r="F397" s="3" t="s">
        <v>2287</v>
      </c>
      <c r="G397" s="5" t="s">
        <v>119</v>
      </c>
      <c r="H397" s="5"/>
      <c r="I397" s="5"/>
      <c r="J397" s="3"/>
    </row>
    <row r="398" spans="1:10" ht="57" customHeight="1">
      <c r="A398" s="5" t="s">
        <v>732</v>
      </c>
      <c r="B398" s="5" t="s">
        <v>20</v>
      </c>
      <c r="C398" s="3" t="s">
        <v>733</v>
      </c>
      <c r="D398" s="6">
        <v>2024</v>
      </c>
      <c r="E398" s="3" t="s">
        <v>734</v>
      </c>
      <c r="F398" s="3" t="s">
        <v>2288</v>
      </c>
      <c r="G398" s="5" t="s">
        <v>119</v>
      </c>
      <c r="H398" s="5"/>
      <c r="I398" s="5"/>
      <c r="J398" s="3"/>
    </row>
    <row r="399" spans="1:10" ht="71.25" customHeight="1">
      <c r="A399" s="5" t="s">
        <v>2289</v>
      </c>
      <c r="B399" s="5" t="s">
        <v>20</v>
      </c>
      <c r="C399" s="3" t="s">
        <v>2290</v>
      </c>
      <c r="D399" s="6">
        <v>2024</v>
      </c>
      <c r="E399" s="3" t="s">
        <v>2291</v>
      </c>
      <c r="F399" s="3" t="s">
        <v>2292</v>
      </c>
      <c r="G399" s="5" t="s">
        <v>119</v>
      </c>
      <c r="H399" s="5"/>
      <c r="I399" s="5"/>
      <c r="J399" s="3"/>
    </row>
    <row r="400" spans="1:10" ht="57" customHeight="1">
      <c r="A400" s="5" t="s">
        <v>777</v>
      </c>
      <c r="B400" s="5" t="s">
        <v>20</v>
      </c>
      <c r="C400" s="3" t="s">
        <v>778</v>
      </c>
      <c r="D400" s="6">
        <v>2025</v>
      </c>
      <c r="E400" s="3" t="s">
        <v>779</v>
      </c>
      <c r="F400" s="3" t="s">
        <v>2293</v>
      </c>
      <c r="G400" s="5" t="s">
        <v>119</v>
      </c>
      <c r="H400" s="5"/>
      <c r="I400" s="5"/>
      <c r="J400" s="3"/>
    </row>
    <row r="401" spans="1:10" ht="42.75" customHeight="1">
      <c r="A401" s="5" t="s">
        <v>2294</v>
      </c>
      <c r="B401" s="5" t="s">
        <v>20</v>
      </c>
      <c r="C401" s="3" t="s">
        <v>2295</v>
      </c>
      <c r="D401" s="6">
        <v>2024</v>
      </c>
      <c r="E401" s="3" t="s">
        <v>2296</v>
      </c>
      <c r="F401" s="3" t="s">
        <v>2297</v>
      </c>
      <c r="G401" s="5" t="s">
        <v>119</v>
      </c>
      <c r="H401" s="5"/>
      <c r="I401" s="5"/>
      <c r="J401" s="3"/>
    </row>
    <row r="402" spans="1:10" ht="42.75" customHeight="1">
      <c r="A402" s="5" t="s">
        <v>753</v>
      </c>
      <c r="B402" s="5" t="s">
        <v>20</v>
      </c>
      <c r="C402" s="3" t="s">
        <v>754</v>
      </c>
      <c r="D402" s="6">
        <v>2024</v>
      </c>
      <c r="E402" s="3" t="s">
        <v>755</v>
      </c>
      <c r="F402" s="3" t="s">
        <v>2298</v>
      </c>
      <c r="G402" s="5" t="s">
        <v>119</v>
      </c>
      <c r="H402" s="5"/>
      <c r="I402" s="5"/>
      <c r="J402" s="3"/>
    </row>
    <row r="403" spans="1:10" ht="71.25" customHeight="1">
      <c r="A403" s="5" t="s">
        <v>783</v>
      </c>
      <c r="B403" s="5" t="s">
        <v>20</v>
      </c>
      <c r="C403" s="3" t="s">
        <v>784</v>
      </c>
      <c r="D403" s="6">
        <v>2024</v>
      </c>
      <c r="E403" s="3" t="s">
        <v>785</v>
      </c>
      <c r="F403" s="3" t="s">
        <v>2299</v>
      </c>
      <c r="G403" s="5" t="s">
        <v>119</v>
      </c>
      <c r="H403" s="5" t="s">
        <v>2300</v>
      </c>
      <c r="I403" s="5"/>
      <c r="J403" s="3"/>
    </row>
    <row r="404" spans="1:10" ht="57" customHeight="1">
      <c r="A404" s="5" t="s">
        <v>2301</v>
      </c>
      <c r="B404" s="5" t="s">
        <v>20</v>
      </c>
      <c r="C404" s="3" t="s">
        <v>2302</v>
      </c>
      <c r="D404" s="6">
        <v>2024</v>
      </c>
      <c r="E404" s="3" t="s">
        <v>2303</v>
      </c>
      <c r="F404" s="3" t="s">
        <v>2304</v>
      </c>
      <c r="G404" s="5" t="s">
        <v>119</v>
      </c>
      <c r="H404" s="5"/>
      <c r="I404" s="5"/>
      <c r="J404" s="3"/>
    </row>
    <row r="405" spans="1:10" ht="42.75" customHeight="1">
      <c r="A405" s="5" t="s">
        <v>2305</v>
      </c>
      <c r="B405" s="5" t="s">
        <v>20</v>
      </c>
      <c r="C405" s="3" t="s">
        <v>2306</v>
      </c>
      <c r="D405" s="6">
        <v>2024</v>
      </c>
      <c r="E405" s="3" t="s">
        <v>2307</v>
      </c>
      <c r="F405" s="3" t="s">
        <v>2308</v>
      </c>
      <c r="G405" s="5" t="s">
        <v>119</v>
      </c>
      <c r="H405" s="5"/>
      <c r="I405" s="5"/>
      <c r="J405" s="3"/>
    </row>
    <row r="406" spans="1:10" ht="28.5" customHeight="1">
      <c r="A406" s="5" t="s">
        <v>1096</v>
      </c>
      <c r="B406" s="5" t="s">
        <v>20</v>
      </c>
      <c r="C406" s="3" t="s">
        <v>1097</v>
      </c>
      <c r="D406" s="6">
        <v>2024</v>
      </c>
      <c r="E406" s="3" t="s">
        <v>1098</v>
      </c>
      <c r="F406" s="3" t="s">
        <v>2309</v>
      </c>
      <c r="G406" s="5" t="s">
        <v>119</v>
      </c>
      <c r="H406" s="5"/>
      <c r="I406" s="5"/>
      <c r="J406" s="3"/>
    </row>
    <row r="407" spans="1:10" ht="42.75" customHeight="1">
      <c r="A407" s="5" t="s">
        <v>1060</v>
      </c>
      <c r="B407" s="5" t="s">
        <v>20</v>
      </c>
      <c r="C407" s="3" t="s">
        <v>1061</v>
      </c>
      <c r="D407" s="6">
        <v>2024</v>
      </c>
      <c r="E407" s="3" t="s">
        <v>1062</v>
      </c>
      <c r="F407" s="3" t="s">
        <v>2310</v>
      </c>
      <c r="G407" s="5" t="s">
        <v>119</v>
      </c>
      <c r="H407" s="5"/>
      <c r="I407" s="5"/>
      <c r="J407" s="3"/>
    </row>
    <row r="408" spans="1:10" ht="42.75" customHeight="1">
      <c r="A408" s="5" t="s">
        <v>759</v>
      </c>
      <c r="B408" s="5" t="s">
        <v>20</v>
      </c>
      <c r="C408" s="3" t="s">
        <v>760</v>
      </c>
      <c r="D408" s="6">
        <v>2024</v>
      </c>
      <c r="E408" s="3" t="s">
        <v>761</v>
      </c>
      <c r="F408" s="3" t="s">
        <v>2311</v>
      </c>
      <c r="G408" s="5" t="s">
        <v>119</v>
      </c>
      <c r="H408" s="5"/>
      <c r="I408" s="5"/>
      <c r="J408" s="3"/>
    </row>
    <row r="409" spans="1:10" ht="71.25" customHeight="1">
      <c r="A409" s="5" t="s">
        <v>1078</v>
      </c>
      <c r="B409" s="5" t="s">
        <v>20</v>
      </c>
      <c r="C409" s="3" t="s">
        <v>1079</v>
      </c>
      <c r="D409" s="6">
        <v>2024</v>
      </c>
      <c r="E409" s="3" t="s">
        <v>1080</v>
      </c>
      <c r="F409" s="3" t="s">
        <v>2312</v>
      </c>
      <c r="G409" s="5" t="s">
        <v>119</v>
      </c>
      <c r="H409" s="5"/>
      <c r="I409" s="5"/>
      <c r="J409" s="3"/>
    </row>
    <row r="410" spans="1:10" ht="99.75" customHeight="1">
      <c r="A410" s="5" t="s">
        <v>2313</v>
      </c>
      <c r="B410" s="5" t="s">
        <v>20</v>
      </c>
      <c r="C410" s="3" t="s">
        <v>2314</v>
      </c>
      <c r="D410" s="6">
        <v>2024</v>
      </c>
      <c r="E410" s="3" t="s">
        <v>2315</v>
      </c>
      <c r="F410" s="3" t="s">
        <v>2316</v>
      </c>
      <c r="G410" s="5" t="s">
        <v>119</v>
      </c>
      <c r="H410" s="5"/>
      <c r="I410" s="5"/>
      <c r="J410" s="3"/>
    </row>
    <row r="411" spans="1:10" ht="42.75" customHeight="1">
      <c r="A411" s="5" t="s">
        <v>2317</v>
      </c>
      <c r="B411" s="5" t="s">
        <v>20</v>
      </c>
      <c r="C411" s="3" t="s">
        <v>2318</v>
      </c>
      <c r="D411" s="6">
        <v>2024</v>
      </c>
      <c r="E411" s="3" t="s">
        <v>2319</v>
      </c>
      <c r="F411" s="3" t="s">
        <v>2320</v>
      </c>
      <c r="G411" s="5" t="s">
        <v>119</v>
      </c>
      <c r="H411" s="5"/>
      <c r="I411" s="5"/>
      <c r="J411" s="3"/>
    </row>
    <row r="412" spans="1:10" ht="42.75" customHeight="1">
      <c r="A412" s="5" t="s">
        <v>2321</v>
      </c>
      <c r="B412" s="5" t="s">
        <v>20</v>
      </c>
      <c r="C412" s="3" t="s">
        <v>2322</v>
      </c>
      <c r="D412" s="6">
        <v>2024</v>
      </c>
      <c r="E412" s="3" t="s">
        <v>2323</v>
      </c>
      <c r="F412" s="3" t="s">
        <v>2324</v>
      </c>
      <c r="G412" s="5" t="s">
        <v>119</v>
      </c>
      <c r="H412" s="5"/>
      <c r="I412" s="5"/>
      <c r="J412" s="3"/>
    </row>
    <row r="413" spans="1:10" ht="42.75" customHeight="1">
      <c r="A413" s="5" t="s">
        <v>2325</v>
      </c>
      <c r="B413" s="5" t="s">
        <v>20</v>
      </c>
      <c r="C413" s="3" t="s">
        <v>2326</v>
      </c>
      <c r="D413" s="6">
        <v>2025</v>
      </c>
      <c r="E413" s="3" t="s">
        <v>2327</v>
      </c>
      <c r="F413" s="3" t="s">
        <v>2328</v>
      </c>
      <c r="G413" s="5" t="s">
        <v>119</v>
      </c>
      <c r="H413" s="5"/>
      <c r="I413" s="5"/>
      <c r="J413" s="3"/>
    </row>
    <row r="414" spans="1:10" ht="57" customHeight="1">
      <c r="A414" s="5" t="s">
        <v>2329</v>
      </c>
      <c r="B414" s="5" t="s">
        <v>20</v>
      </c>
      <c r="C414" s="3" t="s">
        <v>2330</v>
      </c>
      <c r="D414" s="6">
        <v>2024</v>
      </c>
      <c r="E414" s="3" t="s">
        <v>2331</v>
      </c>
      <c r="F414" s="3" t="s">
        <v>2332</v>
      </c>
      <c r="G414" s="5" t="s">
        <v>119</v>
      </c>
      <c r="H414" s="5" t="s">
        <v>2333</v>
      </c>
      <c r="I414" s="5"/>
      <c r="J414" s="3"/>
    </row>
    <row r="415" spans="1:10" ht="42.75" customHeight="1">
      <c r="A415" s="5" t="s">
        <v>2334</v>
      </c>
      <c r="B415" s="5" t="s">
        <v>20</v>
      </c>
      <c r="C415" s="3" t="s">
        <v>2335</v>
      </c>
      <c r="D415" s="6">
        <v>2024</v>
      </c>
      <c r="E415" s="3" t="s">
        <v>2336</v>
      </c>
      <c r="F415" s="3" t="s">
        <v>2337</v>
      </c>
      <c r="G415" s="5" t="s">
        <v>119</v>
      </c>
      <c r="H415" s="5"/>
      <c r="I415" s="5"/>
      <c r="J415" s="3"/>
    </row>
    <row r="416" spans="1:10" ht="85.5" customHeight="1">
      <c r="A416" s="5" t="s">
        <v>786</v>
      </c>
      <c r="B416" s="5" t="s">
        <v>20</v>
      </c>
      <c r="C416" s="3" t="s">
        <v>787</v>
      </c>
      <c r="D416" s="6">
        <v>2024</v>
      </c>
      <c r="E416" s="3" t="s">
        <v>788</v>
      </c>
      <c r="F416" s="3" t="s">
        <v>2338</v>
      </c>
      <c r="G416" s="5" t="s">
        <v>119</v>
      </c>
      <c r="H416" s="5"/>
      <c r="I416" s="5"/>
      <c r="J416" s="3"/>
    </row>
    <row r="417" spans="1:10" ht="42.75" customHeight="1">
      <c r="A417" s="5" t="s">
        <v>2339</v>
      </c>
      <c r="B417" s="5" t="s">
        <v>20</v>
      </c>
      <c r="C417" s="3" t="s">
        <v>2340</v>
      </c>
      <c r="D417" s="6">
        <v>2024</v>
      </c>
      <c r="E417" s="3" t="s">
        <v>2341</v>
      </c>
      <c r="F417" s="3" t="s">
        <v>2342</v>
      </c>
      <c r="G417" s="5" t="s">
        <v>119</v>
      </c>
      <c r="H417" s="5"/>
      <c r="I417" s="5"/>
      <c r="J417" s="3"/>
    </row>
    <row r="418" spans="1:10" ht="57" customHeight="1">
      <c r="A418" s="5" t="s">
        <v>2343</v>
      </c>
      <c r="B418" s="5" t="s">
        <v>20</v>
      </c>
      <c r="C418" s="3" t="s">
        <v>2344</v>
      </c>
      <c r="D418" s="6">
        <v>2024</v>
      </c>
      <c r="E418" s="3" t="s">
        <v>2345</v>
      </c>
      <c r="F418" s="3" t="s">
        <v>2346</v>
      </c>
      <c r="G418" s="5" t="s">
        <v>119</v>
      </c>
      <c r="H418" s="5"/>
      <c r="I418" s="5"/>
      <c r="J418" s="3"/>
    </row>
    <row r="419" spans="1:10" ht="28.5" customHeight="1">
      <c r="A419" s="5" t="s">
        <v>2347</v>
      </c>
      <c r="B419" s="5" t="s">
        <v>20</v>
      </c>
      <c r="C419" s="3" t="s">
        <v>2348</v>
      </c>
      <c r="D419" s="6">
        <v>2024</v>
      </c>
      <c r="E419" s="3" t="s">
        <v>2349</v>
      </c>
      <c r="F419" s="3" t="s">
        <v>2018</v>
      </c>
      <c r="G419" s="5" t="s">
        <v>119</v>
      </c>
      <c r="H419" s="5"/>
      <c r="I419" s="5"/>
      <c r="J419" s="3"/>
    </row>
    <row r="420" spans="1:10" ht="42.75" customHeight="1">
      <c r="A420" s="5" t="s">
        <v>2350</v>
      </c>
      <c r="B420" s="5" t="s">
        <v>20</v>
      </c>
      <c r="C420" s="3" t="s">
        <v>2351</v>
      </c>
      <c r="D420" s="6">
        <v>2025</v>
      </c>
      <c r="E420" s="3" t="s">
        <v>2352</v>
      </c>
      <c r="F420" s="3" t="s">
        <v>2353</v>
      </c>
      <c r="G420" s="5" t="s">
        <v>119</v>
      </c>
      <c r="H420" s="5" t="s">
        <v>2354</v>
      </c>
      <c r="I420" s="5"/>
      <c r="J420" s="3"/>
    </row>
    <row r="421" spans="1:10" ht="42.75" customHeight="1">
      <c r="A421" s="5" t="s">
        <v>2355</v>
      </c>
      <c r="B421" s="5" t="s">
        <v>20</v>
      </c>
      <c r="C421" s="3" t="s">
        <v>2356</v>
      </c>
      <c r="D421" s="6">
        <v>2024</v>
      </c>
      <c r="E421" s="3" t="s">
        <v>2357</v>
      </c>
      <c r="F421" s="3" t="s">
        <v>2358</v>
      </c>
      <c r="G421" s="5" t="s">
        <v>119</v>
      </c>
      <c r="H421" s="5"/>
      <c r="I421" s="5"/>
      <c r="J421" s="3"/>
    </row>
    <row r="422" spans="1:10" ht="42.75" customHeight="1">
      <c r="A422" s="5" t="s">
        <v>2359</v>
      </c>
      <c r="B422" s="5" t="s">
        <v>20</v>
      </c>
      <c r="C422" s="3" t="s">
        <v>2360</v>
      </c>
      <c r="D422" s="6">
        <v>2024</v>
      </c>
      <c r="E422" s="3" t="s">
        <v>2361</v>
      </c>
      <c r="F422" s="3" t="s">
        <v>2018</v>
      </c>
      <c r="G422" s="5" t="s">
        <v>119</v>
      </c>
      <c r="H422" s="5"/>
      <c r="I422" s="5"/>
      <c r="J422" s="3"/>
    </row>
    <row r="423" spans="1:10" ht="42.75" customHeight="1">
      <c r="A423" s="5" t="s">
        <v>2362</v>
      </c>
      <c r="B423" s="5" t="s">
        <v>20</v>
      </c>
      <c r="C423" s="3" t="s">
        <v>2363</v>
      </c>
      <c r="D423" s="6">
        <v>2024</v>
      </c>
      <c r="E423" s="3" t="s">
        <v>2364</v>
      </c>
      <c r="F423" s="3" t="s">
        <v>2365</v>
      </c>
      <c r="G423" s="5" t="s">
        <v>119</v>
      </c>
      <c r="H423" s="5"/>
      <c r="I423" s="5"/>
      <c r="J423" s="3"/>
    </row>
    <row r="424" spans="1:10" ht="28.5" customHeight="1">
      <c r="A424" s="5" t="s">
        <v>2366</v>
      </c>
      <c r="B424" s="5" t="s">
        <v>20</v>
      </c>
      <c r="C424" s="3" t="s">
        <v>2367</v>
      </c>
      <c r="D424" s="6">
        <v>2024</v>
      </c>
      <c r="E424" s="3" t="s">
        <v>2368</v>
      </c>
      <c r="F424" s="3" t="s">
        <v>2369</v>
      </c>
      <c r="G424" s="5" t="s">
        <v>119</v>
      </c>
      <c r="H424" s="5"/>
      <c r="I424" s="5"/>
      <c r="J424" s="3"/>
    </row>
    <row r="425" spans="1:10" ht="42.75" customHeight="1">
      <c r="A425" s="5" t="s">
        <v>2370</v>
      </c>
      <c r="B425" s="5" t="s">
        <v>20</v>
      </c>
      <c r="C425" s="3" t="s">
        <v>2371</v>
      </c>
      <c r="D425" s="6">
        <v>2024</v>
      </c>
      <c r="E425" s="3" t="s">
        <v>2372</v>
      </c>
      <c r="F425" s="3" t="s">
        <v>2373</v>
      </c>
      <c r="G425" s="5" t="s">
        <v>119</v>
      </c>
      <c r="H425" s="5"/>
      <c r="I425" s="5"/>
      <c r="J425" s="3"/>
    </row>
    <row r="426" spans="1:10" ht="57" customHeight="1">
      <c r="A426" s="5" t="s">
        <v>2374</v>
      </c>
      <c r="B426" s="5" t="s">
        <v>20</v>
      </c>
      <c r="C426" s="3" t="s">
        <v>2375</v>
      </c>
      <c r="D426" s="6">
        <v>2023</v>
      </c>
      <c r="E426" s="3" t="s">
        <v>2376</v>
      </c>
      <c r="F426" s="3" t="s">
        <v>2377</v>
      </c>
      <c r="G426" s="5" t="s">
        <v>119</v>
      </c>
      <c r="H426" s="5"/>
      <c r="I426" s="5"/>
      <c r="J426" s="3"/>
    </row>
    <row r="427" spans="1:10" ht="71.25" customHeight="1">
      <c r="A427" s="5" t="s">
        <v>756</v>
      </c>
      <c r="B427" s="5" t="s">
        <v>20</v>
      </c>
      <c r="C427" s="3" t="s">
        <v>757</v>
      </c>
      <c r="D427" s="6">
        <v>2024</v>
      </c>
      <c r="E427" s="3" t="s">
        <v>758</v>
      </c>
      <c r="F427" s="3" t="s">
        <v>2378</v>
      </c>
      <c r="G427" s="5" t="s">
        <v>119</v>
      </c>
      <c r="H427" s="5"/>
      <c r="I427" s="5"/>
      <c r="J427" s="3"/>
    </row>
    <row r="428" spans="1:10" ht="42.75" customHeight="1">
      <c r="A428" s="5" t="s">
        <v>2379</v>
      </c>
      <c r="B428" s="5" t="s">
        <v>20</v>
      </c>
      <c r="C428" s="3" t="s">
        <v>2380</v>
      </c>
      <c r="D428" s="6">
        <v>2023</v>
      </c>
      <c r="E428" s="3" t="s">
        <v>2381</v>
      </c>
      <c r="F428" s="3" t="s">
        <v>2382</v>
      </c>
      <c r="G428" s="5" t="s">
        <v>119</v>
      </c>
      <c r="H428" s="5"/>
      <c r="I428" s="5"/>
      <c r="J428" s="3"/>
    </row>
    <row r="429" spans="1:10" ht="57" customHeight="1">
      <c r="A429" s="5" t="s">
        <v>2383</v>
      </c>
      <c r="B429" s="5" t="s">
        <v>20</v>
      </c>
      <c r="C429" s="3" t="s">
        <v>2384</v>
      </c>
      <c r="D429" s="6">
        <v>2023</v>
      </c>
      <c r="E429" s="3" t="s">
        <v>2385</v>
      </c>
      <c r="F429" s="3" t="s">
        <v>2386</v>
      </c>
      <c r="G429" s="5" t="s">
        <v>119</v>
      </c>
      <c r="H429" s="5"/>
      <c r="I429" s="5"/>
      <c r="J429" s="3"/>
    </row>
    <row r="430" spans="1:10" ht="71.25" customHeight="1">
      <c r="A430" s="5" t="s">
        <v>1134</v>
      </c>
      <c r="B430" s="5" t="s">
        <v>20</v>
      </c>
      <c r="C430" s="3" t="s">
        <v>1135</v>
      </c>
      <c r="D430" s="6">
        <v>2024</v>
      </c>
      <c r="E430" s="3" t="s">
        <v>1136</v>
      </c>
      <c r="F430" s="3" t="s">
        <v>2387</v>
      </c>
      <c r="G430" s="5" t="s">
        <v>119</v>
      </c>
      <c r="H430" s="5" t="s">
        <v>2388</v>
      </c>
      <c r="I430" s="5"/>
      <c r="J430" s="3"/>
    </row>
    <row r="431" spans="1:10" ht="71.25" customHeight="1">
      <c r="A431" s="5" t="s">
        <v>2389</v>
      </c>
      <c r="B431" s="5" t="s">
        <v>20</v>
      </c>
      <c r="C431" s="3" t="s">
        <v>2390</v>
      </c>
      <c r="D431" s="6">
        <v>2023</v>
      </c>
      <c r="E431" s="3" t="s">
        <v>2391</v>
      </c>
      <c r="F431" s="3" t="s">
        <v>1975</v>
      </c>
      <c r="G431" s="5" t="s">
        <v>119</v>
      </c>
      <c r="H431" s="5"/>
      <c r="I431" s="5"/>
      <c r="J431" s="3"/>
    </row>
    <row r="432" spans="1:10" ht="42.75" customHeight="1">
      <c r="A432" s="5" t="s">
        <v>2392</v>
      </c>
      <c r="B432" s="5" t="s">
        <v>20</v>
      </c>
      <c r="C432" s="3" t="s">
        <v>2393</v>
      </c>
      <c r="D432" s="6">
        <v>2025</v>
      </c>
      <c r="E432" s="3" t="s">
        <v>2394</v>
      </c>
      <c r="F432" s="3" t="s">
        <v>2395</v>
      </c>
      <c r="G432" s="5" t="s">
        <v>119</v>
      </c>
      <c r="H432" s="5"/>
      <c r="I432" s="5"/>
      <c r="J432" s="3"/>
    </row>
    <row r="433" spans="1:10" ht="28.5" customHeight="1">
      <c r="A433" s="5" t="s">
        <v>2396</v>
      </c>
      <c r="B433" s="5" t="s">
        <v>20</v>
      </c>
      <c r="C433" s="3" t="s">
        <v>2397</v>
      </c>
      <c r="D433" s="6">
        <v>2023</v>
      </c>
      <c r="E433" s="3" t="s">
        <v>2398</v>
      </c>
      <c r="F433" s="3" t="s">
        <v>2399</v>
      </c>
      <c r="G433" s="5" t="s">
        <v>119</v>
      </c>
      <c r="H433" s="5"/>
      <c r="I433" s="5"/>
      <c r="J433" s="3"/>
    </row>
    <row r="434" spans="1:10" ht="42.75" customHeight="1">
      <c r="A434" s="5" t="s">
        <v>1006</v>
      </c>
      <c r="B434" s="5" t="s">
        <v>20</v>
      </c>
      <c r="C434" s="3" t="s">
        <v>1007</v>
      </c>
      <c r="D434" s="6">
        <v>2023</v>
      </c>
      <c r="E434" s="3" t="s">
        <v>1008</v>
      </c>
      <c r="F434" s="3" t="s">
        <v>2400</v>
      </c>
      <c r="G434" s="5" t="s">
        <v>119</v>
      </c>
      <c r="H434" s="5"/>
      <c r="I434" s="5"/>
      <c r="J434" s="3"/>
    </row>
    <row r="435" spans="1:10" ht="71.25" customHeight="1">
      <c r="A435" s="5" t="s">
        <v>2401</v>
      </c>
      <c r="B435" s="5" t="s">
        <v>20</v>
      </c>
      <c r="C435" s="3" t="s">
        <v>2402</v>
      </c>
      <c r="D435" s="6">
        <v>2023</v>
      </c>
      <c r="E435" s="3" t="s">
        <v>2403</v>
      </c>
      <c r="F435" s="3" t="s">
        <v>2404</v>
      </c>
      <c r="G435" s="5" t="s">
        <v>119</v>
      </c>
      <c r="H435" s="5"/>
      <c r="I435" s="5"/>
      <c r="J435" s="3"/>
    </row>
    <row r="436" spans="1:10" ht="42.75" customHeight="1">
      <c r="A436" s="5" t="s">
        <v>2405</v>
      </c>
      <c r="B436" s="5" t="s">
        <v>20</v>
      </c>
      <c r="C436" s="3" t="s">
        <v>2406</v>
      </c>
      <c r="D436" s="6">
        <v>2023</v>
      </c>
      <c r="E436" s="3" t="s">
        <v>2407</v>
      </c>
      <c r="F436" s="3" t="s">
        <v>2408</v>
      </c>
      <c r="G436" s="5" t="s">
        <v>119</v>
      </c>
      <c r="H436" s="5"/>
      <c r="I436" s="5"/>
      <c r="J436" s="3"/>
    </row>
    <row r="437" spans="1:10" ht="28.5" customHeight="1">
      <c r="A437" s="5" t="s">
        <v>2409</v>
      </c>
      <c r="B437" s="5" t="s">
        <v>20</v>
      </c>
      <c r="C437" s="3" t="s">
        <v>2410</v>
      </c>
      <c r="D437" s="6">
        <v>2024</v>
      </c>
      <c r="E437" s="3" t="s">
        <v>2411</v>
      </c>
      <c r="F437" s="3" t="s">
        <v>2412</v>
      </c>
      <c r="G437" s="5" t="s">
        <v>119</v>
      </c>
      <c r="H437" s="5" t="s">
        <v>2413</v>
      </c>
      <c r="I437" s="5"/>
      <c r="J437" s="3"/>
    </row>
    <row r="438" spans="1:10" ht="42.75" customHeight="1">
      <c r="A438" s="5" t="s">
        <v>2414</v>
      </c>
      <c r="B438" s="5" t="s">
        <v>20</v>
      </c>
      <c r="C438" s="3" t="s">
        <v>2415</v>
      </c>
      <c r="D438" s="6">
        <v>2022</v>
      </c>
      <c r="E438" s="3" t="s">
        <v>2416</v>
      </c>
      <c r="F438" s="3" t="s">
        <v>2417</v>
      </c>
      <c r="G438" s="5" t="s">
        <v>119</v>
      </c>
      <c r="H438" s="5"/>
      <c r="I438" s="5"/>
      <c r="J438" s="3"/>
    </row>
    <row r="439" spans="1:10" ht="42.75" customHeight="1">
      <c r="A439" s="5" t="s">
        <v>2418</v>
      </c>
      <c r="B439" s="5" t="s">
        <v>20</v>
      </c>
      <c r="C439" s="3" t="s">
        <v>2419</v>
      </c>
      <c r="D439" s="6">
        <v>2022</v>
      </c>
      <c r="E439" s="3" t="s">
        <v>2420</v>
      </c>
      <c r="F439" s="3" t="s">
        <v>2421</v>
      </c>
      <c r="G439" s="5" t="s">
        <v>119</v>
      </c>
      <c r="H439" s="5"/>
      <c r="I439" s="5"/>
      <c r="J439" s="3"/>
    </row>
    <row r="440" spans="1:10" ht="42.75" customHeight="1">
      <c r="A440" s="5" t="s">
        <v>2422</v>
      </c>
      <c r="B440" s="5" t="s">
        <v>20</v>
      </c>
      <c r="C440" s="3" t="s">
        <v>2423</v>
      </c>
      <c r="D440" s="6">
        <v>2022</v>
      </c>
      <c r="E440" s="3" t="s">
        <v>2424</v>
      </c>
      <c r="F440" s="3" t="s">
        <v>2412</v>
      </c>
      <c r="G440" s="5" t="s">
        <v>119</v>
      </c>
      <c r="H440" s="5"/>
      <c r="I440" s="5"/>
      <c r="J440" s="3"/>
    </row>
    <row r="441" spans="1:10" ht="42.75" customHeight="1">
      <c r="A441" s="5" t="s">
        <v>2425</v>
      </c>
      <c r="B441" s="5" t="s">
        <v>20</v>
      </c>
      <c r="C441" s="3" t="s">
        <v>2426</v>
      </c>
      <c r="D441" s="6">
        <v>2022</v>
      </c>
      <c r="E441" s="3" t="s">
        <v>2427</v>
      </c>
      <c r="F441" s="3" t="s">
        <v>2428</v>
      </c>
      <c r="G441" s="5" t="s">
        <v>119</v>
      </c>
      <c r="H441" s="5"/>
      <c r="I441" s="5"/>
      <c r="J441" s="3"/>
    </row>
    <row r="442" spans="1:10" ht="142.5" customHeight="1">
      <c r="A442" s="5" t="s">
        <v>1155</v>
      </c>
      <c r="B442" s="5" t="s">
        <v>20</v>
      </c>
      <c r="C442" s="3" t="s">
        <v>1156</v>
      </c>
      <c r="D442" s="6">
        <v>2026</v>
      </c>
      <c r="E442" s="3" t="s">
        <v>1157</v>
      </c>
      <c r="F442" s="3" t="s">
        <v>2429</v>
      </c>
      <c r="G442" s="5" t="s">
        <v>119</v>
      </c>
      <c r="H442" s="5"/>
      <c r="I442" s="5"/>
      <c r="J442" s="3"/>
    </row>
    <row r="443" spans="1:10" ht="42.75" customHeight="1">
      <c r="A443" s="5" t="s">
        <v>2430</v>
      </c>
      <c r="B443" s="5" t="s">
        <v>20</v>
      </c>
      <c r="C443" s="3" t="s">
        <v>2431</v>
      </c>
      <c r="D443" s="6">
        <v>2023</v>
      </c>
      <c r="E443" s="3" t="s">
        <v>2432</v>
      </c>
      <c r="F443" s="3" t="s">
        <v>2433</v>
      </c>
      <c r="G443" s="5" t="s">
        <v>119</v>
      </c>
      <c r="H443" s="5"/>
      <c r="I443" s="5"/>
      <c r="J443" s="3"/>
    </row>
    <row r="444" spans="1:10" ht="42.75" customHeight="1">
      <c r="A444" s="5" t="s">
        <v>2434</v>
      </c>
      <c r="B444" s="5" t="s">
        <v>20</v>
      </c>
      <c r="C444" s="3" t="s">
        <v>2435</v>
      </c>
      <c r="D444" s="6">
        <v>2022</v>
      </c>
      <c r="E444" s="3" t="s">
        <v>2436</v>
      </c>
      <c r="F444" s="3" t="s">
        <v>2437</v>
      </c>
      <c r="G444" s="5" t="s">
        <v>119</v>
      </c>
      <c r="H444" s="5"/>
      <c r="I444" s="5"/>
      <c r="J444" s="3"/>
    </row>
    <row r="445" spans="1:10" ht="28.5" customHeight="1">
      <c r="A445" s="5" t="s">
        <v>2438</v>
      </c>
      <c r="B445" s="5" t="s">
        <v>20</v>
      </c>
      <c r="C445" s="3" t="s">
        <v>2439</v>
      </c>
      <c r="D445" s="6">
        <v>2022</v>
      </c>
      <c r="E445" s="3" t="s">
        <v>2440</v>
      </c>
      <c r="F445" s="3" t="s">
        <v>2441</v>
      </c>
      <c r="G445" s="5" t="s">
        <v>119</v>
      </c>
      <c r="H445" s="5"/>
      <c r="I445" s="5"/>
      <c r="J445" s="3"/>
    </row>
    <row r="446" spans="1:10" ht="42.75" customHeight="1">
      <c r="A446" s="5" t="s">
        <v>1030</v>
      </c>
      <c r="B446" s="5" t="s">
        <v>20</v>
      </c>
      <c r="C446" s="3" t="s">
        <v>1031</v>
      </c>
      <c r="D446" s="6">
        <v>2021</v>
      </c>
      <c r="E446" s="3" t="s">
        <v>1032</v>
      </c>
      <c r="F446" s="3" t="s">
        <v>2442</v>
      </c>
      <c r="G446" s="5" t="s">
        <v>119</v>
      </c>
      <c r="H446" s="5"/>
      <c r="I446" s="5"/>
      <c r="J446" s="3"/>
    </row>
    <row r="447" spans="1:10" ht="28.5" customHeight="1">
      <c r="A447" s="5" t="s">
        <v>2443</v>
      </c>
      <c r="B447" s="5" t="s">
        <v>20</v>
      </c>
      <c r="C447" s="3" t="s">
        <v>2444</v>
      </c>
      <c r="D447" s="6">
        <v>2021</v>
      </c>
      <c r="E447" s="3" t="s">
        <v>2445</v>
      </c>
      <c r="F447" s="3" t="s">
        <v>2446</v>
      </c>
      <c r="G447" s="5" t="s">
        <v>119</v>
      </c>
      <c r="H447" s="5"/>
      <c r="I447" s="5"/>
      <c r="J447" s="3"/>
    </row>
    <row r="448" spans="1:10" ht="42.75" customHeight="1">
      <c r="A448" s="5" t="s">
        <v>2447</v>
      </c>
      <c r="B448" s="5" t="s">
        <v>20</v>
      </c>
      <c r="C448" s="3" t="s">
        <v>2448</v>
      </c>
      <c r="D448" s="6">
        <v>2021</v>
      </c>
      <c r="E448" s="3" t="s">
        <v>2449</v>
      </c>
      <c r="F448" s="3" t="s">
        <v>2450</v>
      </c>
      <c r="G448" s="5" t="s">
        <v>119</v>
      </c>
      <c r="H448" s="5"/>
      <c r="I448" s="5"/>
      <c r="J448" s="3"/>
    </row>
    <row r="449" spans="1:10" ht="28.5" customHeight="1">
      <c r="A449" s="5" t="s">
        <v>2451</v>
      </c>
      <c r="B449" s="5" t="s">
        <v>20</v>
      </c>
      <c r="C449" s="3" t="s">
        <v>2452</v>
      </c>
      <c r="D449" s="6">
        <v>2021</v>
      </c>
      <c r="E449" s="3" t="s">
        <v>2453</v>
      </c>
      <c r="F449" s="3" t="s">
        <v>2454</v>
      </c>
      <c r="G449" s="5" t="s">
        <v>119</v>
      </c>
      <c r="H449" s="5"/>
      <c r="I449" s="5"/>
      <c r="J449" s="3"/>
    </row>
    <row r="450" spans="1:10" ht="42.75" customHeight="1">
      <c r="A450" s="5" t="s">
        <v>2455</v>
      </c>
      <c r="B450" s="5" t="s">
        <v>20</v>
      </c>
      <c r="C450" s="3" t="s">
        <v>2456</v>
      </c>
      <c r="D450" s="6">
        <v>2019</v>
      </c>
      <c r="E450" s="3" t="s">
        <v>2457</v>
      </c>
      <c r="F450" s="3" t="s">
        <v>2458</v>
      </c>
      <c r="G450" s="5" t="s">
        <v>119</v>
      </c>
      <c r="H450" s="5"/>
      <c r="I450" s="5"/>
      <c r="J450" s="3"/>
    </row>
    <row r="451" spans="1:10" ht="270.75" customHeight="1">
      <c r="A451" s="5" t="s">
        <v>912</v>
      </c>
      <c r="B451" s="5" t="s">
        <v>24</v>
      </c>
      <c r="C451" s="3" t="s">
        <v>811</v>
      </c>
      <c r="D451" s="6">
        <v>2025</v>
      </c>
      <c r="E451" s="3" t="s">
        <v>913</v>
      </c>
      <c r="F451" s="3" t="s">
        <v>2459</v>
      </c>
      <c r="G451" s="5" t="s">
        <v>110</v>
      </c>
      <c r="H451" s="5" t="s">
        <v>2460</v>
      </c>
      <c r="I451" s="5"/>
      <c r="J451" s="3"/>
    </row>
    <row r="452" spans="1:10" ht="228" customHeight="1">
      <c r="A452" s="5" t="s">
        <v>810</v>
      </c>
      <c r="B452" s="5" t="s">
        <v>24</v>
      </c>
      <c r="C452" s="3" t="s">
        <v>811</v>
      </c>
      <c r="D452" s="6">
        <v>2024</v>
      </c>
      <c r="E452" s="3" t="s">
        <v>812</v>
      </c>
      <c r="F452" s="3" t="s">
        <v>2461</v>
      </c>
      <c r="G452" s="5" t="s">
        <v>115</v>
      </c>
      <c r="H452" s="5" t="s">
        <v>2462</v>
      </c>
      <c r="I452" s="5"/>
      <c r="J452" s="3"/>
    </row>
    <row r="453" spans="1:10" ht="199.5" customHeight="1">
      <c r="A453" s="5" t="s">
        <v>834</v>
      </c>
      <c r="B453" s="5" t="s">
        <v>24</v>
      </c>
      <c r="C453" s="3" t="s">
        <v>835</v>
      </c>
      <c r="D453" s="6">
        <v>2026</v>
      </c>
      <c r="E453" s="3" t="s">
        <v>836</v>
      </c>
      <c r="F453" s="3" t="s">
        <v>2463</v>
      </c>
      <c r="G453" s="5" t="s">
        <v>115</v>
      </c>
      <c r="H453" s="5"/>
      <c r="I453" s="5"/>
      <c r="J453" s="3"/>
    </row>
    <row r="454" spans="1:10" ht="185.25" customHeight="1">
      <c r="A454" s="5" t="s">
        <v>974</v>
      </c>
      <c r="B454" s="5" t="s">
        <v>24</v>
      </c>
      <c r="C454" s="3" t="s">
        <v>918</v>
      </c>
      <c r="D454" s="6">
        <v>2021</v>
      </c>
      <c r="E454" s="3" t="s">
        <v>975</v>
      </c>
      <c r="F454" s="3" t="s">
        <v>2464</v>
      </c>
      <c r="G454" s="5" t="s">
        <v>115</v>
      </c>
      <c r="H454" s="5" t="s">
        <v>2465</v>
      </c>
      <c r="I454" s="5"/>
      <c r="J454" s="3"/>
    </row>
    <row r="455" spans="1:10" ht="228" customHeight="1">
      <c r="A455" s="5" t="s">
        <v>917</v>
      </c>
      <c r="B455" s="5" t="s">
        <v>24</v>
      </c>
      <c r="C455" s="3" t="s">
        <v>918</v>
      </c>
      <c r="D455" s="6">
        <v>2019</v>
      </c>
      <c r="E455" s="3" t="s">
        <v>919</v>
      </c>
      <c r="F455" s="3" t="s">
        <v>2466</v>
      </c>
      <c r="G455" s="5" t="s">
        <v>115</v>
      </c>
      <c r="H455" s="5" t="s">
        <v>2467</v>
      </c>
      <c r="I455" s="5"/>
      <c r="J455" s="3"/>
    </row>
    <row r="456" spans="1:10" ht="199.5" customHeight="1">
      <c r="A456" s="5" t="s">
        <v>894</v>
      </c>
      <c r="B456" s="5" t="s">
        <v>24</v>
      </c>
      <c r="C456" s="3" t="s">
        <v>895</v>
      </c>
      <c r="D456" s="6">
        <v>2025</v>
      </c>
      <c r="E456" s="3" t="s">
        <v>896</v>
      </c>
      <c r="F456" s="3" t="s">
        <v>2468</v>
      </c>
      <c r="G456" s="5" t="s">
        <v>115</v>
      </c>
      <c r="H456" s="5"/>
      <c r="I456" s="5"/>
      <c r="J456" s="3"/>
    </row>
    <row r="457" spans="1:10" ht="171" customHeight="1">
      <c r="A457" s="5" t="s">
        <v>926</v>
      </c>
      <c r="B457" s="5" t="s">
        <v>24</v>
      </c>
      <c r="C457" s="3" t="s">
        <v>927</v>
      </c>
      <c r="D457" s="6">
        <v>2025</v>
      </c>
      <c r="E457" s="3" t="s">
        <v>928</v>
      </c>
      <c r="F457" s="3" t="s">
        <v>2469</v>
      </c>
      <c r="G457" s="5" t="s">
        <v>115</v>
      </c>
      <c r="H457" s="5" t="s">
        <v>2470</v>
      </c>
      <c r="I457" s="5"/>
      <c r="J457" s="3"/>
    </row>
    <row r="458" spans="1:10" ht="228" customHeight="1">
      <c r="A458" s="5" t="s">
        <v>979</v>
      </c>
      <c r="B458" s="5" t="s">
        <v>24</v>
      </c>
      <c r="C458" s="3" t="s">
        <v>980</v>
      </c>
      <c r="D458" s="6">
        <v>2025</v>
      </c>
      <c r="E458" s="3" t="s">
        <v>981</v>
      </c>
      <c r="F458" s="3" t="s">
        <v>2471</v>
      </c>
      <c r="G458" s="5" t="s">
        <v>115</v>
      </c>
      <c r="H458" s="5" t="s">
        <v>2472</v>
      </c>
      <c r="I458" s="5"/>
      <c r="J458" s="3"/>
    </row>
    <row r="459" spans="1:10" ht="242.25" customHeight="1">
      <c r="A459" s="5" t="s">
        <v>986</v>
      </c>
      <c r="B459" s="5" t="s">
        <v>24</v>
      </c>
      <c r="C459" s="3" t="s">
        <v>987</v>
      </c>
      <c r="D459" s="6">
        <v>2025</v>
      </c>
      <c r="E459" s="3" t="s">
        <v>988</v>
      </c>
      <c r="F459" s="3" t="s">
        <v>2473</v>
      </c>
      <c r="G459" s="5" t="s">
        <v>115</v>
      </c>
      <c r="H459" s="5" t="s">
        <v>2474</v>
      </c>
      <c r="I459" s="5"/>
      <c r="J459" s="3"/>
    </row>
    <row r="460" spans="1:10" ht="256.5" customHeight="1">
      <c r="A460" s="5" t="s">
        <v>2475</v>
      </c>
      <c r="B460" s="5" t="s">
        <v>24</v>
      </c>
      <c r="C460" s="3" t="s">
        <v>2476</v>
      </c>
      <c r="D460" s="6">
        <v>2025</v>
      </c>
      <c r="E460" s="3" t="s">
        <v>2477</v>
      </c>
      <c r="F460" s="3" t="s">
        <v>2478</v>
      </c>
      <c r="G460" s="5" t="s">
        <v>115</v>
      </c>
      <c r="H460" s="5" t="s">
        <v>2479</v>
      </c>
      <c r="I460" s="5"/>
      <c r="J460" s="3"/>
    </row>
    <row r="461" spans="1:10" ht="213.75" customHeight="1">
      <c r="A461" s="5" t="s">
        <v>2480</v>
      </c>
      <c r="B461" s="5" t="s">
        <v>24</v>
      </c>
      <c r="C461" s="3" t="s">
        <v>2481</v>
      </c>
      <c r="D461" s="6">
        <v>2024</v>
      </c>
      <c r="E461" s="3" t="s">
        <v>2482</v>
      </c>
      <c r="F461" s="3" t="s">
        <v>2483</v>
      </c>
      <c r="G461" s="5" t="s">
        <v>115</v>
      </c>
      <c r="H461" s="5"/>
      <c r="I461" s="5"/>
      <c r="J461" s="3"/>
    </row>
    <row r="462" spans="1:10" ht="213.75" customHeight="1">
      <c r="A462" s="5" t="s">
        <v>849</v>
      </c>
      <c r="B462" s="5" t="s">
        <v>24</v>
      </c>
      <c r="C462" s="3" t="s">
        <v>850</v>
      </c>
      <c r="D462" s="6">
        <v>2026</v>
      </c>
      <c r="E462" s="3" t="s">
        <v>851</v>
      </c>
      <c r="F462" s="3" t="s">
        <v>2484</v>
      </c>
      <c r="G462" s="5" t="s">
        <v>110</v>
      </c>
      <c r="H462" s="5" t="s">
        <v>2485</v>
      </c>
      <c r="I462" s="5"/>
      <c r="J462" s="3"/>
    </row>
    <row r="463" spans="1:10" ht="85.5" customHeight="1">
      <c r="A463" s="5" t="s">
        <v>947</v>
      </c>
      <c r="B463" s="5" t="s">
        <v>24</v>
      </c>
      <c r="C463" s="3" t="s">
        <v>948</v>
      </c>
      <c r="D463" s="6">
        <v>2022</v>
      </c>
      <c r="E463" s="3" t="s">
        <v>949</v>
      </c>
      <c r="F463" s="3" t="s">
        <v>2486</v>
      </c>
      <c r="G463" s="5" t="s">
        <v>115</v>
      </c>
      <c r="H463" s="5" t="s">
        <v>2487</v>
      </c>
      <c r="I463" s="5"/>
      <c r="J463" s="3"/>
    </row>
    <row r="464" spans="1:10" ht="228" customHeight="1">
      <c r="A464" s="5" t="s">
        <v>950</v>
      </c>
      <c r="B464" s="5" t="s">
        <v>24</v>
      </c>
      <c r="C464" s="3" t="s">
        <v>951</v>
      </c>
      <c r="D464" s="6">
        <v>2025</v>
      </c>
      <c r="E464" s="3" t="s">
        <v>952</v>
      </c>
      <c r="F464" s="3" t="s">
        <v>2488</v>
      </c>
      <c r="G464" s="5" t="s">
        <v>115</v>
      </c>
      <c r="H464" s="5" t="s">
        <v>2489</v>
      </c>
      <c r="I464" s="5"/>
      <c r="J464" s="3"/>
    </row>
    <row r="465" spans="1:10" ht="156.75" customHeight="1">
      <c r="A465" s="5" t="s">
        <v>968</v>
      </c>
      <c r="B465" s="5" t="s">
        <v>24</v>
      </c>
      <c r="C465" s="3" t="s">
        <v>969</v>
      </c>
      <c r="D465" s="6">
        <v>2022</v>
      </c>
      <c r="E465" s="3" t="s">
        <v>970</v>
      </c>
      <c r="F465" s="3" t="s">
        <v>2490</v>
      </c>
      <c r="G465" s="5" t="s">
        <v>110</v>
      </c>
      <c r="H465" s="5" t="s">
        <v>2491</v>
      </c>
      <c r="I465" s="5"/>
      <c r="J465" s="3"/>
    </row>
    <row r="466" spans="1:10" ht="242.25" customHeight="1">
      <c r="A466" s="5" t="s">
        <v>992</v>
      </c>
      <c r="B466" s="5" t="s">
        <v>24</v>
      </c>
      <c r="C466" s="3" t="s">
        <v>918</v>
      </c>
      <c r="D466" s="6">
        <v>2019</v>
      </c>
      <c r="E466" s="3" t="s">
        <v>993</v>
      </c>
      <c r="F466" s="3" t="s">
        <v>2492</v>
      </c>
      <c r="G466" s="5" t="s">
        <v>115</v>
      </c>
      <c r="H466" s="5" t="s">
        <v>2493</v>
      </c>
      <c r="I466" s="5"/>
      <c r="J466" s="3"/>
    </row>
    <row r="467" spans="1:10" ht="156.75" customHeight="1">
      <c r="A467" s="5" t="s">
        <v>816</v>
      </c>
      <c r="B467" s="5" t="s">
        <v>24</v>
      </c>
      <c r="C467" s="3" t="s">
        <v>817</v>
      </c>
      <c r="D467" s="6">
        <v>2025</v>
      </c>
      <c r="E467" s="3" t="s">
        <v>818</v>
      </c>
      <c r="F467" s="3" t="s">
        <v>2494</v>
      </c>
      <c r="G467" s="5" t="s">
        <v>110</v>
      </c>
      <c r="H467" s="5" t="s">
        <v>2495</v>
      </c>
      <c r="I467" s="5"/>
      <c r="J467" s="3"/>
    </row>
    <row r="468" spans="1:10" ht="185.25" customHeight="1">
      <c r="A468" s="5" t="s">
        <v>953</v>
      </c>
      <c r="B468" s="5" t="s">
        <v>24</v>
      </c>
      <c r="C468" s="3" t="s">
        <v>954</v>
      </c>
      <c r="D468" s="6">
        <v>2024</v>
      </c>
      <c r="E468" s="3" t="s">
        <v>955</v>
      </c>
      <c r="F468" s="3" t="s">
        <v>2496</v>
      </c>
      <c r="G468" s="5" t="s">
        <v>115</v>
      </c>
      <c r="H468" s="5"/>
      <c r="I468" s="5"/>
      <c r="J468" s="3"/>
    </row>
    <row r="469" spans="1:10" ht="285" customHeight="1">
      <c r="A469" s="5" t="s">
        <v>864</v>
      </c>
      <c r="B469" s="5" t="s">
        <v>24</v>
      </c>
      <c r="C469" s="3" t="s">
        <v>865</v>
      </c>
      <c r="D469" s="6">
        <v>2026</v>
      </c>
      <c r="E469" s="3" t="s">
        <v>866</v>
      </c>
      <c r="F469" s="3" t="s">
        <v>2497</v>
      </c>
      <c r="G469" s="5" t="s">
        <v>115</v>
      </c>
      <c r="H469" s="5" t="s">
        <v>2498</v>
      </c>
      <c r="I469" s="5"/>
      <c r="J469" s="3"/>
    </row>
    <row r="470" spans="1:10" ht="242.25" customHeight="1">
      <c r="A470" s="5" t="s">
        <v>855</v>
      </c>
      <c r="B470" s="5" t="s">
        <v>24</v>
      </c>
      <c r="C470" s="3" t="s">
        <v>856</v>
      </c>
      <c r="D470" s="6">
        <v>2022</v>
      </c>
      <c r="E470" s="3" t="s">
        <v>857</v>
      </c>
      <c r="F470" s="3" t="s">
        <v>2499</v>
      </c>
      <c r="G470" s="5" t="s">
        <v>115</v>
      </c>
      <c r="H470" s="5"/>
      <c r="I470" s="5"/>
      <c r="J470" s="3"/>
    </row>
    <row r="471" spans="1:10" ht="228" customHeight="1">
      <c r="A471" s="5" t="s">
        <v>2500</v>
      </c>
      <c r="B471" s="5" t="s">
        <v>24</v>
      </c>
      <c r="C471" s="3" t="s">
        <v>2501</v>
      </c>
      <c r="D471" s="6">
        <v>2026</v>
      </c>
      <c r="E471" s="3" t="s">
        <v>2502</v>
      </c>
      <c r="F471" s="3" t="s">
        <v>2503</v>
      </c>
      <c r="G471" s="5" t="s">
        <v>115</v>
      </c>
      <c r="H471" s="5"/>
      <c r="I471" s="5"/>
      <c r="J471" s="3"/>
    </row>
    <row r="472" spans="1:10" ht="270.75" customHeight="1">
      <c r="A472" s="5" t="s">
        <v>819</v>
      </c>
      <c r="B472" s="5" t="s">
        <v>24</v>
      </c>
      <c r="C472" s="3" t="s">
        <v>820</v>
      </c>
      <c r="D472" s="6">
        <v>2025</v>
      </c>
      <c r="E472" s="3" t="s">
        <v>821</v>
      </c>
      <c r="F472" s="3" t="s">
        <v>2504</v>
      </c>
      <c r="G472" s="5" t="s">
        <v>115</v>
      </c>
      <c r="H472" s="5" t="s">
        <v>2505</v>
      </c>
      <c r="I472" s="5"/>
      <c r="J472" s="3"/>
    </row>
    <row r="473" spans="1:10" ht="185.25" customHeight="1">
      <c r="A473" s="5" t="s">
        <v>941</v>
      </c>
      <c r="B473" s="5" t="s">
        <v>24</v>
      </c>
      <c r="C473" s="3" t="s">
        <v>942</v>
      </c>
      <c r="D473" s="6">
        <v>2025</v>
      </c>
      <c r="E473" s="3" t="s">
        <v>943</v>
      </c>
      <c r="F473" s="3" t="s">
        <v>2506</v>
      </c>
      <c r="G473" s="5" t="s">
        <v>115</v>
      </c>
      <c r="H473" s="5" t="s">
        <v>2507</v>
      </c>
      <c r="I473" s="5"/>
      <c r="J473" s="3"/>
    </row>
    <row r="474" spans="1:10" ht="142.5" customHeight="1">
      <c r="A474" s="5" t="s">
        <v>2508</v>
      </c>
      <c r="B474" s="5" t="s">
        <v>24</v>
      </c>
      <c r="C474" s="3" t="s">
        <v>2509</v>
      </c>
      <c r="D474" s="6">
        <v>2024</v>
      </c>
      <c r="E474" s="3" t="s">
        <v>2510</v>
      </c>
      <c r="F474" s="3" t="s">
        <v>2511</v>
      </c>
      <c r="G474" s="5" t="s">
        <v>115</v>
      </c>
      <c r="H474" s="5" t="s">
        <v>2512</v>
      </c>
      <c r="I474" s="5"/>
      <c r="J474" s="3"/>
    </row>
    <row r="475" spans="1:10" ht="228" customHeight="1">
      <c r="A475" s="5" t="s">
        <v>914</v>
      </c>
      <c r="B475" s="5" t="s">
        <v>24</v>
      </c>
      <c r="C475" s="3" t="s">
        <v>915</v>
      </c>
      <c r="D475" s="6">
        <v>2024</v>
      </c>
      <c r="E475" s="3" t="s">
        <v>916</v>
      </c>
      <c r="F475" s="3" t="s">
        <v>2513</v>
      </c>
      <c r="G475" s="5" t="s">
        <v>115</v>
      </c>
      <c r="H475" s="5"/>
      <c r="I475" s="5"/>
      <c r="J475" s="3"/>
    </row>
    <row r="476" spans="1:10" ht="299.25" customHeight="1">
      <c r="A476" s="5" t="s">
        <v>923</v>
      </c>
      <c r="B476" s="5" t="s">
        <v>24</v>
      </c>
      <c r="C476" s="3" t="s">
        <v>924</v>
      </c>
      <c r="D476" s="6">
        <v>2026</v>
      </c>
      <c r="E476" s="3" t="s">
        <v>925</v>
      </c>
      <c r="F476" s="3" t="s">
        <v>2514</v>
      </c>
      <c r="G476" s="5" t="s">
        <v>110</v>
      </c>
      <c r="H476" s="5" t="s">
        <v>2515</v>
      </c>
      <c r="I476" s="5"/>
      <c r="J476" s="3"/>
    </row>
    <row r="477" spans="1:10" ht="199.5" customHeight="1">
      <c r="A477" s="5" t="s">
        <v>956</v>
      </c>
      <c r="B477" s="5" t="s">
        <v>24</v>
      </c>
      <c r="C477" s="3" t="s">
        <v>957</v>
      </c>
      <c r="D477" s="6">
        <v>2023</v>
      </c>
      <c r="E477" s="3" t="s">
        <v>958</v>
      </c>
      <c r="F477" s="3" t="s">
        <v>2516</v>
      </c>
      <c r="G477" s="5" t="s">
        <v>115</v>
      </c>
      <c r="H477" s="5"/>
      <c r="I477" s="5"/>
      <c r="J477" s="3"/>
    </row>
    <row r="478" spans="1:10" ht="270.75" customHeight="1">
      <c r="A478" s="5" t="s">
        <v>852</v>
      </c>
      <c r="B478" s="5" t="s">
        <v>24</v>
      </c>
      <c r="C478" s="3" t="s">
        <v>853</v>
      </c>
      <c r="D478" s="6">
        <v>2024</v>
      </c>
      <c r="E478" s="3" t="s">
        <v>854</v>
      </c>
      <c r="F478" s="3" t="s">
        <v>2517</v>
      </c>
      <c r="G478" s="5" t="s">
        <v>115</v>
      </c>
      <c r="H478" s="5" t="s">
        <v>2518</v>
      </c>
      <c r="I478" s="5"/>
      <c r="J478" s="3"/>
    </row>
    <row r="479" spans="1:10" ht="228" customHeight="1">
      <c r="A479" s="5" t="s">
        <v>906</v>
      </c>
      <c r="B479" s="5" t="s">
        <v>24</v>
      </c>
      <c r="C479" s="3" t="s">
        <v>907</v>
      </c>
      <c r="D479" s="6">
        <v>2024</v>
      </c>
      <c r="E479" s="3" t="s">
        <v>908</v>
      </c>
      <c r="F479" s="3" t="s">
        <v>2519</v>
      </c>
      <c r="G479" s="5" t="s">
        <v>115</v>
      </c>
      <c r="H479" s="5" t="s">
        <v>2520</v>
      </c>
      <c r="I479" s="5"/>
      <c r="J479" s="3"/>
    </row>
    <row r="480" spans="1:10" ht="199.5" customHeight="1">
      <c r="A480" s="5" t="s">
        <v>971</v>
      </c>
      <c r="B480" s="5" t="s">
        <v>24</v>
      </c>
      <c r="C480" s="3" t="s">
        <v>972</v>
      </c>
      <c r="D480" s="6">
        <v>2019</v>
      </c>
      <c r="E480" s="3" t="s">
        <v>973</v>
      </c>
      <c r="F480" s="3" t="s">
        <v>2521</v>
      </c>
      <c r="G480" s="5" t="s">
        <v>110</v>
      </c>
      <c r="H480" s="5"/>
      <c r="I480" s="5"/>
      <c r="J480" s="3"/>
    </row>
    <row r="481" spans="1:10" ht="142.5" customHeight="1">
      <c r="A481" s="5" t="s">
        <v>920</v>
      </c>
      <c r="B481" s="5" t="s">
        <v>24</v>
      </c>
      <c r="C481" s="3" t="s">
        <v>921</v>
      </c>
      <c r="D481" s="6">
        <v>2022</v>
      </c>
      <c r="E481" s="3" t="s">
        <v>922</v>
      </c>
      <c r="F481" s="3" t="s">
        <v>2522</v>
      </c>
      <c r="G481" s="5" t="s">
        <v>115</v>
      </c>
      <c r="H481" s="5" t="s">
        <v>2523</v>
      </c>
      <c r="I481" s="5"/>
      <c r="J481" s="3"/>
    </row>
    <row r="482" spans="1:10" ht="285" customHeight="1">
      <c r="A482" s="5" t="s">
        <v>1000</v>
      </c>
      <c r="B482" s="5" t="s">
        <v>24</v>
      </c>
      <c r="C482" s="3" t="s">
        <v>1001</v>
      </c>
      <c r="D482" s="6">
        <v>2024</v>
      </c>
      <c r="E482" s="3" t="s">
        <v>1002</v>
      </c>
      <c r="F482" s="3" t="s">
        <v>2524</v>
      </c>
      <c r="G482" s="5" t="s">
        <v>110</v>
      </c>
      <c r="H482" s="5" t="s">
        <v>2525</v>
      </c>
      <c r="I482" s="5"/>
      <c r="J482" s="3"/>
    </row>
    <row r="483" spans="1:10" ht="42.75" customHeight="1">
      <c r="A483" s="5" t="s">
        <v>846</v>
      </c>
      <c r="B483" s="5" t="s">
        <v>24</v>
      </c>
      <c r="C483" s="3" t="s">
        <v>847</v>
      </c>
      <c r="D483" s="6">
        <v>2025</v>
      </c>
      <c r="E483" s="3" t="s">
        <v>848</v>
      </c>
      <c r="F483" s="3"/>
      <c r="G483" s="5" t="s">
        <v>110</v>
      </c>
      <c r="H483" s="5" t="s">
        <v>2526</v>
      </c>
      <c r="I483" s="5"/>
      <c r="J483" s="3"/>
    </row>
    <row r="484" spans="1:10" ht="156.75" customHeight="1">
      <c r="A484" s="5" t="s">
        <v>2527</v>
      </c>
      <c r="B484" s="5" t="s">
        <v>24</v>
      </c>
      <c r="C484" s="3" t="s">
        <v>2528</v>
      </c>
      <c r="D484" s="6">
        <v>2023</v>
      </c>
      <c r="E484" s="3" t="s">
        <v>2529</v>
      </c>
      <c r="F484" s="3" t="s">
        <v>2530</v>
      </c>
      <c r="G484" s="5" t="s">
        <v>115</v>
      </c>
      <c r="H484" s="5"/>
      <c r="I484" s="5"/>
      <c r="J484" s="3"/>
    </row>
    <row r="485" spans="1:10" ht="313.5" customHeight="1">
      <c r="A485" s="5" t="s">
        <v>997</v>
      </c>
      <c r="B485" s="5" t="s">
        <v>24</v>
      </c>
      <c r="C485" s="3" t="s">
        <v>998</v>
      </c>
      <c r="D485" s="6">
        <v>2022</v>
      </c>
      <c r="E485" s="3" t="s">
        <v>999</v>
      </c>
      <c r="F485" s="3" t="s">
        <v>2531</v>
      </c>
      <c r="G485" s="5" t="s">
        <v>115</v>
      </c>
      <c r="H485" s="5"/>
      <c r="I485" s="5"/>
      <c r="J485" s="3"/>
    </row>
    <row r="486" spans="1:10" ht="256.5" customHeight="1">
      <c r="A486" s="5" t="s">
        <v>2532</v>
      </c>
      <c r="B486" s="5" t="s">
        <v>24</v>
      </c>
      <c r="C486" s="3" t="s">
        <v>2533</v>
      </c>
      <c r="D486" s="6">
        <v>2021</v>
      </c>
      <c r="E486" s="3" t="s">
        <v>2534</v>
      </c>
      <c r="F486" s="3" t="s">
        <v>2535</v>
      </c>
      <c r="G486" s="5" t="s">
        <v>115</v>
      </c>
      <c r="H486" s="5" t="s">
        <v>2536</v>
      </c>
      <c r="I486" s="5"/>
      <c r="J486" s="3"/>
    </row>
    <row r="487" spans="1:10" ht="256.5" customHeight="1">
      <c r="A487" s="5" t="s">
        <v>822</v>
      </c>
      <c r="B487" s="5" t="s">
        <v>24</v>
      </c>
      <c r="C487" s="3" t="s">
        <v>823</v>
      </c>
      <c r="D487" s="6">
        <v>2022</v>
      </c>
      <c r="E487" s="3" t="s">
        <v>824</v>
      </c>
      <c r="F487" s="3" t="s">
        <v>2537</v>
      </c>
      <c r="G487" s="5" t="s">
        <v>115</v>
      </c>
      <c r="H487" s="5"/>
      <c r="I487" s="5"/>
      <c r="J487" s="3"/>
    </row>
    <row r="488" spans="1:10" ht="242.25" customHeight="1">
      <c r="A488" s="5" t="s">
        <v>2538</v>
      </c>
      <c r="B488" s="5" t="s">
        <v>24</v>
      </c>
      <c r="C488" s="3" t="s">
        <v>2539</v>
      </c>
      <c r="D488" s="6">
        <v>2018</v>
      </c>
      <c r="E488" s="3" t="s">
        <v>2540</v>
      </c>
      <c r="F488" s="3" t="s">
        <v>2541</v>
      </c>
      <c r="G488" s="5" t="s">
        <v>115</v>
      </c>
      <c r="H488" s="5" t="s">
        <v>2542</v>
      </c>
      <c r="I488" s="5"/>
      <c r="J488" s="3"/>
    </row>
    <row r="489" spans="1:10" ht="199.5" customHeight="1">
      <c r="A489" s="5" t="s">
        <v>813</v>
      </c>
      <c r="B489" s="5" t="s">
        <v>24</v>
      </c>
      <c r="C489" s="3" t="s">
        <v>814</v>
      </c>
      <c r="D489" s="6">
        <v>2020</v>
      </c>
      <c r="E489" s="3" t="s">
        <v>815</v>
      </c>
      <c r="F489" s="3" t="s">
        <v>2543</v>
      </c>
      <c r="G489" s="5" t="s">
        <v>115</v>
      </c>
      <c r="H489" s="5"/>
      <c r="I489" s="5"/>
      <c r="J489" s="3"/>
    </row>
    <row r="490" spans="1:10" ht="128.25" customHeight="1">
      <c r="A490" s="5" t="s">
        <v>888</v>
      </c>
      <c r="B490" s="5" t="s">
        <v>24</v>
      </c>
      <c r="C490" s="3" t="s">
        <v>889</v>
      </c>
      <c r="D490" s="6">
        <v>2017</v>
      </c>
      <c r="E490" s="3" t="s">
        <v>890</v>
      </c>
      <c r="F490" s="3" t="s">
        <v>2544</v>
      </c>
      <c r="G490" s="5" t="s">
        <v>110</v>
      </c>
      <c r="H490" s="5"/>
      <c r="I490" s="5"/>
      <c r="J490" s="3"/>
    </row>
    <row r="491" spans="1:10" ht="313.5" customHeight="1">
      <c r="A491" s="5" t="s">
        <v>900</v>
      </c>
      <c r="B491" s="5" t="s">
        <v>24</v>
      </c>
      <c r="C491" s="3" t="s">
        <v>901</v>
      </c>
      <c r="D491" s="6">
        <v>2023</v>
      </c>
      <c r="E491" s="3" t="s">
        <v>902</v>
      </c>
      <c r="F491" s="3" t="s">
        <v>2545</v>
      </c>
      <c r="G491" s="5" t="s">
        <v>110</v>
      </c>
      <c r="H491" s="5" t="s">
        <v>2546</v>
      </c>
      <c r="I491" s="5"/>
      <c r="J491" s="3"/>
    </row>
    <row r="492" spans="1:10" ht="57" customHeight="1">
      <c r="A492" s="5" t="s">
        <v>903</v>
      </c>
      <c r="B492" s="5" t="s">
        <v>24</v>
      </c>
      <c r="C492" s="3" t="s">
        <v>904</v>
      </c>
      <c r="D492" s="6">
        <v>2023</v>
      </c>
      <c r="E492" s="3" t="s">
        <v>905</v>
      </c>
      <c r="F492" s="3"/>
      <c r="G492" s="5" t="s">
        <v>110</v>
      </c>
      <c r="H492" s="5" t="s">
        <v>2547</v>
      </c>
      <c r="I492" s="5"/>
      <c r="J492" s="3"/>
    </row>
    <row r="493" spans="1:10" ht="156.75" customHeight="1">
      <c r="A493" s="5" t="s">
        <v>909</v>
      </c>
      <c r="B493" s="5" t="s">
        <v>24</v>
      </c>
      <c r="C493" s="3" t="s">
        <v>910</v>
      </c>
      <c r="D493" s="6">
        <v>2023</v>
      </c>
      <c r="E493" s="3" t="s">
        <v>911</v>
      </c>
      <c r="F493" s="3" t="s">
        <v>2548</v>
      </c>
      <c r="G493" s="5" t="s">
        <v>115</v>
      </c>
      <c r="H493" s="5" t="s">
        <v>2549</v>
      </c>
      <c r="I493" s="5"/>
      <c r="J493" s="3"/>
    </row>
    <row r="494" spans="1:10" ht="199.5" customHeight="1">
      <c r="A494" s="5" t="s">
        <v>2550</v>
      </c>
      <c r="B494" s="5" t="s">
        <v>24</v>
      </c>
      <c r="C494" s="3" t="s">
        <v>2551</v>
      </c>
      <c r="D494" s="6">
        <v>2024</v>
      </c>
      <c r="E494" s="3" t="s">
        <v>2552</v>
      </c>
      <c r="F494" s="3" t="s">
        <v>2553</v>
      </c>
      <c r="G494" s="5" t="s">
        <v>115</v>
      </c>
      <c r="H494" s="5"/>
      <c r="I494" s="5"/>
      <c r="J494" s="3"/>
    </row>
    <row r="495" spans="1:10" ht="228" customHeight="1">
      <c r="A495" s="5" t="s">
        <v>873</v>
      </c>
      <c r="B495" s="5" t="s">
        <v>24</v>
      </c>
      <c r="C495" s="3" t="s">
        <v>874</v>
      </c>
      <c r="D495" s="6">
        <v>2023</v>
      </c>
      <c r="E495" s="3" t="s">
        <v>875</v>
      </c>
      <c r="F495" s="3" t="s">
        <v>2554</v>
      </c>
      <c r="G495" s="5" t="s">
        <v>115</v>
      </c>
      <c r="H495" s="5" t="s">
        <v>2555</v>
      </c>
      <c r="I495" s="5"/>
      <c r="J495" s="3"/>
    </row>
    <row r="496" spans="1:10" ht="242.25" customHeight="1">
      <c r="A496" s="5" t="s">
        <v>2556</v>
      </c>
      <c r="B496" s="5" t="s">
        <v>24</v>
      </c>
      <c r="C496" s="3" t="s">
        <v>2557</v>
      </c>
      <c r="D496" s="6">
        <v>2023</v>
      </c>
      <c r="E496" s="3" t="s">
        <v>2558</v>
      </c>
      <c r="F496" s="3" t="s">
        <v>2559</v>
      </c>
      <c r="G496" s="5" t="s">
        <v>115</v>
      </c>
      <c r="H496" s="5"/>
      <c r="I496" s="5"/>
      <c r="J496" s="3"/>
    </row>
    <row r="497" spans="1:10" ht="242.25" customHeight="1">
      <c r="A497" s="5" t="s">
        <v>2560</v>
      </c>
      <c r="B497" s="5" t="s">
        <v>24</v>
      </c>
      <c r="C497" s="3" t="s">
        <v>2561</v>
      </c>
      <c r="D497" s="6">
        <v>2022</v>
      </c>
      <c r="E497" s="3" t="s">
        <v>2562</v>
      </c>
      <c r="F497" s="3" t="s">
        <v>2563</v>
      </c>
      <c r="G497" s="5" t="s">
        <v>110</v>
      </c>
      <c r="H497" s="5" t="s">
        <v>2564</v>
      </c>
      <c r="I497" s="5"/>
      <c r="J497" s="3"/>
    </row>
    <row r="498" spans="1:10" ht="185.25" customHeight="1">
      <c r="A498" s="5" t="s">
        <v>959</v>
      </c>
      <c r="B498" s="5" t="s">
        <v>24</v>
      </c>
      <c r="C498" s="3" t="s">
        <v>960</v>
      </c>
      <c r="D498" s="6">
        <v>2022</v>
      </c>
      <c r="E498" s="3" t="s">
        <v>961</v>
      </c>
      <c r="F498" s="3" t="s">
        <v>2565</v>
      </c>
      <c r="G498" s="5" t="s">
        <v>110</v>
      </c>
      <c r="H498" s="5" t="s">
        <v>2566</v>
      </c>
      <c r="I498" s="5"/>
      <c r="J498" s="3"/>
    </row>
    <row r="499" spans="1:10" ht="99.75" customHeight="1">
      <c r="A499" s="5" t="s">
        <v>2567</v>
      </c>
      <c r="B499" s="5" t="s">
        <v>24</v>
      </c>
      <c r="C499" s="3" t="s">
        <v>2568</v>
      </c>
      <c r="D499" s="6">
        <v>2022</v>
      </c>
      <c r="E499" s="3" t="s">
        <v>2569</v>
      </c>
      <c r="F499" s="3" t="s">
        <v>2570</v>
      </c>
      <c r="G499" s="5" t="s">
        <v>110</v>
      </c>
      <c r="H499" s="5" t="s">
        <v>2571</v>
      </c>
      <c r="I499" s="5"/>
      <c r="J499" s="3"/>
    </row>
    <row r="500" spans="1:10" ht="71.25" customHeight="1">
      <c r="A500" s="5" t="s">
        <v>897</v>
      </c>
      <c r="B500" s="5" t="s">
        <v>24</v>
      </c>
      <c r="C500" s="3" t="s">
        <v>898</v>
      </c>
      <c r="D500" s="6">
        <v>2022</v>
      </c>
      <c r="E500" s="3" t="s">
        <v>899</v>
      </c>
      <c r="F500" s="3" t="s">
        <v>2572</v>
      </c>
      <c r="G500" s="5" t="s">
        <v>110</v>
      </c>
      <c r="H500" s="5" t="s">
        <v>2573</v>
      </c>
      <c r="I500" s="5"/>
      <c r="J500" s="3"/>
    </row>
    <row r="501" spans="1:10" ht="156.75" customHeight="1">
      <c r="A501" s="5" t="s">
        <v>870</v>
      </c>
      <c r="B501" s="5" t="s">
        <v>24</v>
      </c>
      <c r="C501" s="3" t="s">
        <v>871</v>
      </c>
      <c r="D501" s="6">
        <v>2017</v>
      </c>
      <c r="E501" s="3" t="s">
        <v>872</v>
      </c>
      <c r="F501" s="3" t="s">
        <v>2574</v>
      </c>
      <c r="G501" s="5" t="s">
        <v>115</v>
      </c>
      <c r="H501" s="5" t="s">
        <v>2575</v>
      </c>
      <c r="I501" s="5"/>
      <c r="J501" s="3"/>
    </row>
    <row r="502" spans="1:10" ht="228" customHeight="1">
      <c r="A502" s="5" t="s">
        <v>2576</v>
      </c>
      <c r="B502" s="5" t="s">
        <v>24</v>
      </c>
      <c r="C502" s="3" t="s">
        <v>2577</v>
      </c>
      <c r="D502" s="6">
        <v>2025</v>
      </c>
      <c r="E502" s="3" t="s">
        <v>2578</v>
      </c>
      <c r="F502" s="3" t="s">
        <v>2579</v>
      </c>
      <c r="G502" s="5" t="s">
        <v>115</v>
      </c>
      <c r="H502" s="5" t="s">
        <v>2580</v>
      </c>
      <c r="I502" s="5"/>
      <c r="J502" s="3"/>
    </row>
    <row r="503" spans="1:10" ht="128.25" customHeight="1">
      <c r="A503" s="5" t="s">
        <v>932</v>
      </c>
      <c r="B503" s="5" t="s">
        <v>24</v>
      </c>
      <c r="C503" s="3" t="s">
        <v>933</v>
      </c>
      <c r="D503" s="6">
        <v>2022</v>
      </c>
      <c r="E503" s="3" t="s">
        <v>934</v>
      </c>
      <c r="F503" s="3" t="s">
        <v>2581</v>
      </c>
      <c r="G503" s="5" t="s">
        <v>110</v>
      </c>
      <c r="H503" s="5"/>
      <c r="I503" s="5"/>
      <c r="J503" s="3"/>
    </row>
    <row r="504" spans="1:10" ht="185.25" customHeight="1">
      <c r="A504" s="5" t="s">
        <v>804</v>
      </c>
      <c r="B504" s="5" t="s">
        <v>24</v>
      </c>
      <c r="C504" s="3" t="s">
        <v>805</v>
      </c>
      <c r="D504" s="6">
        <v>2023</v>
      </c>
      <c r="E504" s="3" t="s">
        <v>806</v>
      </c>
      <c r="F504" s="3" t="s">
        <v>2582</v>
      </c>
      <c r="G504" s="5" t="s">
        <v>115</v>
      </c>
      <c r="H504" s="5" t="s">
        <v>2583</v>
      </c>
      <c r="I504" s="5"/>
      <c r="J504" s="3"/>
    </row>
    <row r="505" spans="1:10" ht="185.25" customHeight="1">
      <c r="A505" s="5" t="s">
        <v>882</v>
      </c>
      <c r="B505" s="5" t="s">
        <v>24</v>
      </c>
      <c r="C505" s="3" t="s">
        <v>883</v>
      </c>
      <c r="D505" s="6">
        <v>2021</v>
      </c>
      <c r="E505" s="3" t="s">
        <v>884</v>
      </c>
      <c r="F505" s="3" t="s">
        <v>2584</v>
      </c>
      <c r="G505" s="5" t="s">
        <v>110</v>
      </c>
      <c r="H505" s="5" t="s">
        <v>2585</v>
      </c>
      <c r="I505" s="5"/>
      <c r="J505" s="3"/>
    </row>
    <row r="506" spans="1:10" ht="42.75" customHeight="1">
      <c r="A506" s="5" t="s">
        <v>935</v>
      </c>
      <c r="B506" s="5" t="s">
        <v>24</v>
      </c>
      <c r="C506" s="3" t="s">
        <v>936</v>
      </c>
      <c r="D506" s="6">
        <v>2026</v>
      </c>
      <c r="E506" s="3" t="s">
        <v>937</v>
      </c>
      <c r="F506" s="3"/>
      <c r="G506" s="5" t="s">
        <v>110</v>
      </c>
      <c r="H506" s="5" t="s">
        <v>2586</v>
      </c>
      <c r="I506" s="5"/>
      <c r="J506" s="3"/>
    </row>
    <row r="507" spans="1:10" ht="199.5" customHeight="1">
      <c r="A507" s="5" t="s">
        <v>965</v>
      </c>
      <c r="B507" s="5" t="s">
        <v>24</v>
      </c>
      <c r="C507" s="3" t="s">
        <v>966</v>
      </c>
      <c r="D507" s="6">
        <v>2021</v>
      </c>
      <c r="E507" s="3" t="s">
        <v>967</v>
      </c>
      <c r="F507" s="3" t="s">
        <v>2587</v>
      </c>
      <c r="G507" s="5" t="s">
        <v>115</v>
      </c>
      <c r="H507" s="5"/>
      <c r="I507" s="5"/>
      <c r="J507" s="3"/>
    </row>
    <row r="508" spans="1:10" ht="285" customHeight="1">
      <c r="A508" s="5" t="s">
        <v>994</v>
      </c>
      <c r="B508" s="5" t="s">
        <v>24</v>
      </c>
      <c r="C508" s="3" t="s">
        <v>995</v>
      </c>
      <c r="D508" s="6">
        <v>2022</v>
      </c>
      <c r="E508" s="3" t="s">
        <v>996</v>
      </c>
      <c r="F508" s="3" t="s">
        <v>2588</v>
      </c>
      <c r="G508" s="5" t="s">
        <v>115</v>
      </c>
      <c r="H508" s="5" t="s">
        <v>2589</v>
      </c>
      <c r="I508" s="5"/>
      <c r="J508" s="3"/>
    </row>
    <row r="509" spans="1:10" ht="42.75" customHeight="1">
      <c r="A509" s="5" t="s">
        <v>2590</v>
      </c>
      <c r="B509" s="5" t="s">
        <v>24</v>
      </c>
      <c r="C509" s="3" t="s">
        <v>2591</v>
      </c>
      <c r="D509" s="6">
        <v>2023</v>
      </c>
      <c r="E509" s="3" t="s">
        <v>2592</v>
      </c>
      <c r="F509" s="3"/>
      <c r="G509" s="5" t="s">
        <v>110</v>
      </c>
      <c r="H509" s="5" t="s">
        <v>2593</v>
      </c>
      <c r="I509" s="5"/>
      <c r="J509" s="3"/>
    </row>
    <row r="510" spans="1:10" ht="28.5" customHeight="1">
      <c r="A510" s="5" t="s">
        <v>2594</v>
      </c>
      <c r="B510" s="5" t="s">
        <v>24</v>
      </c>
      <c r="C510" s="3" t="s">
        <v>2595</v>
      </c>
      <c r="D510" s="6">
        <v>2022</v>
      </c>
      <c r="E510" s="3" t="s">
        <v>2596</v>
      </c>
      <c r="F510" s="3"/>
      <c r="G510" s="5" t="s">
        <v>110</v>
      </c>
      <c r="H510" s="5" t="s">
        <v>2597</v>
      </c>
      <c r="I510" s="5"/>
      <c r="J510" s="3"/>
    </row>
    <row r="511" spans="1:10" ht="242.25" customHeight="1">
      <c r="A511" s="5" t="s">
        <v>858</v>
      </c>
      <c r="B511" s="5" t="s">
        <v>24</v>
      </c>
      <c r="C511" s="3" t="s">
        <v>859</v>
      </c>
      <c r="D511" s="6">
        <v>2020</v>
      </c>
      <c r="E511" s="3" t="s">
        <v>860</v>
      </c>
      <c r="F511" s="3" t="s">
        <v>2598</v>
      </c>
      <c r="G511" s="5" t="s">
        <v>115</v>
      </c>
      <c r="H511" s="5"/>
      <c r="I511" s="5"/>
      <c r="J511" s="3"/>
    </row>
    <row r="512" spans="1:10" ht="299.25" customHeight="1">
      <c r="A512" s="5" t="s">
        <v>976</v>
      </c>
      <c r="B512" s="5" t="s">
        <v>24</v>
      </c>
      <c r="C512" s="3" t="s">
        <v>977</v>
      </c>
      <c r="D512" s="6">
        <v>2023</v>
      </c>
      <c r="E512" s="3" t="s">
        <v>978</v>
      </c>
      <c r="F512" s="3" t="s">
        <v>2599</v>
      </c>
      <c r="G512" s="5" t="s">
        <v>115</v>
      </c>
      <c r="H512" s="5"/>
      <c r="I512" s="5"/>
      <c r="J512" s="3"/>
    </row>
    <row r="513" spans="1:10" ht="156.75" customHeight="1">
      <c r="A513" s="5" t="s">
        <v>843</v>
      </c>
      <c r="B513" s="5" t="s">
        <v>24</v>
      </c>
      <c r="C513" s="3" t="s">
        <v>844</v>
      </c>
      <c r="D513" s="6">
        <v>2021</v>
      </c>
      <c r="E513" s="3" t="s">
        <v>845</v>
      </c>
      <c r="F513" s="3" t="s">
        <v>2600</v>
      </c>
      <c r="G513" s="5" t="s">
        <v>115</v>
      </c>
      <c r="H513" s="5"/>
      <c r="I513" s="5"/>
      <c r="J513" s="3"/>
    </row>
    <row r="514" spans="1:10" ht="256.5" customHeight="1">
      <c r="A514" s="5" t="s">
        <v>861</v>
      </c>
      <c r="B514" s="5" t="s">
        <v>24</v>
      </c>
      <c r="C514" s="3" t="s">
        <v>862</v>
      </c>
      <c r="D514" s="6">
        <v>2024</v>
      </c>
      <c r="E514" s="3" t="s">
        <v>863</v>
      </c>
      <c r="F514" s="3" t="s">
        <v>2601</v>
      </c>
      <c r="G514" s="5" t="s">
        <v>115</v>
      </c>
      <c r="H514" s="5" t="s">
        <v>2602</v>
      </c>
      <c r="I514" s="5"/>
      <c r="J514" s="3"/>
    </row>
    <row r="515" spans="1:10" ht="114" customHeight="1">
      <c r="A515" s="5" t="s">
        <v>982</v>
      </c>
      <c r="B515" s="5" t="s">
        <v>24</v>
      </c>
      <c r="C515" s="3" t="s">
        <v>983</v>
      </c>
      <c r="D515" s="6">
        <v>2014</v>
      </c>
      <c r="E515" s="3" t="s">
        <v>984</v>
      </c>
      <c r="F515" s="3" t="s">
        <v>2603</v>
      </c>
      <c r="G515" s="5" t="s">
        <v>110</v>
      </c>
      <c r="H515" s="5" t="s">
        <v>2604</v>
      </c>
      <c r="I515" s="5"/>
      <c r="J515" s="3"/>
    </row>
    <row r="516" spans="1:10" ht="228" customHeight="1">
      <c r="A516" s="5" t="s">
        <v>801</v>
      </c>
      <c r="B516" s="5" t="s">
        <v>24</v>
      </c>
      <c r="C516" s="3" t="s">
        <v>802</v>
      </c>
      <c r="D516" s="6">
        <v>2020</v>
      </c>
      <c r="E516" s="3" t="s">
        <v>803</v>
      </c>
      <c r="F516" s="3" t="s">
        <v>2605</v>
      </c>
      <c r="G516" s="5" t="s">
        <v>115</v>
      </c>
      <c r="H516" s="5" t="s">
        <v>2606</v>
      </c>
      <c r="I516" s="5"/>
      <c r="J516" s="3"/>
    </row>
    <row r="517" spans="1:10" ht="285" customHeight="1">
      <c r="A517" s="5" t="s">
        <v>929</v>
      </c>
      <c r="B517" s="5" t="s">
        <v>24</v>
      </c>
      <c r="C517" s="3" t="s">
        <v>930</v>
      </c>
      <c r="D517" s="6">
        <v>2020</v>
      </c>
      <c r="E517" s="3" t="s">
        <v>931</v>
      </c>
      <c r="F517" s="3" t="s">
        <v>2607</v>
      </c>
      <c r="G517" s="5" t="s">
        <v>115</v>
      </c>
      <c r="H517" s="5"/>
      <c r="I517" s="5"/>
      <c r="J517" s="3"/>
    </row>
    <row r="518" spans="1:10" ht="114" customHeight="1">
      <c r="A518" s="5" t="s">
        <v>985</v>
      </c>
      <c r="B518" s="5" t="s">
        <v>24</v>
      </c>
      <c r="C518" s="3" t="s">
        <v>983</v>
      </c>
      <c r="D518" s="6">
        <v>2012</v>
      </c>
      <c r="E518" s="3" t="s">
        <v>984</v>
      </c>
      <c r="F518" s="3" t="s">
        <v>2608</v>
      </c>
      <c r="G518" s="5" t="s">
        <v>115</v>
      </c>
      <c r="H518" s="5"/>
      <c r="I518" s="5"/>
      <c r="J518" s="3"/>
    </row>
    <row r="519" spans="1:10" ht="242.25" customHeight="1">
      <c r="A519" s="5" t="s">
        <v>840</v>
      </c>
      <c r="B519" s="5" t="s">
        <v>24</v>
      </c>
      <c r="C519" s="3" t="s">
        <v>841</v>
      </c>
      <c r="D519" s="6">
        <v>2013</v>
      </c>
      <c r="E519" s="3" t="s">
        <v>842</v>
      </c>
      <c r="F519" s="3" t="s">
        <v>2609</v>
      </c>
      <c r="G519" s="5" t="s">
        <v>110</v>
      </c>
      <c r="H519" s="5" t="s">
        <v>2610</v>
      </c>
      <c r="I519" s="5"/>
      <c r="J519" s="3"/>
    </row>
    <row r="520" spans="1:10" ht="171" customHeight="1">
      <c r="A520" s="5" t="s">
        <v>885</v>
      </c>
      <c r="B520" s="5" t="s">
        <v>24</v>
      </c>
      <c r="C520" s="3" t="s">
        <v>886</v>
      </c>
      <c r="D520" s="6">
        <v>2018</v>
      </c>
      <c r="E520" s="3" t="s">
        <v>887</v>
      </c>
      <c r="F520" s="3" t="s">
        <v>2611</v>
      </c>
      <c r="G520" s="5" t="s">
        <v>115</v>
      </c>
      <c r="H520" s="5"/>
      <c r="I520" s="5"/>
      <c r="J520" s="3"/>
    </row>
    <row r="521" spans="1:10" ht="185.25" customHeight="1">
      <c r="A521" s="5" t="s">
        <v>867</v>
      </c>
      <c r="B521" s="5" t="s">
        <v>24</v>
      </c>
      <c r="C521" s="3" t="s">
        <v>868</v>
      </c>
      <c r="D521" s="6">
        <v>2023</v>
      </c>
      <c r="E521" s="3" t="s">
        <v>869</v>
      </c>
      <c r="F521" s="3" t="s">
        <v>2612</v>
      </c>
      <c r="G521" s="5" t="s">
        <v>115</v>
      </c>
      <c r="H521" s="5"/>
      <c r="I521" s="5"/>
      <c r="J521" s="3"/>
    </row>
    <row r="522" spans="1:10" ht="128.25" customHeight="1">
      <c r="A522" s="5" t="s">
        <v>807</v>
      </c>
      <c r="B522" s="5" t="s">
        <v>24</v>
      </c>
      <c r="C522" s="3" t="s">
        <v>808</v>
      </c>
      <c r="D522" s="6">
        <v>2017</v>
      </c>
      <c r="E522" s="3" t="s">
        <v>809</v>
      </c>
      <c r="F522" s="3" t="s">
        <v>2613</v>
      </c>
      <c r="G522" s="5" t="s">
        <v>110</v>
      </c>
      <c r="H522" s="5" t="s">
        <v>2614</v>
      </c>
      <c r="I522" s="5"/>
      <c r="J522" s="3"/>
    </row>
    <row r="523" spans="1:10" ht="299.25" customHeight="1">
      <c r="A523" s="5" t="s">
        <v>831</v>
      </c>
      <c r="B523" s="5" t="s">
        <v>24</v>
      </c>
      <c r="C523" s="3" t="s">
        <v>832</v>
      </c>
      <c r="D523" s="6">
        <v>2023</v>
      </c>
      <c r="E523" s="3" t="s">
        <v>833</v>
      </c>
      <c r="F523" s="3" t="s">
        <v>2615</v>
      </c>
      <c r="G523" s="5" t="s">
        <v>115</v>
      </c>
      <c r="H523" s="5"/>
      <c r="I523" s="5"/>
      <c r="J523" s="3"/>
    </row>
    <row r="524" spans="1:10" ht="185.25" customHeight="1">
      <c r="A524" s="5" t="s">
        <v>879</v>
      </c>
      <c r="B524" s="5" t="s">
        <v>24</v>
      </c>
      <c r="C524" s="3" t="s">
        <v>880</v>
      </c>
      <c r="D524" s="6">
        <v>2016</v>
      </c>
      <c r="E524" s="3" t="s">
        <v>881</v>
      </c>
      <c r="F524" s="3" t="s">
        <v>2616</v>
      </c>
      <c r="G524" s="5" t="s">
        <v>115</v>
      </c>
      <c r="H524" s="5"/>
      <c r="I524" s="5"/>
      <c r="J524" s="3"/>
    </row>
    <row r="525" spans="1:10" ht="171" customHeight="1">
      <c r="A525" s="5" t="s">
        <v>2617</v>
      </c>
      <c r="B525" s="5" t="s">
        <v>24</v>
      </c>
      <c r="C525" s="3" t="s">
        <v>2618</v>
      </c>
      <c r="D525" s="6">
        <v>2009</v>
      </c>
      <c r="E525" s="3" t="s">
        <v>2619</v>
      </c>
      <c r="F525" s="3" t="s">
        <v>2620</v>
      </c>
      <c r="G525" s="5" t="s">
        <v>115</v>
      </c>
      <c r="H525" s="5" t="s">
        <v>2621</v>
      </c>
      <c r="I525" s="5"/>
      <c r="J525" s="3"/>
    </row>
    <row r="526" spans="1:10" ht="185.25" customHeight="1">
      <c r="A526" s="5" t="s">
        <v>989</v>
      </c>
      <c r="B526" s="5" t="s">
        <v>24</v>
      </c>
      <c r="C526" s="3" t="s">
        <v>990</v>
      </c>
      <c r="D526" s="6">
        <v>2010</v>
      </c>
      <c r="E526" s="3" t="s">
        <v>991</v>
      </c>
      <c r="F526" s="3" t="s">
        <v>2622</v>
      </c>
      <c r="G526" s="5" t="s">
        <v>110</v>
      </c>
      <c r="H526" s="5" t="s">
        <v>2623</v>
      </c>
      <c r="I526" s="5"/>
      <c r="J526" s="3"/>
    </row>
    <row r="527" spans="1:10" ht="156.75" customHeight="1">
      <c r="A527" s="5" t="s">
        <v>891</v>
      </c>
      <c r="B527" s="5" t="s">
        <v>24</v>
      </c>
      <c r="C527" s="3" t="s">
        <v>892</v>
      </c>
      <c r="D527" s="6">
        <v>2011</v>
      </c>
      <c r="E527" s="3" t="s">
        <v>893</v>
      </c>
      <c r="F527" s="3" t="s">
        <v>2624</v>
      </c>
      <c r="G527" s="5" t="s">
        <v>115</v>
      </c>
      <c r="H527" s="5" t="s">
        <v>2625</v>
      </c>
      <c r="I527" s="5"/>
      <c r="J527" s="3"/>
    </row>
    <row r="528" spans="1:10" ht="57" customHeight="1">
      <c r="A528" s="5" t="s">
        <v>2626</v>
      </c>
      <c r="B528" s="5" t="s">
        <v>24</v>
      </c>
      <c r="C528" s="3" t="s">
        <v>2627</v>
      </c>
      <c r="D528" s="6">
        <v>2022</v>
      </c>
      <c r="E528" s="3" t="s">
        <v>2628</v>
      </c>
      <c r="F528" s="3"/>
      <c r="G528" s="5" t="s">
        <v>110</v>
      </c>
      <c r="H528" s="5" t="s">
        <v>2629</v>
      </c>
      <c r="I528" s="5"/>
      <c r="J528" s="3"/>
    </row>
    <row r="529" spans="1:10" ht="242.25" customHeight="1">
      <c r="A529" s="5" t="s">
        <v>938</v>
      </c>
      <c r="B529" s="5" t="s">
        <v>24</v>
      </c>
      <c r="C529" s="3" t="s">
        <v>939</v>
      </c>
      <c r="D529" s="6">
        <v>2008</v>
      </c>
      <c r="E529" s="3" t="s">
        <v>940</v>
      </c>
      <c r="F529" s="3" t="s">
        <v>2630</v>
      </c>
      <c r="G529" s="5" t="s">
        <v>110</v>
      </c>
      <c r="H529" s="5" t="s">
        <v>2631</v>
      </c>
      <c r="I529" s="5"/>
      <c r="J529" s="3"/>
    </row>
    <row r="530" spans="1:10" ht="242.25" customHeight="1">
      <c r="A530" s="5" t="s">
        <v>962</v>
      </c>
      <c r="B530" s="5" t="s">
        <v>24</v>
      </c>
      <c r="C530" s="3" t="s">
        <v>963</v>
      </c>
      <c r="D530" s="6">
        <v>2012</v>
      </c>
      <c r="E530" s="3" t="s">
        <v>964</v>
      </c>
      <c r="F530" s="3" t="s">
        <v>2632</v>
      </c>
      <c r="G530" s="5" t="s">
        <v>110</v>
      </c>
      <c r="H530" s="5" t="s">
        <v>2633</v>
      </c>
      <c r="I530" s="5"/>
      <c r="J530" s="3"/>
    </row>
    <row r="531" spans="1:10" ht="213.75" customHeight="1">
      <c r="A531" s="5" t="s">
        <v>2634</v>
      </c>
      <c r="B531" s="5" t="s">
        <v>24</v>
      </c>
      <c r="C531" s="3" t="s">
        <v>2635</v>
      </c>
      <c r="D531" s="6">
        <v>2005</v>
      </c>
      <c r="E531" s="3" t="s">
        <v>2636</v>
      </c>
      <c r="F531" s="3" t="s">
        <v>2637</v>
      </c>
      <c r="G531" s="5" t="s">
        <v>115</v>
      </c>
      <c r="H531" s="5" t="s">
        <v>2638</v>
      </c>
      <c r="I531" s="5"/>
      <c r="J531" s="3"/>
    </row>
    <row r="532" spans="1:10" ht="356.25" customHeight="1">
      <c r="A532" s="5" t="s">
        <v>828</v>
      </c>
      <c r="B532" s="5" t="s">
        <v>24</v>
      </c>
      <c r="C532" s="3" t="s">
        <v>829</v>
      </c>
      <c r="D532" s="6">
        <v>2002</v>
      </c>
      <c r="E532" s="3" t="s">
        <v>830</v>
      </c>
      <c r="F532" s="3" t="s">
        <v>2639</v>
      </c>
      <c r="G532" s="5" t="s">
        <v>110</v>
      </c>
      <c r="H532" s="5" t="s">
        <v>2640</v>
      </c>
      <c r="I532" s="5"/>
      <c r="J532" s="3"/>
    </row>
    <row r="533" spans="1:10" ht="199.5" customHeight="1">
      <c r="A533" s="5" t="s">
        <v>944</v>
      </c>
      <c r="B533" s="5" t="s">
        <v>24</v>
      </c>
      <c r="C533" s="3" t="s">
        <v>945</v>
      </c>
      <c r="D533" s="6">
        <v>2013</v>
      </c>
      <c r="E533" s="3" t="s">
        <v>946</v>
      </c>
      <c r="F533" s="3" t="s">
        <v>2641</v>
      </c>
      <c r="G533" s="5" t="s">
        <v>110</v>
      </c>
      <c r="H533" s="5" t="s">
        <v>2642</v>
      </c>
      <c r="I533" s="5"/>
      <c r="J533" s="3"/>
    </row>
    <row r="534" spans="1:10" ht="213.75" customHeight="1">
      <c r="A534" s="5" t="s">
        <v>837</v>
      </c>
      <c r="B534" s="5" t="s">
        <v>24</v>
      </c>
      <c r="C534" s="3" t="s">
        <v>838</v>
      </c>
      <c r="D534" s="6">
        <v>2022</v>
      </c>
      <c r="E534" s="3" t="s">
        <v>839</v>
      </c>
      <c r="F534" s="3" t="s">
        <v>2643</v>
      </c>
      <c r="G534" s="5" t="s">
        <v>115</v>
      </c>
      <c r="H534" s="5" t="s">
        <v>2644</v>
      </c>
      <c r="I534" s="5"/>
      <c r="J534" s="3"/>
    </row>
    <row r="535" spans="1:10" ht="57" customHeight="1">
      <c r="A535" s="5" t="s">
        <v>825</v>
      </c>
      <c r="B535" s="5" t="s">
        <v>24</v>
      </c>
      <c r="C535" s="3" t="s">
        <v>826</v>
      </c>
      <c r="D535" s="6">
        <v>2001</v>
      </c>
      <c r="E535" s="3" t="s">
        <v>827</v>
      </c>
      <c r="F535" s="3"/>
      <c r="G535" s="5" t="s">
        <v>115</v>
      </c>
      <c r="H535" s="5"/>
      <c r="I535" s="5"/>
      <c r="J535" s="3"/>
    </row>
    <row r="536" spans="1:10" ht="114" customHeight="1">
      <c r="A536" s="5" t="s">
        <v>876</v>
      </c>
      <c r="B536" s="5" t="s">
        <v>24</v>
      </c>
      <c r="C536" s="3" t="s">
        <v>877</v>
      </c>
      <c r="D536" s="6">
        <v>2006</v>
      </c>
      <c r="E536" s="3" t="s">
        <v>878</v>
      </c>
      <c r="F536" s="3" t="s">
        <v>2645</v>
      </c>
      <c r="G536" s="5" t="s">
        <v>115</v>
      </c>
      <c r="H536" s="5" t="s">
        <v>2646</v>
      </c>
      <c r="I536" s="5"/>
      <c r="J536" s="3"/>
    </row>
    <row r="537" spans="1:10" ht="409.5" customHeight="1">
      <c r="A537" s="5" t="s">
        <v>2647</v>
      </c>
      <c r="B537" s="5" t="s">
        <v>20</v>
      </c>
      <c r="C537" s="3" t="s">
        <v>2648</v>
      </c>
      <c r="D537" s="6">
        <v>2026</v>
      </c>
      <c r="E537" s="3" t="s">
        <v>2649</v>
      </c>
      <c r="F537" s="3" t="s">
        <v>2650</v>
      </c>
      <c r="G537" s="5" t="s">
        <v>110</v>
      </c>
      <c r="H537" s="5" t="s">
        <v>2651</v>
      </c>
      <c r="I537" s="5"/>
      <c r="J537" s="3"/>
    </row>
    <row r="538" spans="1:10" ht="228" customHeight="1">
      <c r="A538" s="5" t="s">
        <v>2652</v>
      </c>
      <c r="B538" s="5" t="s">
        <v>20</v>
      </c>
      <c r="C538" s="3" t="s">
        <v>2653</v>
      </c>
      <c r="D538" s="6">
        <v>2025</v>
      </c>
      <c r="E538" s="3" t="s">
        <v>2654</v>
      </c>
      <c r="F538" s="3" t="s">
        <v>2655</v>
      </c>
      <c r="G538" s="5" t="s">
        <v>110</v>
      </c>
      <c r="H538" s="5" t="s">
        <v>2656</v>
      </c>
      <c r="I538" s="5"/>
      <c r="J538" s="3"/>
    </row>
    <row r="539" spans="1:10" ht="256.5" customHeight="1">
      <c r="A539" s="5" t="s">
        <v>2657</v>
      </c>
      <c r="B539" s="5" t="s">
        <v>20</v>
      </c>
      <c r="C539" s="3" t="s">
        <v>2658</v>
      </c>
      <c r="D539" s="6">
        <v>2026</v>
      </c>
      <c r="E539" s="3" t="s">
        <v>2659</v>
      </c>
      <c r="F539" s="3" t="s">
        <v>2660</v>
      </c>
      <c r="G539" s="5" t="s">
        <v>115</v>
      </c>
      <c r="H539" s="5" t="s">
        <v>2661</v>
      </c>
      <c r="I539" s="5"/>
      <c r="J539" s="3"/>
    </row>
    <row r="540" spans="1:10" ht="409.5" customHeight="1">
      <c r="A540" s="5" t="s">
        <v>2662</v>
      </c>
      <c r="B540" s="5" t="s">
        <v>20</v>
      </c>
      <c r="C540" s="3" t="s">
        <v>2663</v>
      </c>
      <c r="D540" s="6">
        <v>2026</v>
      </c>
      <c r="E540" s="3" t="s">
        <v>2664</v>
      </c>
      <c r="F540" s="3" t="s">
        <v>2665</v>
      </c>
      <c r="G540" s="5" t="s">
        <v>110</v>
      </c>
      <c r="H540" s="5" t="s">
        <v>2666</v>
      </c>
      <c r="I540" s="5"/>
      <c r="J540" s="3"/>
    </row>
    <row r="541" spans="1:10" ht="384.75" customHeight="1">
      <c r="A541" s="5" t="s">
        <v>2667</v>
      </c>
      <c r="B541" s="5" t="s">
        <v>20</v>
      </c>
      <c r="C541" s="3" t="s">
        <v>2668</v>
      </c>
      <c r="D541" s="6">
        <v>2026</v>
      </c>
      <c r="E541" s="3" t="s">
        <v>2669</v>
      </c>
      <c r="F541" s="3" t="s">
        <v>2670</v>
      </c>
      <c r="G541" s="5" t="s">
        <v>110</v>
      </c>
      <c r="H541" s="5" t="s">
        <v>2671</v>
      </c>
      <c r="I541" s="5"/>
      <c r="J541" s="3"/>
    </row>
    <row r="542" spans="1:10" ht="409.5" customHeight="1">
      <c r="A542" s="5" t="s">
        <v>2672</v>
      </c>
      <c r="B542" s="5" t="s">
        <v>20</v>
      </c>
      <c r="C542" s="3" t="s">
        <v>2673</v>
      </c>
      <c r="D542" s="6">
        <v>2026</v>
      </c>
      <c r="E542" s="3" t="s">
        <v>2674</v>
      </c>
      <c r="F542" s="3" t="s">
        <v>2675</v>
      </c>
      <c r="G542" s="5" t="s">
        <v>110</v>
      </c>
      <c r="H542" s="5" t="s">
        <v>2676</v>
      </c>
      <c r="I542" s="5"/>
      <c r="J542" s="3"/>
    </row>
    <row r="543" spans="1:10" ht="128.25" customHeight="1">
      <c r="A543" s="5" t="s">
        <v>2677</v>
      </c>
      <c r="B543" s="5" t="s">
        <v>20</v>
      </c>
      <c r="C543" s="3" t="s">
        <v>2678</v>
      </c>
      <c r="D543" s="6">
        <v>2026</v>
      </c>
      <c r="E543" s="3" t="s">
        <v>2679</v>
      </c>
      <c r="F543" s="3" t="s">
        <v>2680</v>
      </c>
      <c r="G543" s="5" t="s">
        <v>115</v>
      </c>
      <c r="H543" s="5" t="s">
        <v>2681</v>
      </c>
      <c r="I543" s="5"/>
      <c r="J543" s="3"/>
    </row>
    <row r="544" spans="1:10" ht="384.75" customHeight="1">
      <c r="A544" s="5" t="s">
        <v>2682</v>
      </c>
      <c r="B544" s="5" t="s">
        <v>20</v>
      </c>
      <c r="C544" s="3" t="s">
        <v>2683</v>
      </c>
      <c r="D544" s="6">
        <v>2026</v>
      </c>
      <c r="E544" s="3" t="s">
        <v>2684</v>
      </c>
      <c r="F544" s="3" t="s">
        <v>2685</v>
      </c>
      <c r="G544" s="5" t="s">
        <v>110</v>
      </c>
      <c r="H544" s="5" t="s">
        <v>2686</v>
      </c>
      <c r="I544" s="5"/>
      <c r="J544" s="3"/>
    </row>
    <row r="545" spans="1:10" ht="256.5" customHeight="1">
      <c r="A545" s="5" t="s">
        <v>795</v>
      </c>
      <c r="B545" s="5" t="s">
        <v>20</v>
      </c>
      <c r="C545" s="3" t="s">
        <v>796</v>
      </c>
      <c r="D545" s="6">
        <v>2026</v>
      </c>
      <c r="E545" s="3" t="s">
        <v>797</v>
      </c>
      <c r="F545" s="3" t="s">
        <v>2687</v>
      </c>
      <c r="G545" s="5" t="s">
        <v>110</v>
      </c>
      <c r="H545" s="5" t="s">
        <v>2688</v>
      </c>
      <c r="I545" s="5"/>
      <c r="J545" s="3"/>
    </row>
    <row r="546" spans="1:10" ht="242.25" customHeight="1">
      <c r="A546" s="5" t="s">
        <v>2689</v>
      </c>
      <c r="B546" s="5" t="s">
        <v>20</v>
      </c>
      <c r="C546" s="3" t="s">
        <v>2690</v>
      </c>
      <c r="D546" s="6">
        <v>2026</v>
      </c>
      <c r="E546" s="3" t="s">
        <v>2691</v>
      </c>
      <c r="F546" s="3" t="s">
        <v>2692</v>
      </c>
      <c r="G546" s="5" t="s">
        <v>110</v>
      </c>
      <c r="H546" s="5" t="s">
        <v>2693</v>
      </c>
      <c r="I546" s="5"/>
      <c r="J546" s="3"/>
    </row>
    <row r="547" spans="1:10" ht="384.75" customHeight="1">
      <c r="A547" s="5" t="s">
        <v>2694</v>
      </c>
      <c r="B547" s="5" t="s">
        <v>20</v>
      </c>
      <c r="C547" s="3" t="s">
        <v>2695</v>
      </c>
      <c r="D547" s="6">
        <v>2026</v>
      </c>
      <c r="E547" s="3" t="s">
        <v>2696</v>
      </c>
      <c r="F547" s="3" t="s">
        <v>2697</v>
      </c>
      <c r="G547" s="5" t="s">
        <v>110</v>
      </c>
      <c r="H547" s="5" t="s">
        <v>2698</v>
      </c>
      <c r="I547" s="5"/>
      <c r="J547" s="3"/>
    </row>
    <row r="548" spans="1:10" ht="228" customHeight="1">
      <c r="A548" s="5" t="s">
        <v>2699</v>
      </c>
      <c r="B548" s="5" t="s">
        <v>20</v>
      </c>
      <c r="C548" s="3" t="s">
        <v>2700</v>
      </c>
      <c r="D548" s="6">
        <v>2026</v>
      </c>
      <c r="E548" s="3" t="s">
        <v>2701</v>
      </c>
      <c r="F548" s="3" t="s">
        <v>2702</v>
      </c>
      <c r="G548" s="5" t="s">
        <v>115</v>
      </c>
      <c r="H548" s="5" t="s">
        <v>2703</v>
      </c>
      <c r="I548" s="5"/>
      <c r="J548" s="3"/>
    </row>
    <row r="549" spans="1:10" ht="285" customHeight="1">
      <c r="A549" s="5" t="s">
        <v>2704</v>
      </c>
      <c r="B549" s="5" t="s">
        <v>20</v>
      </c>
      <c r="C549" s="3" t="s">
        <v>2705</v>
      </c>
      <c r="D549" s="6">
        <v>2025</v>
      </c>
      <c r="E549" s="3" t="s">
        <v>2706</v>
      </c>
      <c r="F549" s="3" t="s">
        <v>2707</v>
      </c>
      <c r="G549" s="5" t="s">
        <v>110</v>
      </c>
      <c r="H549" s="5" t="s">
        <v>2708</v>
      </c>
      <c r="I549" s="5"/>
      <c r="J549" s="3"/>
    </row>
    <row r="550" spans="1:10" ht="199.5" customHeight="1">
      <c r="A550" s="5" t="s">
        <v>2709</v>
      </c>
      <c r="B550" s="5" t="s">
        <v>20</v>
      </c>
      <c r="C550" s="3" t="s">
        <v>2710</v>
      </c>
      <c r="D550" s="6">
        <v>2026</v>
      </c>
      <c r="E550" s="3" t="s">
        <v>2711</v>
      </c>
      <c r="F550" s="3" t="s">
        <v>2712</v>
      </c>
      <c r="G550" s="5" t="s">
        <v>115</v>
      </c>
      <c r="H550" s="5" t="s">
        <v>2713</v>
      </c>
      <c r="I550" s="5"/>
      <c r="J550" s="3"/>
    </row>
    <row r="551" spans="1:10" ht="299.25" customHeight="1">
      <c r="A551" s="5" t="s">
        <v>2714</v>
      </c>
      <c r="B551" s="5" t="s">
        <v>20</v>
      </c>
      <c r="C551" s="3" t="s">
        <v>2715</v>
      </c>
      <c r="D551" s="6">
        <v>2026</v>
      </c>
      <c r="E551" s="3" t="s">
        <v>2716</v>
      </c>
      <c r="F551" s="3" t="s">
        <v>2717</v>
      </c>
      <c r="G551" s="5" t="s">
        <v>115</v>
      </c>
      <c r="H551" s="5" t="s">
        <v>2718</v>
      </c>
      <c r="I551" s="5"/>
      <c r="J551" s="3"/>
    </row>
    <row r="552" spans="1:10" ht="185.25" customHeight="1">
      <c r="A552" s="5" t="s">
        <v>1039</v>
      </c>
      <c r="B552" s="5" t="s">
        <v>20</v>
      </c>
      <c r="C552" s="3" t="s">
        <v>1040</v>
      </c>
      <c r="D552" s="6">
        <v>2026</v>
      </c>
      <c r="E552" s="3" t="s">
        <v>1041</v>
      </c>
      <c r="F552" s="3" t="s">
        <v>2719</v>
      </c>
      <c r="G552" s="5" t="s">
        <v>110</v>
      </c>
      <c r="H552" s="5" t="s">
        <v>2720</v>
      </c>
      <c r="I552" s="5"/>
      <c r="J552" s="3"/>
    </row>
    <row r="553" spans="1:10" ht="342" customHeight="1">
      <c r="A553" s="5" t="s">
        <v>2721</v>
      </c>
      <c r="B553" s="5" t="s">
        <v>20</v>
      </c>
      <c r="C553" s="3" t="s">
        <v>2722</v>
      </c>
      <c r="D553" s="6">
        <v>2026</v>
      </c>
      <c r="E553" s="3" t="s">
        <v>2723</v>
      </c>
      <c r="F553" s="3" t="s">
        <v>2724</v>
      </c>
      <c r="G553" s="5" t="s">
        <v>110</v>
      </c>
      <c r="H553" s="5" t="s">
        <v>2725</v>
      </c>
      <c r="I553" s="5"/>
      <c r="J553" s="3"/>
    </row>
    <row r="554" spans="1:10" ht="409.5" customHeight="1">
      <c r="A554" s="5" t="s">
        <v>2726</v>
      </c>
      <c r="B554" s="5" t="s">
        <v>20</v>
      </c>
      <c r="C554" s="3" t="s">
        <v>2727</v>
      </c>
      <c r="D554" s="6">
        <v>2026</v>
      </c>
      <c r="E554" s="3" t="s">
        <v>2728</v>
      </c>
      <c r="F554" s="3" t="s">
        <v>2729</v>
      </c>
      <c r="G554" s="5" t="s">
        <v>110</v>
      </c>
      <c r="H554" s="5" t="s">
        <v>2730</v>
      </c>
      <c r="I554" s="5"/>
      <c r="J554" s="3"/>
    </row>
    <row r="555" spans="1:10" ht="285" customHeight="1">
      <c r="A555" s="5" t="s">
        <v>2731</v>
      </c>
      <c r="B555" s="5" t="s">
        <v>20</v>
      </c>
      <c r="C555" s="3" t="s">
        <v>2732</v>
      </c>
      <c r="D555" s="6">
        <v>2025</v>
      </c>
      <c r="E555" s="3" t="s">
        <v>2733</v>
      </c>
      <c r="F555" s="3" t="s">
        <v>2734</v>
      </c>
      <c r="G555" s="5" t="s">
        <v>110</v>
      </c>
      <c r="H555" s="5" t="s">
        <v>2735</v>
      </c>
      <c r="I555" s="5"/>
      <c r="J555" s="3"/>
    </row>
    <row r="556" spans="1:10" ht="327.75" customHeight="1">
      <c r="A556" s="5" t="s">
        <v>2736</v>
      </c>
      <c r="B556" s="5" t="s">
        <v>20</v>
      </c>
      <c r="C556" s="3" t="s">
        <v>2737</v>
      </c>
      <c r="D556" s="6">
        <v>2026</v>
      </c>
      <c r="E556" s="3" t="s">
        <v>2738</v>
      </c>
      <c r="F556" s="3" t="s">
        <v>2739</v>
      </c>
      <c r="G556" s="5" t="s">
        <v>110</v>
      </c>
      <c r="H556" s="5" t="s">
        <v>2740</v>
      </c>
      <c r="I556" s="5"/>
      <c r="J556" s="3"/>
    </row>
    <row r="557" spans="1:10" ht="199.5" customHeight="1">
      <c r="A557" s="5" t="s">
        <v>2741</v>
      </c>
      <c r="B557" s="5" t="s">
        <v>20</v>
      </c>
      <c r="C557" s="3" t="s">
        <v>2742</v>
      </c>
      <c r="D557" s="6">
        <v>2025</v>
      </c>
      <c r="E557" s="3" t="s">
        <v>2743</v>
      </c>
      <c r="F557" s="3" t="s">
        <v>2744</v>
      </c>
      <c r="G557" s="5" t="s">
        <v>115</v>
      </c>
      <c r="H557" s="5"/>
      <c r="I557" s="5"/>
      <c r="J557" s="3"/>
    </row>
    <row r="558" spans="1:10" ht="327.75" customHeight="1">
      <c r="A558" s="5" t="s">
        <v>2745</v>
      </c>
      <c r="B558" s="5" t="s">
        <v>20</v>
      </c>
      <c r="C558" s="3" t="s">
        <v>1073</v>
      </c>
      <c r="D558" s="6">
        <v>2025</v>
      </c>
      <c r="E558" s="3" t="s">
        <v>2746</v>
      </c>
      <c r="F558" s="3" t="s">
        <v>2747</v>
      </c>
      <c r="G558" s="5" t="s">
        <v>110</v>
      </c>
      <c r="H558" s="5" t="s">
        <v>2748</v>
      </c>
      <c r="I558" s="5"/>
      <c r="J558" s="3"/>
    </row>
    <row r="559" spans="1:10" ht="356.25" customHeight="1">
      <c r="A559" s="5" t="s">
        <v>2749</v>
      </c>
      <c r="B559" s="5" t="s">
        <v>20</v>
      </c>
      <c r="C559" s="3" t="s">
        <v>2750</v>
      </c>
      <c r="D559" s="6">
        <v>2026</v>
      </c>
      <c r="E559" s="3" t="s">
        <v>2751</v>
      </c>
      <c r="F559" s="3" t="s">
        <v>2752</v>
      </c>
      <c r="G559" s="5" t="s">
        <v>110</v>
      </c>
      <c r="H559" s="5" t="s">
        <v>2753</v>
      </c>
      <c r="I559" s="5"/>
      <c r="J559" s="3"/>
    </row>
    <row r="560" spans="1:10" ht="270.75" customHeight="1">
      <c r="A560" s="5" t="s">
        <v>2754</v>
      </c>
      <c r="B560" s="5" t="s">
        <v>20</v>
      </c>
      <c r="C560" s="3" t="s">
        <v>2755</v>
      </c>
      <c r="D560" s="6">
        <v>2026</v>
      </c>
      <c r="E560" s="3" t="s">
        <v>2756</v>
      </c>
      <c r="F560" s="3" t="s">
        <v>2757</v>
      </c>
      <c r="G560" s="5" t="s">
        <v>110</v>
      </c>
      <c r="H560" s="5" t="s">
        <v>2758</v>
      </c>
      <c r="I560" s="5"/>
      <c r="J560" s="3"/>
    </row>
    <row r="561" spans="1:10" ht="256.5" customHeight="1">
      <c r="A561" s="5" t="s">
        <v>2759</v>
      </c>
      <c r="B561" s="5" t="s">
        <v>20</v>
      </c>
      <c r="C561" s="3" t="s">
        <v>2760</v>
      </c>
      <c r="D561" s="6">
        <v>2026</v>
      </c>
      <c r="E561" s="3" t="s">
        <v>2761</v>
      </c>
      <c r="F561" s="3" t="s">
        <v>2762</v>
      </c>
      <c r="G561" s="5" t="s">
        <v>115</v>
      </c>
      <c r="H561" s="5" t="s">
        <v>2763</v>
      </c>
      <c r="I561" s="5"/>
      <c r="J561" s="3"/>
    </row>
    <row r="562" spans="1:10" ht="199.5" customHeight="1">
      <c r="A562" s="5" t="s">
        <v>2764</v>
      </c>
      <c r="B562" s="5" t="s">
        <v>20</v>
      </c>
      <c r="C562" s="3" t="s">
        <v>2765</v>
      </c>
      <c r="D562" s="6">
        <v>2026</v>
      </c>
      <c r="E562" s="3" t="s">
        <v>2766</v>
      </c>
      <c r="F562" s="3" t="s">
        <v>2767</v>
      </c>
      <c r="G562" s="5" t="s">
        <v>115</v>
      </c>
      <c r="H562" s="5" t="s">
        <v>2768</v>
      </c>
      <c r="I562" s="5"/>
      <c r="J562" s="3"/>
    </row>
    <row r="563" spans="1:10" ht="213.75" customHeight="1">
      <c r="A563" s="5" t="s">
        <v>2769</v>
      </c>
      <c r="B563" s="5" t="s">
        <v>20</v>
      </c>
      <c r="C563" s="3" t="s">
        <v>2770</v>
      </c>
      <c r="D563" s="6">
        <v>2026</v>
      </c>
      <c r="E563" s="3" t="s">
        <v>2771</v>
      </c>
      <c r="F563" s="3" t="s">
        <v>2772</v>
      </c>
      <c r="G563" s="5" t="s">
        <v>110</v>
      </c>
      <c r="H563" s="5" t="s">
        <v>2773</v>
      </c>
      <c r="I563" s="5"/>
      <c r="J563" s="3"/>
    </row>
    <row r="564" spans="1:10" ht="213.75" customHeight="1">
      <c r="A564" s="5" t="s">
        <v>2774</v>
      </c>
      <c r="B564" s="5" t="s">
        <v>20</v>
      </c>
      <c r="C564" s="3" t="s">
        <v>2775</v>
      </c>
      <c r="D564" s="6">
        <v>2025</v>
      </c>
      <c r="E564" s="3" t="s">
        <v>2776</v>
      </c>
      <c r="F564" s="3" t="s">
        <v>2777</v>
      </c>
      <c r="G564" s="5" t="s">
        <v>110</v>
      </c>
      <c r="H564" s="5" t="s">
        <v>2778</v>
      </c>
      <c r="I564" s="5"/>
      <c r="J564" s="3"/>
    </row>
    <row r="565" spans="1:10" ht="242.25" customHeight="1">
      <c r="A565" s="5" t="s">
        <v>2779</v>
      </c>
      <c r="B565" s="5" t="s">
        <v>20</v>
      </c>
      <c r="C565" s="3" t="s">
        <v>2780</v>
      </c>
      <c r="D565" s="6">
        <v>2025</v>
      </c>
      <c r="E565" s="3" t="s">
        <v>2781</v>
      </c>
      <c r="F565" s="3" t="s">
        <v>2782</v>
      </c>
      <c r="G565" s="5" t="s">
        <v>115</v>
      </c>
      <c r="H565" s="5" t="s">
        <v>2783</v>
      </c>
      <c r="I565" s="5"/>
      <c r="J565" s="3"/>
    </row>
    <row r="566" spans="1:10" ht="185.25" customHeight="1">
      <c r="A566" s="5" t="s">
        <v>2784</v>
      </c>
      <c r="B566" s="5" t="s">
        <v>20</v>
      </c>
      <c r="C566" s="3" t="s">
        <v>2785</v>
      </c>
      <c r="D566" s="6">
        <v>2026</v>
      </c>
      <c r="E566" s="3" t="s">
        <v>2786</v>
      </c>
      <c r="F566" s="3" t="s">
        <v>2787</v>
      </c>
      <c r="G566" s="5" t="s">
        <v>115</v>
      </c>
      <c r="H566" s="5" t="s">
        <v>2788</v>
      </c>
      <c r="I566" s="5"/>
      <c r="J566" s="3"/>
    </row>
    <row r="567" spans="1:10" ht="299.25" customHeight="1">
      <c r="A567" s="5" t="s">
        <v>2789</v>
      </c>
      <c r="B567" s="5" t="s">
        <v>20</v>
      </c>
      <c r="C567" s="3" t="s">
        <v>2790</v>
      </c>
      <c r="D567" s="6">
        <v>2026</v>
      </c>
      <c r="E567" s="3" t="s">
        <v>2791</v>
      </c>
      <c r="F567" s="3" t="s">
        <v>2792</v>
      </c>
      <c r="G567" s="5" t="s">
        <v>110</v>
      </c>
      <c r="H567" s="5" t="s">
        <v>2793</v>
      </c>
      <c r="I567" s="5"/>
      <c r="J567" s="3"/>
    </row>
    <row r="568" spans="1:10" ht="313.5" customHeight="1">
      <c r="A568" s="5" t="s">
        <v>2794</v>
      </c>
      <c r="B568" s="5" t="s">
        <v>20</v>
      </c>
      <c r="C568" s="3" t="s">
        <v>2795</v>
      </c>
      <c r="D568" s="6">
        <v>2026</v>
      </c>
      <c r="E568" s="3" t="s">
        <v>2796</v>
      </c>
      <c r="F568" s="3" t="s">
        <v>2797</v>
      </c>
      <c r="G568" s="5" t="s">
        <v>115</v>
      </c>
      <c r="H568" s="5" t="s">
        <v>2798</v>
      </c>
      <c r="I568" s="5"/>
      <c r="J568" s="3"/>
    </row>
    <row r="569" spans="1:10" ht="370.5" customHeight="1">
      <c r="A569" s="5" t="s">
        <v>2799</v>
      </c>
      <c r="B569" s="5" t="s">
        <v>20</v>
      </c>
      <c r="C569" s="3" t="s">
        <v>2800</v>
      </c>
      <c r="D569" s="6">
        <v>2025</v>
      </c>
      <c r="E569" s="3" t="s">
        <v>2801</v>
      </c>
      <c r="F569" s="3" t="s">
        <v>2802</v>
      </c>
      <c r="G569" s="5" t="s">
        <v>110</v>
      </c>
      <c r="H569" s="5" t="s">
        <v>2803</v>
      </c>
      <c r="I569" s="5"/>
      <c r="J569" s="3"/>
    </row>
    <row r="570" spans="1:10" ht="256.5" customHeight="1">
      <c r="A570" s="5" t="s">
        <v>2804</v>
      </c>
      <c r="B570" s="5" t="s">
        <v>20</v>
      </c>
      <c r="C570" s="3" t="s">
        <v>2805</v>
      </c>
      <c r="D570" s="6">
        <v>2026</v>
      </c>
      <c r="E570" s="3" t="s">
        <v>2806</v>
      </c>
      <c r="F570" s="3" t="s">
        <v>2807</v>
      </c>
      <c r="G570" s="5" t="s">
        <v>115</v>
      </c>
      <c r="H570" s="5" t="s">
        <v>2808</v>
      </c>
      <c r="I570" s="5"/>
      <c r="J570" s="3"/>
    </row>
    <row r="571" spans="1:10" ht="270.75" customHeight="1">
      <c r="A571" s="5" t="s">
        <v>2809</v>
      </c>
      <c r="B571" s="5" t="s">
        <v>20</v>
      </c>
      <c r="C571" s="3" t="s">
        <v>2810</v>
      </c>
      <c r="D571" s="6">
        <v>2026</v>
      </c>
      <c r="E571" s="3" t="s">
        <v>2811</v>
      </c>
      <c r="F571" s="3" t="s">
        <v>2812</v>
      </c>
      <c r="G571" s="5" t="s">
        <v>110</v>
      </c>
      <c r="H571" s="5" t="s">
        <v>2813</v>
      </c>
      <c r="I571" s="5"/>
      <c r="J571" s="3"/>
    </row>
    <row r="572" spans="1:10" ht="356.25" customHeight="1">
      <c r="A572" s="5" t="s">
        <v>2814</v>
      </c>
      <c r="B572" s="5" t="s">
        <v>20</v>
      </c>
      <c r="C572" s="3" t="s">
        <v>2815</v>
      </c>
      <c r="D572" s="6">
        <v>2026</v>
      </c>
      <c r="E572" s="3" t="s">
        <v>2816</v>
      </c>
      <c r="F572" s="3" t="s">
        <v>2817</v>
      </c>
      <c r="G572" s="5" t="s">
        <v>110</v>
      </c>
      <c r="H572" s="5" t="s">
        <v>2818</v>
      </c>
      <c r="I572" s="5"/>
      <c r="J572" s="3"/>
    </row>
    <row r="573" spans="1:10" ht="299.25" customHeight="1">
      <c r="A573" s="5" t="s">
        <v>2819</v>
      </c>
      <c r="B573" s="5" t="s">
        <v>20</v>
      </c>
      <c r="C573" s="3" t="s">
        <v>2820</v>
      </c>
      <c r="D573" s="6">
        <v>2026</v>
      </c>
      <c r="E573" s="3" t="s">
        <v>2821</v>
      </c>
      <c r="F573" s="3" t="s">
        <v>2822</v>
      </c>
      <c r="G573" s="5" t="s">
        <v>115</v>
      </c>
      <c r="H573" s="5" t="s">
        <v>2823</v>
      </c>
      <c r="I573" s="5"/>
      <c r="J573" s="3"/>
    </row>
    <row r="574" spans="1:10" ht="409.5" customHeight="1">
      <c r="A574" s="5" t="s">
        <v>2824</v>
      </c>
      <c r="B574" s="5" t="s">
        <v>20</v>
      </c>
      <c r="C574" s="3" t="s">
        <v>2825</v>
      </c>
      <c r="D574" s="6">
        <v>2026</v>
      </c>
      <c r="E574" s="3" t="s">
        <v>2826</v>
      </c>
      <c r="F574" s="3" t="s">
        <v>2827</v>
      </c>
      <c r="G574" s="5" t="s">
        <v>110</v>
      </c>
      <c r="H574" s="5" t="s">
        <v>2828</v>
      </c>
      <c r="I574" s="5"/>
      <c r="J574" s="3"/>
    </row>
    <row r="575" spans="1:10" ht="299.25" customHeight="1">
      <c r="A575" s="5" t="s">
        <v>2829</v>
      </c>
      <c r="B575" s="5" t="s">
        <v>20</v>
      </c>
      <c r="C575" s="3" t="s">
        <v>2830</v>
      </c>
      <c r="D575" s="6">
        <v>2025</v>
      </c>
      <c r="E575" s="3" t="s">
        <v>2831</v>
      </c>
      <c r="F575" s="3" t="s">
        <v>2832</v>
      </c>
      <c r="G575" s="5" t="s">
        <v>110</v>
      </c>
      <c r="H575" s="5" t="s">
        <v>2833</v>
      </c>
      <c r="I575" s="5"/>
      <c r="J575" s="3"/>
    </row>
    <row r="576" spans="1:10" ht="270.75" customHeight="1">
      <c r="A576" s="5" t="s">
        <v>2834</v>
      </c>
      <c r="B576" s="5" t="s">
        <v>20</v>
      </c>
      <c r="C576" s="3" t="s">
        <v>2835</v>
      </c>
      <c r="D576" s="6">
        <v>2025</v>
      </c>
      <c r="E576" s="3" t="s">
        <v>2836</v>
      </c>
      <c r="F576" s="3" t="s">
        <v>2837</v>
      </c>
      <c r="G576" s="5" t="s">
        <v>110</v>
      </c>
      <c r="H576" s="5" t="s">
        <v>2838</v>
      </c>
      <c r="I576" s="5"/>
      <c r="J576" s="3"/>
    </row>
    <row r="577" spans="1:10" ht="327.75" customHeight="1">
      <c r="A577" s="5" t="s">
        <v>2839</v>
      </c>
      <c r="B577" s="5" t="s">
        <v>20</v>
      </c>
      <c r="C577" s="3" t="s">
        <v>2840</v>
      </c>
      <c r="D577" s="6">
        <v>2026</v>
      </c>
      <c r="E577" s="3" t="s">
        <v>2841</v>
      </c>
      <c r="F577" s="3" t="s">
        <v>2842</v>
      </c>
      <c r="G577" s="5" t="s">
        <v>115</v>
      </c>
      <c r="H577" s="5" t="s">
        <v>2843</v>
      </c>
      <c r="I577" s="5"/>
      <c r="J577" s="3"/>
    </row>
    <row r="578" spans="1:10" ht="342" customHeight="1">
      <c r="A578" s="5" t="s">
        <v>2844</v>
      </c>
      <c r="B578" s="5" t="s">
        <v>20</v>
      </c>
      <c r="C578" s="3" t="s">
        <v>2845</v>
      </c>
      <c r="D578" s="6">
        <v>2026</v>
      </c>
      <c r="E578" s="3" t="s">
        <v>2846</v>
      </c>
      <c r="F578" s="3" t="s">
        <v>2847</v>
      </c>
      <c r="G578" s="5" t="s">
        <v>115</v>
      </c>
      <c r="H578" s="5" t="s">
        <v>2848</v>
      </c>
      <c r="I578" s="5"/>
      <c r="J578" s="3"/>
    </row>
    <row r="579" spans="1:10" ht="399" customHeight="1">
      <c r="A579" s="5" t="s">
        <v>2849</v>
      </c>
      <c r="B579" s="5" t="s">
        <v>20</v>
      </c>
      <c r="C579" s="3" t="s">
        <v>2850</v>
      </c>
      <c r="D579" s="6">
        <v>2026</v>
      </c>
      <c r="E579" s="3" t="s">
        <v>2851</v>
      </c>
      <c r="F579" s="3" t="s">
        <v>2852</v>
      </c>
      <c r="G579" s="5" t="s">
        <v>110</v>
      </c>
      <c r="H579" s="5" t="s">
        <v>2853</v>
      </c>
      <c r="I579" s="5"/>
      <c r="J579" s="3"/>
    </row>
    <row r="580" spans="1:10" ht="299.25" customHeight="1">
      <c r="A580" s="5" t="s">
        <v>2854</v>
      </c>
      <c r="B580" s="5" t="s">
        <v>20</v>
      </c>
      <c r="C580" s="3" t="s">
        <v>2855</v>
      </c>
      <c r="D580" s="6">
        <v>2025</v>
      </c>
      <c r="E580" s="3" t="s">
        <v>2856</v>
      </c>
      <c r="F580" s="3" t="s">
        <v>2857</v>
      </c>
      <c r="G580" s="5" t="s">
        <v>110</v>
      </c>
      <c r="H580" s="5" t="s">
        <v>2858</v>
      </c>
      <c r="I580" s="5"/>
      <c r="J580" s="3"/>
    </row>
    <row r="581" spans="1:10" ht="285" customHeight="1">
      <c r="A581" s="5" t="s">
        <v>2859</v>
      </c>
      <c r="B581" s="5" t="s">
        <v>20</v>
      </c>
      <c r="C581" s="3" t="s">
        <v>2860</v>
      </c>
      <c r="D581" s="6">
        <v>2026</v>
      </c>
      <c r="E581" s="3" t="s">
        <v>2861</v>
      </c>
      <c r="F581" s="3" t="s">
        <v>2862</v>
      </c>
      <c r="G581" s="5" t="s">
        <v>115</v>
      </c>
      <c r="H581" s="5" t="s">
        <v>2863</v>
      </c>
      <c r="I581" s="5"/>
      <c r="J581" s="3"/>
    </row>
    <row r="582" spans="1:10" ht="185.25" customHeight="1">
      <c r="A582" s="5" t="s">
        <v>1009</v>
      </c>
      <c r="B582" s="5" t="s">
        <v>20</v>
      </c>
      <c r="C582" s="3" t="s">
        <v>1010</v>
      </c>
      <c r="D582" s="6">
        <v>2025</v>
      </c>
      <c r="E582" s="3" t="s">
        <v>1011</v>
      </c>
      <c r="F582" s="3" t="s">
        <v>2864</v>
      </c>
      <c r="G582" s="5" t="s">
        <v>110</v>
      </c>
      <c r="H582" s="5" t="s">
        <v>2865</v>
      </c>
      <c r="I582" s="5"/>
      <c r="J582" s="3"/>
    </row>
    <row r="583" spans="1:10" ht="256.5" customHeight="1">
      <c r="A583" s="5" t="s">
        <v>2866</v>
      </c>
      <c r="B583" s="5" t="s">
        <v>20</v>
      </c>
      <c r="C583" s="3" t="s">
        <v>2867</v>
      </c>
      <c r="D583" s="6">
        <v>2026</v>
      </c>
      <c r="E583" s="3" t="s">
        <v>2868</v>
      </c>
      <c r="F583" s="3" t="s">
        <v>2869</v>
      </c>
      <c r="G583" s="5" t="s">
        <v>110</v>
      </c>
      <c r="H583" s="5" t="s">
        <v>2870</v>
      </c>
      <c r="I583" s="5"/>
      <c r="J583" s="3"/>
    </row>
    <row r="584" spans="1:10" ht="342" customHeight="1">
      <c r="A584" s="5" t="s">
        <v>2871</v>
      </c>
      <c r="B584" s="5" t="s">
        <v>20</v>
      </c>
      <c r="C584" s="3" t="s">
        <v>2872</v>
      </c>
      <c r="D584" s="6">
        <v>2026</v>
      </c>
      <c r="E584" s="3" t="s">
        <v>2873</v>
      </c>
      <c r="F584" s="3" t="s">
        <v>2874</v>
      </c>
      <c r="G584" s="5" t="s">
        <v>110</v>
      </c>
      <c r="H584" s="5" t="s">
        <v>2875</v>
      </c>
      <c r="I584" s="5"/>
      <c r="J584" s="3"/>
    </row>
    <row r="585" spans="1:10" ht="199.5" customHeight="1">
      <c r="A585" s="5" t="s">
        <v>2876</v>
      </c>
      <c r="B585" s="5" t="s">
        <v>20</v>
      </c>
      <c r="C585" s="3" t="s">
        <v>2877</v>
      </c>
      <c r="D585" s="6">
        <v>2025</v>
      </c>
      <c r="E585" s="3" t="s">
        <v>2878</v>
      </c>
      <c r="F585" s="3" t="s">
        <v>2879</v>
      </c>
      <c r="G585" s="5" t="s">
        <v>110</v>
      </c>
      <c r="H585" s="5" t="s">
        <v>2880</v>
      </c>
      <c r="I585" s="5"/>
      <c r="J585" s="3"/>
    </row>
    <row r="586" spans="1:10" ht="242.25" customHeight="1">
      <c r="A586" s="5" t="s">
        <v>2881</v>
      </c>
      <c r="B586" s="5" t="s">
        <v>20</v>
      </c>
      <c r="C586" s="3" t="s">
        <v>2882</v>
      </c>
      <c r="D586" s="6">
        <v>2026</v>
      </c>
      <c r="E586" s="3" t="s">
        <v>2883</v>
      </c>
      <c r="F586" s="3" t="s">
        <v>2884</v>
      </c>
      <c r="G586" s="5" t="s">
        <v>115</v>
      </c>
      <c r="H586" s="5" t="s">
        <v>2885</v>
      </c>
      <c r="I586" s="5"/>
      <c r="J586" s="3"/>
    </row>
    <row r="587" spans="1:10" ht="409.5" customHeight="1">
      <c r="A587" s="5" t="s">
        <v>2886</v>
      </c>
      <c r="B587" s="5" t="s">
        <v>20</v>
      </c>
      <c r="C587" s="3" t="s">
        <v>2887</v>
      </c>
      <c r="D587" s="6">
        <v>2026</v>
      </c>
      <c r="E587" s="3" t="s">
        <v>2888</v>
      </c>
      <c r="F587" s="3" t="s">
        <v>2889</v>
      </c>
      <c r="G587" s="5" t="s">
        <v>110</v>
      </c>
      <c r="H587" s="5" t="s">
        <v>2890</v>
      </c>
      <c r="I587" s="5"/>
      <c r="J587" s="3"/>
    </row>
    <row r="588" spans="1:10" ht="299.25" customHeight="1">
      <c r="A588" s="5" t="s">
        <v>2891</v>
      </c>
      <c r="B588" s="5" t="s">
        <v>20</v>
      </c>
      <c r="C588" s="3" t="s">
        <v>2892</v>
      </c>
      <c r="D588" s="6">
        <v>2026</v>
      </c>
      <c r="E588" s="3" t="s">
        <v>2893</v>
      </c>
      <c r="F588" s="3" t="s">
        <v>2894</v>
      </c>
      <c r="G588" s="5" t="s">
        <v>115</v>
      </c>
      <c r="H588" s="5" t="s">
        <v>2895</v>
      </c>
      <c r="I588" s="5"/>
      <c r="J588" s="3"/>
    </row>
    <row r="589" spans="1:10" ht="342" customHeight="1">
      <c r="A589" s="5" t="s">
        <v>2896</v>
      </c>
      <c r="B589" s="5" t="s">
        <v>20</v>
      </c>
      <c r="C589" s="3" t="s">
        <v>2897</v>
      </c>
      <c r="D589" s="6">
        <v>2026</v>
      </c>
      <c r="E589" s="3" t="s">
        <v>2898</v>
      </c>
      <c r="F589" s="3" t="s">
        <v>2899</v>
      </c>
      <c r="G589" s="5" t="s">
        <v>110</v>
      </c>
      <c r="H589" s="5" t="s">
        <v>2900</v>
      </c>
      <c r="I589" s="5"/>
      <c r="J589" s="3"/>
    </row>
    <row r="590" spans="1:10" ht="285" customHeight="1">
      <c r="A590" s="5" t="s">
        <v>2901</v>
      </c>
      <c r="B590" s="5" t="s">
        <v>20</v>
      </c>
      <c r="C590" s="3" t="s">
        <v>2902</v>
      </c>
      <c r="D590" s="6">
        <v>2025</v>
      </c>
      <c r="E590" s="3" t="s">
        <v>2903</v>
      </c>
      <c r="F590" s="3" t="s">
        <v>2904</v>
      </c>
      <c r="G590" s="5" t="s">
        <v>115</v>
      </c>
      <c r="H590" s="5" t="s">
        <v>2905</v>
      </c>
      <c r="I590" s="5"/>
      <c r="J590" s="3"/>
    </row>
    <row r="591" spans="1:10" ht="285" customHeight="1">
      <c r="A591" s="5" t="s">
        <v>2906</v>
      </c>
      <c r="B591" s="5" t="s">
        <v>20</v>
      </c>
      <c r="C591" s="3" t="s">
        <v>2907</v>
      </c>
      <c r="D591" s="6">
        <v>2026</v>
      </c>
      <c r="E591" s="3" t="s">
        <v>2908</v>
      </c>
      <c r="F591" s="3" t="s">
        <v>2909</v>
      </c>
      <c r="G591" s="5" t="s">
        <v>115</v>
      </c>
      <c r="H591" s="5" t="s">
        <v>2910</v>
      </c>
      <c r="I591" s="5"/>
      <c r="J591" s="3"/>
    </row>
    <row r="592" spans="1:10" ht="285" customHeight="1">
      <c r="A592" s="5" t="s">
        <v>2911</v>
      </c>
      <c r="B592" s="5" t="s">
        <v>20</v>
      </c>
      <c r="C592" s="3" t="s">
        <v>2912</v>
      </c>
      <c r="D592" s="6">
        <v>2026</v>
      </c>
      <c r="E592" s="3" t="s">
        <v>2913</v>
      </c>
      <c r="F592" s="3" t="s">
        <v>2914</v>
      </c>
      <c r="G592" s="5" t="s">
        <v>115</v>
      </c>
      <c r="H592" s="5" t="s">
        <v>2915</v>
      </c>
      <c r="I592" s="5"/>
      <c r="J592" s="3"/>
    </row>
    <row r="593" spans="1:10" ht="285" customHeight="1">
      <c r="A593" s="5" t="s">
        <v>2916</v>
      </c>
      <c r="B593" s="5" t="s">
        <v>20</v>
      </c>
      <c r="C593" s="3" t="s">
        <v>2917</v>
      </c>
      <c r="D593" s="6">
        <v>2026</v>
      </c>
      <c r="E593" s="3" t="s">
        <v>2918</v>
      </c>
      <c r="F593" s="3" t="s">
        <v>2919</v>
      </c>
      <c r="G593" s="5" t="s">
        <v>115</v>
      </c>
      <c r="H593" s="5" t="s">
        <v>2920</v>
      </c>
      <c r="I593" s="5"/>
      <c r="J593" s="3"/>
    </row>
    <row r="594" spans="1:10" ht="256.5" customHeight="1">
      <c r="A594" s="5" t="s">
        <v>2921</v>
      </c>
      <c r="B594" s="5" t="s">
        <v>20</v>
      </c>
      <c r="C594" s="3" t="s">
        <v>2922</v>
      </c>
      <c r="D594" s="6">
        <v>2026</v>
      </c>
      <c r="E594" s="3" t="s">
        <v>2923</v>
      </c>
      <c r="F594" s="3" t="s">
        <v>2924</v>
      </c>
      <c r="G594" s="5" t="s">
        <v>110</v>
      </c>
      <c r="H594" s="5" t="s">
        <v>2925</v>
      </c>
      <c r="I594" s="5"/>
      <c r="J594" s="3"/>
    </row>
    <row r="595" spans="1:10" ht="409.5" customHeight="1">
      <c r="A595" s="5" t="s">
        <v>2926</v>
      </c>
      <c r="B595" s="5" t="s">
        <v>20</v>
      </c>
      <c r="C595" s="3" t="s">
        <v>2927</v>
      </c>
      <c r="D595" s="6">
        <v>2026</v>
      </c>
      <c r="E595" s="3" t="s">
        <v>2928</v>
      </c>
      <c r="F595" s="3" t="s">
        <v>2929</v>
      </c>
      <c r="G595" s="5" t="s">
        <v>110</v>
      </c>
      <c r="H595" s="5" t="s">
        <v>2930</v>
      </c>
      <c r="I595" s="5"/>
      <c r="J595" s="3"/>
    </row>
    <row r="596" spans="1:10" ht="313.5" customHeight="1">
      <c r="A596" s="5" t="s">
        <v>2931</v>
      </c>
      <c r="B596" s="5" t="s">
        <v>20</v>
      </c>
      <c r="C596" s="3" t="s">
        <v>2932</v>
      </c>
      <c r="D596" s="6">
        <v>2026</v>
      </c>
      <c r="E596" s="3" t="s">
        <v>2933</v>
      </c>
      <c r="F596" s="3" t="s">
        <v>2934</v>
      </c>
      <c r="G596" s="5" t="s">
        <v>110</v>
      </c>
      <c r="H596" s="5" t="s">
        <v>2935</v>
      </c>
      <c r="I596" s="5"/>
      <c r="J596" s="3"/>
    </row>
    <row r="597" spans="1:10" ht="409.5" customHeight="1">
      <c r="A597" s="5" t="s">
        <v>2936</v>
      </c>
      <c r="B597" s="5" t="s">
        <v>20</v>
      </c>
      <c r="C597" s="3" t="s">
        <v>2937</v>
      </c>
      <c r="D597" s="6">
        <v>2026</v>
      </c>
      <c r="E597" s="3" t="s">
        <v>2938</v>
      </c>
      <c r="F597" s="3" t="s">
        <v>2939</v>
      </c>
      <c r="G597" s="5" t="s">
        <v>110</v>
      </c>
      <c r="H597" s="5" t="s">
        <v>2940</v>
      </c>
      <c r="I597" s="5"/>
      <c r="J597" s="3"/>
    </row>
    <row r="598" spans="1:10" ht="299.25" customHeight="1">
      <c r="A598" s="5" t="s">
        <v>2941</v>
      </c>
      <c r="B598" s="5" t="s">
        <v>20</v>
      </c>
      <c r="C598" s="3" t="s">
        <v>2942</v>
      </c>
      <c r="D598" s="6">
        <v>2025</v>
      </c>
      <c r="E598" s="3" t="s">
        <v>2943</v>
      </c>
      <c r="F598" s="3" t="s">
        <v>2944</v>
      </c>
      <c r="G598" s="5" t="s">
        <v>110</v>
      </c>
      <c r="H598" s="5" t="s">
        <v>2945</v>
      </c>
      <c r="I598" s="5"/>
      <c r="J598" s="3"/>
    </row>
    <row r="599" spans="1:10" ht="228" customHeight="1">
      <c r="A599" s="5" t="s">
        <v>2946</v>
      </c>
      <c r="B599" s="5" t="s">
        <v>20</v>
      </c>
      <c r="C599" s="3" t="s">
        <v>2947</v>
      </c>
      <c r="D599" s="6">
        <v>2026</v>
      </c>
      <c r="E599" s="3" t="s">
        <v>2948</v>
      </c>
      <c r="F599" s="3" t="s">
        <v>2949</v>
      </c>
      <c r="G599" s="5" t="s">
        <v>110</v>
      </c>
      <c r="H599" s="5" t="s">
        <v>2950</v>
      </c>
      <c r="I599" s="5"/>
      <c r="J599" s="3"/>
    </row>
    <row r="600" spans="1:10" ht="285" customHeight="1">
      <c r="A600" s="5" t="s">
        <v>2951</v>
      </c>
      <c r="B600" s="5" t="s">
        <v>20</v>
      </c>
      <c r="C600" s="3" t="s">
        <v>2952</v>
      </c>
      <c r="D600" s="6">
        <v>2026</v>
      </c>
      <c r="E600" s="3" t="s">
        <v>2953</v>
      </c>
      <c r="F600" s="3" t="s">
        <v>2954</v>
      </c>
      <c r="G600" s="5" t="s">
        <v>110</v>
      </c>
      <c r="H600" s="5" t="s">
        <v>2955</v>
      </c>
      <c r="I600" s="5"/>
      <c r="J600" s="3"/>
    </row>
    <row r="601" spans="1:10" ht="270.75" customHeight="1">
      <c r="A601" s="5" t="s">
        <v>2956</v>
      </c>
      <c r="B601" s="5" t="s">
        <v>20</v>
      </c>
      <c r="C601" s="3" t="s">
        <v>2957</v>
      </c>
      <c r="D601" s="6">
        <v>2026</v>
      </c>
      <c r="E601" s="3" t="s">
        <v>2958</v>
      </c>
      <c r="F601" s="3" t="s">
        <v>2959</v>
      </c>
      <c r="G601" s="5" t="s">
        <v>110</v>
      </c>
      <c r="H601" s="5" t="s">
        <v>2960</v>
      </c>
      <c r="I601" s="5"/>
      <c r="J601" s="3"/>
    </row>
    <row r="602" spans="1:10" ht="270.75" customHeight="1">
      <c r="A602" s="5" t="s">
        <v>2961</v>
      </c>
      <c r="B602" s="5" t="s">
        <v>20</v>
      </c>
      <c r="C602" s="3" t="s">
        <v>2962</v>
      </c>
      <c r="D602" s="6">
        <v>2026</v>
      </c>
      <c r="E602" s="3" t="s">
        <v>2963</v>
      </c>
      <c r="F602" s="3" t="s">
        <v>2964</v>
      </c>
      <c r="G602" s="5" t="s">
        <v>115</v>
      </c>
      <c r="H602" s="5" t="s">
        <v>2965</v>
      </c>
      <c r="I602" s="5"/>
      <c r="J602" s="3"/>
    </row>
    <row r="603" spans="1:10" ht="384.75" customHeight="1">
      <c r="A603" s="5" t="s">
        <v>2966</v>
      </c>
      <c r="B603" s="5" t="s">
        <v>20</v>
      </c>
      <c r="C603" s="3" t="s">
        <v>2967</v>
      </c>
      <c r="D603" s="6">
        <v>2025</v>
      </c>
      <c r="E603" s="3" t="s">
        <v>2968</v>
      </c>
      <c r="F603" s="3" t="s">
        <v>2969</v>
      </c>
      <c r="G603" s="5" t="s">
        <v>110</v>
      </c>
      <c r="H603" s="5" t="s">
        <v>2970</v>
      </c>
      <c r="I603" s="5"/>
      <c r="J603" s="3"/>
    </row>
    <row r="604" spans="1:10" ht="213.75" customHeight="1">
      <c r="A604" s="5" t="s">
        <v>2971</v>
      </c>
      <c r="B604" s="5" t="s">
        <v>20</v>
      </c>
      <c r="C604" s="3" t="s">
        <v>2972</v>
      </c>
      <c r="D604" s="6">
        <v>2025</v>
      </c>
      <c r="E604" s="3" t="s">
        <v>2973</v>
      </c>
      <c r="F604" s="3" t="s">
        <v>2974</v>
      </c>
      <c r="G604" s="5" t="s">
        <v>110</v>
      </c>
      <c r="H604" s="5" t="s">
        <v>2975</v>
      </c>
      <c r="I604" s="5"/>
      <c r="J604" s="3"/>
    </row>
    <row r="605" spans="1:10" ht="285" customHeight="1">
      <c r="A605" s="5" t="s">
        <v>1054</v>
      </c>
      <c r="B605" s="5" t="s">
        <v>20</v>
      </c>
      <c r="C605" s="3" t="s">
        <v>1055</v>
      </c>
      <c r="D605" s="6">
        <v>2026</v>
      </c>
      <c r="E605" s="3" t="s">
        <v>1056</v>
      </c>
      <c r="F605" s="3" t="s">
        <v>2976</v>
      </c>
      <c r="G605" s="5" t="s">
        <v>110</v>
      </c>
      <c r="H605" s="5" t="s">
        <v>2977</v>
      </c>
      <c r="I605" s="5"/>
      <c r="J605" s="3"/>
    </row>
    <row r="606" spans="1:10" ht="342" customHeight="1">
      <c r="A606" s="5" t="s">
        <v>2978</v>
      </c>
      <c r="B606" s="5" t="s">
        <v>20</v>
      </c>
      <c r="C606" s="3" t="s">
        <v>2979</v>
      </c>
      <c r="D606" s="6">
        <v>2025</v>
      </c>
      <c r="E606" s="3" t="s">
        <v>2980</v>
      </c>
      <c r="F606" s="3" t="s">
        <v>2981</v>
      </c>
      <c r="G606" s="5" t="s">
        <v>110</v>
      </c>
      <c r="H606" s="5" t="s">
        <v>2982</v>
      </c>
      <c r="I606" s="5"/>
      <c r="J606" s="3"/>
    </row>
    <row r="607" spans="1:10" ht="409.5" customHeight="1">
      <c r="A607" s="5" t="s">
        <v>2983</v>
      </c>
      <c r="B607" s="5" t="s">
        <v>20</v>
      </c>
      <c r="C607" s="3" t="s">
        <v>2984</v>
      </c>
      <c r="D607" s="6">
        <v>2026</v>
      </c>
      <c r="E607" s="3" t="s">
        <v>2985</v>
      </c>
      <c r="F607" s="3" t="s">
        <v>2986</v>
      </c>
      <c r="G607" s="5" t="s">
        <v>110</v>
      </c>
      <c r="H607" s="5" t="s">
        <v>2987</v>
      </c>
      <c r="I607" s="5"/>
      <c r="J607" s="3"/>
    </row>
    <row r="608" spans="1:10" ht="242.25" customHeight="1">
      <c r="A608" s="5" t="s">
        <v>2988</v>
      </c>
      <c r="B608" s="5" t="s">
        <v>20</v>
      </c>
      <c r="C608" s="3" t="s">
        <v>2989</v>
      </c>
      <c r="D608" s="6">
        <v>2025</v>
      </c>
      <c r="E608" s="3" t="s">
        <v>2990</v>
      </c>
      <c r="F608" s="3" t="s">
        <v>2991</v>
      </c>
      <c r="G608" s="5" t="s">
        <v>110</v>
      </c>
      <c r="H608" s="5" t="s">
        <v>2992</v>
      </c>
      <c r="I608" s="5"/>
      <c r="J608" s="3"/>
    </row>
    <row r="609" spans="1:10" ht="213.75" customHeight="1">
      <c r="A609" s="5" t="s">
        <v>2993</v>
      </c>
      <c r="B609" s="5" t="s">
        <v>20</v>
      </c>
      <c r="C609" s="3" t="s">
        <v>2994</v>
      </c>
      <c r="D609" s="6">
        <v>2026</v>
      </c>
      <c r="E609" s="3" t="s">
        <v>2995</v>
      </c>
      <c r="F609" s="3" t="s">
        <v>2996</v>
      </c>
      <c r="G609" s="5" t="s">
        <v>110</v>
      </c>
      <c r="H609" s="5" t="s">
        <v>2997</v>
      </c>
      <c r="I609" s="5"/>
      <c r="J609" s="3"/>
    </row>
    <row r="610" spans="1:10" ht="270.75" customHeight="1">
      <c r="A610" s="5" t="s">
        <v>1015</v>
      </c>
      <c r="B610" s="5" t="s">
        <v>20</v>
      </c>
      <c r="C610" s="3" t="s">
        <v>1016</v>
      </c>
      <c r="D610" s="6">
        <v>2026</v>
      </c>
      <c r="E610" s="3" t="s">
        <v>1017</v>
      </c>
      <c r="F610" s="3" t="s">
        <v>2998</v>
      </c>
      <c r="G610" s="5" t="s">
        <v>115</v>
      </c>
      <c r="H610" s="5" t="s">
        <v>2999</v>
      </c>
      <c r="I610" s="5"/>
      <c r="J610" s="3"/>
    </row>
    <row r="611" spans="1:10" ht="313.5" customHeight="1">
      <c r="A611" s="5" t="s">
        <v>3000</v>
      </c>
      <c r="B611" s="5" t="s">
        <v>20</v>
      </c>
      <c r="C611" s="3" t="s">
        <v>3001</v>
      </c>
      <c r="D611" s="6">
        <v>2026</v>
      </c>
      <c r="E611" s="3" t="s">
        <v>3002</v>
      </c>
      <c r="F611" s="3" t="s">
        <v>3003</v>
      </c>
      <c r="G611" s="5" t="s">
        <v>110</v>
      </c>
      <c r="H611" s="5" t="s">
        <v>3004</v>
      </c>
      <c r="I611" s="5"/>
      <c r="J611" s="3"/>
    </row>
    <row r="612" spans="1:10" ht="313.5" customHeight="1">
      <c r="A612" s="5" t="s">
        <v>3005</v>
      </c>
      <c r="B612" s="5" t="s">
        <v>20</v>
      </c>
      <c r="C612" s="3" t="s">
        <v>3006</v>
      </c>
      <c r="D612" s="6">
        <v>2026</v>
      </c>
      <c r="E612" s="3" t="s">
        <v>3007</v>
      </c>
      <c r="F612" s="3" t="s">
        <v>3008</v>
      </c>
      <c r="G612" s="5" t="s">
        <v>110</v>
      </c>
      <c r="H612" s="5" t="s">
        <v>3009</v>
      </c>
      <c r="I612" s="5"/>
      <c r="J612" s="3"/>
    </row>
    <row r="613" spans="1:10" ht="199.5" customHeight="1">
      <c r="A613" s="5" t="s">
        <v>3010</v>
      </c>
      <c r="B613" s="5" t="s">
        <v>20</v>
      </c>
      <c r="C613" s="3" t="s">
        <v>3011</v>
      </c>
      <c r="D613" s="6">
        <v>2026</v>
      </c>
      <c r="E613" s="3" t="s">
        <v>3012</v>
      </c>
      <c r="F613" s="3" t="s">
        <v>3013</v>
      </c>
      <c r="G613" s="5" t="s">
        <v>110</v>
      </c>
      <c r="H613" s="5" t="s">
        <v>3014</v>
      </c>
      <c r="I613" s="5"/>
      <c r="J613" s="3"/>
    </row>
    <row r="614" spans="1:10" ht="228" customHeight="1">
      <c r="A614" s="5" t="s">
        <v>3015</v>
      </c>
      <c r="B614" s="5" t="s">
        <v>20</v>
      </c>
      <c r="C614" s="3" t="s">
        <v>3016</v>
      </c>
      <c r="D614" s="6">
        <v>2026</v>
      </c>
      <c r="E614" s="3" t="s">
        <v>3017</v>
      </c>
      <c r="F614" s="3" t="s">
        <v>3018</v>
      </c>
      <c r="G614" s="5" t="s">
        <v>115</v>
      </c>
      <c r="H614" s="5" t="s">
        <v>3019</v>
      </c>
      <c r="I614" s="5"/>
      <c r="J614" s="3"/>
    </row>
    <row r="615" spans="1:10" ht="299.25" customHeight="1">
      <c r="A615" s="5" t="s">
        <v>3020</v>
      </c>
      <c r="B615" s="5" t="s">
        <v>20</v>
      </c>
      <c r="C615" s="3" t="s">
        <v>3021</v>
      </c>
      <c r="D615" s="6">
        <v>2026</v>
      </c>
      <c r="E615" s="3" t="s">
        <v>3022</v>
      </c>
      <c r="F615" s="3" t="s">
        <v>3023</v>
      </c>
      <c r="G615" s="5" t="s">
        <v>110</v>
      </c>
      <c r="H615" s="5" t="s">
        <v>3024</v>
      </c>
      <c r="I615" s="5"/>
      <c r="J615" s="3"/>
    </row>
    <row r="616" spans="1:10" ht="299.25" customHeight="1">
      <c r="A616" s="5" t="s">
        <v>3025</v>
      </c>
      <c r="B616" s="5" t="s">
        <v>20</v>
      </c>
      <c r="C616" s="3" t="s">
        <v>3026</v>
      </c>
      <c r="D616" s="6">
        <v>2026</v>
      </c>
      <c r="E616" s="3" t="s">
        <v>3027</v>
      </c>
      <c r="F616" s="3" t="s">
        <v>3028</v>
      </c>
      <c r="G616" s="5" t="s">
        <v>115</v>
      </c>
      <c r="H616" s="5" t="s">
        <v>3029</v>
      </c>
      <c r="I616" s="5"/>
      <c r="J616" s="3"/>
    </row>
    <row r="617" spans="1:10" ht="256.5" customHeight="1">
      <c r="A617" s="5" t="s">
        <v>3030</v>
      </c>
      <c r="B617" s="5" t="s">
        <v>20</v>
      </c>
      <c r="C617" s="3" t="s">
        <v>3031</v>
      </c>
      <c r="D617" s="6">
        <v>2025</v>
      </c>
      <c r="E617" s="3" t="s">
        <v>3032</v>
      </c>
      <c r="F617" s="3" t="s">
        <v>3033</v>
      </c>
      <c r="G617" s="5" t="s">
        <v>110</v>
      </c>
      <c r="H617" s="5" t="s">
        <v>3034</v>
      </c>
      <c r="I617" s="5"/>
      <c r="J617" s="3"/>
    </row>
    <row r="618" spans="1:10" ht="299.25" customHeight="1">
      <c r="A618" s="5" t="s">
        <v>3035</v>
      </c>
      <c r="B618" s="5" t="s">
        <v>20</v>
      </c>
      <c r="C618" s="3" t="s">
        <v>3036</v>
      </c>
      <c r="D618" s="6">
        <v>2026</v>
      </c>
      <c r="E618" s="3" t="s">
        <v>3037</v>
      </c>
      <c r="F618" s="3" t="s">
        <v>3038</v>
      </c>
      <c r="G618" s="5" t="s">
        <v>110</v>
      </c>
      <c r="H618" s="5" t="s">
        <v>3039</v>
      </c>
      <c r="I618" s="5"/>
      <c r="J618" s="3"/>
    </row>
    <row r="619" spans="1:10" ht="327.75" customHeight="1">
      <c r="A619" s="5" t="s">
        <v>3040</v>
      </c>
      <c r="B619" s="5" t="s">
        <v>20</v>
      </c>
      <c r="C619" s="3" t="s">
        <v>3041</v>
      </c>
      <c r="D619" s="6">
        <v>2026</v>
      </c>
      <c r="E619" s="3" t="s">
        <v>3042</v>
      </c>
      <c r="F619" s="3" t="s">
        <v>3043</v>
      </c>
      <c r="G619" s="5" t="s">
        <v>110</v>
      </c>
      <c r="H619" s="5" t="s">
        <v>3044</v>
      </c>
      <c r="I619" s="5"/>
      <c r="J619" s="3"/>
    </row>
    <row r="620" spans="1:10" ht="285" customHeight="1">
      <c r="A620" s="5" t="s">
        <v>3045</v>
      </c>
      <c r="B620" s="5" t="s">
        <v>20</v>
      </c>
      <c r="C620" s="3" t="s">
        <v>3046</v>
      </c>
      <c r="D620" s="6">
        <v>2026</v>
      </c>
      <c r="E620" s="3" t="s">
        <v>3047</v>
      </c>
      <c r="F620" s="3" t="s">
        <v>3048</v>
      </c>
      <c r="G620" s="5" t="s">
        <v>110</v>
      </c>
      <c r="H620" s="5" t="s">
        <v>3049</v>
      </c>
      <c r="I620" s="5"/>
      <c r="J620" s="3"/>
    </row>
    <row r="621" spans="1:10" ht="270.75" customHeight="1">
      <c r="A621" s="5" t="s">
        <v>3050</v>
      </c>
      <c r="B621" s="5" t="s">
        <v>20</v>
      </c>
      <c r="C621" s="3" t="s">
        <v>3051</v>
      </c>
      <c r="D621" s="6">
        <v>2026</v>
      </c>
      <c r="E621" s="3" t="s">
        <v>3052</v>
      </c>
      <c r="F621" s="3" t="s">
        <v>3053</v>
      </c>
      <c r="G621" s="5" t="s">
        <v>110</v>
      </c>
      <c r="H621" s="5" t="s">
        <v>3054</v>
      </c>
      <c r="I621" s="5"/>
      <c r="J621" s="3"/>
    </row>
    <row r="622" spans="1:10" ht="342" customHeight="1">
      <c r="A622" s="5" t="s">
        <v>3055</v>
      </c>
      <c r="B622" s="5" t="s">
        <v>20</v>
      </c>
      <c r="C622" s="3" t="s">
        <v>3056</v>
      </c>
      <c r="D622" s="6">
        <v>2026</v>
      </c>
      <c r="E622" s="3" t="s">
        <v>3057</v>
      </c>
      <c r="F622" s="3" t="s">
        <v>3058</v>
      </c>
      <c r="G622" s="5" t="s">
        <v>115</v>
      </c>
      <c r="H622" s="5" t="s">
        <v>3059</v>
      </c>
      <c r="I622" s="5"/>
      <c r="J622" s="3"/>
    </row>
    <row r="623" spans="1:10" ht="285" customHeight="1">
      <c r="A623" s="5" t="s">
        <v>3060</v>
      </c>
      <c r="B623" s="5" t="s">
        <v>20</v>
      </c>
      <c r="C623" s="3" t="s">
        <v>3061</v>
      </c>
      <c r="D623" s="6">
        <v>2026</v>
      </c>
      <c r="E623" s="3" t="s">
        <v>3062</v>
      </c>
      <c r="F623" s="3" t="s">
        <v>3063</v>
      </c>
      <c r="G623" s="5" t="s">
        <v>115</v>
      </c>
      <c r="H623" s="5" t="s">
        <v>3064</v>
      </c>
      <c r="I623" s="5"/>
      <c r="J623" s="3"/>
    </row>
    <row r="624" spans="1:10" ht="285" customHeight="1">
      <c r="A624" s="5" t="s">
        <v>3065</v>
      </c>
      <c r="B624" s="5" t="s">
        <v>20</v>
      </c>
      <c r="C624" s="3" t="s">
        <v>3066</v>
      </c>
      <c r="D624" s="6">
        <v>2026</v>
      </c>
      <c r="E624" s="3" t="s">
        <v>3067</v>
      </c>
      <c r="F624" s="3" t="s">
        <v>3068</v>
      </c>
      <c r="G624" s="5" t="s">
        <v>110</v>
      </c>
      <c r="H624" s="5" t="s">
        <v>3069</v>
      </c>
      <c r="I624" s="5"/>
      <c r="J624" s="3"/>
    </row>
    <row r="625" spans="1:10" ht="409.5" customHeight="1">
      <c r="A625" s="5" t="s">
        <v>3070</v>
      </c>
      <c r="B625" s="5" t="s">
        <v>20</v>
      </c>
      <c r="C625" s="3" t="s">
        <v>3071</v>
      </c>
      <c r="D625" s="6">
        <v>2025</v>
      </c>
      <c r="E625" s="3" t="s">
        <v>3072</v>
      </c>
      <c r="F625" s="3" t="s">
        <v>3073</v>
      </c>
      <c r="G625" s="5" t="s">
        <v>110</v>
      </c>
      <c r="H625" s="5" t="s">
        <v>3074</v>
      </c>
      <c r="I625" s="5"/>
      <c r="J625" s="3"/>
    </row>
    <row r="626" spans="1:10" ht="356.25" customHeight="1">
      <c r="A626" s="5" t="s">
        <v>3075</v>
      </c>
      <c r="B626" s="5" t="s">
        <v>20</v>
      </c>
      <c r="C626" s="3" t="s">
        <v>3076</v>
      </c>
      <c r="D626" s="6">
        <v>2026</v>
      </c>
      <c r="E626" s="3" t="s">
        <v>3077</v>
      </c>
      <c r="F626" s="3" t="s">
        <v>3078</v>
      </c>
      <c r="G626" s="5" t="s">
        <v>110</v>
      </c>
      <c r="H626" s="5" t="s">
        <v>3079</v>
      </c>
      <c r="I626" s="5"/>
      <c r="J626" s="3"/>
    </row>
    <row r="627" spans="1:10" ht="270.75" customHeight="1">
      <c r="A627" s="5" t="s">
        <v>3080</v>
      </c>
      <c r="B627" s="5" t="s">
        <v>20</v>
      </c>
      <c r="C627" s="3" t="s">
        <v>3081</v>
      </c>
      <c r="D627" s="6">
        <v>2027</v>
      </c>
      <c r="E627" s="3" t="s">
        <v>3082</v>
      </c>
      <c r="F627" s="3" t="s">
        <v>3083</v>
      </c>
      <c r="G627" s="5" t="s">
        <v>115</v>
      </c>
      <c r="H627" s="5" t="s">
        <v>3084</v>
      </c>
      <c r="I627" s="5"/>
      <c r="J627" s="3"/>
    </row>
    <row r="628" spans="1:10" ht="256.5" customHeight="1">
      <c r="A628" s="5" t="s">
        <v>3085</v>
      </c>
      <c r="B628" s="5" t="s">
        <v>20</v>
      </c>
      <c r="C628" s="3" t="s">
        <v>3086</v>
      </c>
      <c r="D628" s="6">
        <v>2025</v>
      </c>
      <c r="E628" s="3" t="s">
        <v>3087</v>
      </c>
      <c r="F628" s="3" t="s">
        <v>3088</v>
      </c>
      <c r="G628" s="5" t="s">
        <v>110</v>
      </c>
      <c r="H628" s="5" t="s">
        <v>3089</v>
      </c>
      <c r="I628" s="5"/>
      <c r="J628" s="3"/>
    </row>
    <row r="629" spans="1:10" ht="313.5" customHeight="1">
      <c r="A629" s="5" t="s">
        <v>3090</v>
      </c>
      <c r="B629" s="5" t="s">
        <v>20</v>
      </c>
      <c r="C629" s="3" t="s">
        <v>3091</v>
      </c>
      <c r="D629" s="6">
        <v>2026</v>
      </c>
      <c r="E629" s="3" t="s">
        <v>3092</v>
      </c>
      <c r="F629" s="3" t="s">
        <v>3093</v>
      </c>
      <c r="G629" s="5" t="s">
        <v>110</v>
      </c>
      <c r="H629" s="5" t="s">
        <v>3094</v>
      </c>
      <c r="I629" s="5"/>
      <c r="J629" s="3"/>
    </row>
    <row r="630" spans="1:10" ht="242.25" customHeight="1">
      <c r="A630" s="5" t="s">
        <v>3095</v>
      </c>
      <c r="B630" s="5" t="s">
        <v>20</v>
      </c>
      <c r="C630" s="3" t="s">
        <v>3096</v>
      </c>
      <c r="D630" s="6">
        <v>2026</v>
      </c>
      <c r="E630" s="3" t="s">
        <v>3097</v>
      </c>
      <c r="F630" s="3" t="s">
        <v>3098</v>
      </c>
      <c r="G630" s="5" t="s">
        <v>110</v>
      </c>
      <c r="H630" s="5" t="s">
        <v>3099</v>
      </c>
      <c r="I630" s="5"/>
      <c r="J630" s="3"/>
    </row>
    <row r="631" spans="1:10" ht="384.75" customHeight="1">
      <c r="A631" s="5" t="s">
        <v>3100</v>
      </c>
      <c r="B631" s="5" t="s">
        <v>20</v>
      </c>
      <c r="C631" s="3" t="s">
        <v>3101</v>
      </c>
      <c r="D631" s="6">
        <v>2025</v>
      </c>
      <c r="E631" s="3" t="s">
        <v>3102</v>
      </c>
      <c r="F631" s="3" t="s">
        <v>3103</v>
      </c>
      <c r="G631" s="5" t="s">
        <v>110</v>
      </c>
      <c r="H631" s="5" t="s">
        <v>3104</v>
      </c>
      <c r="I631" s="5"/>
      <c r="J631" s="3"/>
    </row>
    <row r="632" spans="1:10" ht="228" customHeight="1">
      <c r="A632" s="5" t="s">
        <v>3105</v>
      </c>
      <c r="B632" s="5" t="s">
        <v>20</v>
      </c>
      <c r="C632" s="3" t="s">
        <v>3106</v>
      </c>
      <c r="D632" s="6">
        <v>2026</v>
      </c>
      <c r="E632" s="3" t="s">
        <v>3107</v>
      </c>
      <c r="F632" s="3" t="s">
        <v>3108</v>
      </c>
      <c r="G632" s="5" t="s">
        <v>115</v>
      </c>
      <c r="H632" s="5" t="s">
        <v>3109</v>
      </c>
      <c r="I632" s="5"/>
      <c r="J632" s="3"/>
    </row>
    <row r="633" spans="1:10" ht="270.75" customHeight="1">
      <c r="A633" s="5" t="s">
        <v>3110</v>
      </c>
      <c r="B633" s="5" t="s">
        <v>20</v>
      </c>
      <c r="C633" s="3" t="s">
        <v>3111</v>
      </c>
      <c r="D633" s="6">
        <v>2025</v>
      </c>
      <c r="E633" s="3" t="s">
        <v>3112</v>
      </c>
      <c r="F633" s="3" t="s">
        <v>3113</v>
      </c>
      <c r="G633" s="5" t="s">
        <v>110</v>
      </c>
      <c r="H633" s="5" t="s">
        <v>3114</v>
      </c>
      <c r="I633" s="5"/>
      <c r="J633" s="3"/>
    </row>
    <row r="634" spans="1:10" ht="285" customHeight="1">
      <c r="A634" s="5" t="s">
        <v>3115</v>
      </c>
      <c r="B634" s="5" t="s">
        <v>20</v>
      </c>
      <c r="C634" s="3" t="s">
        <v>3116</v>
      </c>
      <c r="D634" s="6">
        <v>2026</v>
      </c>
      <c r="E634" s="3" t="s">
        <v>3117</v>
      </c>
      <c r="F634" s="3" t="s">
        <v>3118</v>
      </c>
      <c r="G634" s="5" t="s">
        <v>110</v>
      </c>
      <c r="H634" s="5" t="s">
        <v>3119</v>
      </c>
      <c r="I634" s="5"/>
      <c r="J634" s="3"/>
    </row>
    <row r="635" spans="1:10" ht="199.5" customHeight="1">
      <c r="A635" s="5" t="s">
        <v>3120</v>
      </c>
      <c r="B635" s="5" t="s">
        <v>20</v>
      </c>
      <c r="C635" s="3" t="s">
        <v>3121</v>
      </c>
      <c r="D635" s="6">
        <v>2026</v>
      </c>
      <c r="E635" s="3" t="s">
        <v>3122</v>
      </c>
      <c r="F635" s="3" t="s">
        <v>3123</v>
      </c>
      <c r="G635" s="5" t="s">
        <v>110</v>
      </c>
      <c r="H635" s="5" t="s">
        <v>3124</v>
      </c>
      <c r="I635" s="5"/>
      <c r="J635" s="3"/>
    </row>
    <row r="636" spans="1:10" ht="342" customHeight="1">
      <c r="A636" s="5" t="s">
        <v>3125</v>
      </c>
      <c r="B636" s="5" t="s">
        <v>20</v>
      </c>
      <c r="C636" s="3" t="s">
        <v>3126</v>
      </c>
      <c r="D636" s="6">
        <v>2026</v>
      </c>
      <c r="E636" s="3" t="s">
        <v>3127</v>
      </c>
      <c r="F636" s="3" t="s">
        <v>3128</v>
      </c>
      <c r="G636" s="5" t="s">
        <v>110</v>
      </c>
      <c r="H636" s="5" t="s">
        <v>3129</v>
      </c>
      <c r="I636" s="5"/>
      <c r="J636" s="3"/>
    </row>
    <row r="637" spans="1:10" ht="213.75" customHeight="1">
      <c r="A637" s="5" t="s">
        <v>3130</v>
      </c>
      <c r="B637" s="5" t="s">
        <v>20</v>
      </c>
      <c r="C637" s="3" t="s">
        <v>3131</v>
      </c>
      <c r="D637" s="6">
        <v>2026</v>
      </c>
      <c r="E637" s="3" t="s">
        <v>3132</v>
      </c>
      <c r="F637" s="3" t="s">
        <v>3133</v>
      </c>
      <c r="G637" s="5" t="s">
        <v>110</v>
      </c>
      <c r="H637" s="5" t="s">
        <v>3134</v>
      </c>
      <c r="I637" s="5"/>
      <c r="J637" s="3"/>
    </row>
    <row r="638" spans="1:10" ht="313.5" customHeight="1">
      <c r="A638" s="5" t="s">
        <v>3135</v>
      </c>
      <c r="B638" s="5" t="s">
        <v>20</v>
      </c>
      <c r="C638" s="3" t="s">
        <v>3136</v>
      </c>
      <c r="D638" s="6">
        <v>2026</v>
      </c>
      <c r="E638" s="3" t="s">
        <v>3137</v>
      </c>
      <c r="F638" s="3" t="s">
        <v>3138</v>
      </c>
      <c r="G638" s="5" t="s">
        <v>115</v>
      </c>
      <c r="H638" s="5" t="s">
        <v>3139</v>
      </c>
      <c r="I638" s="5"/>
      <c r="J638" s="3"/>
    </row>
    <row r="639" spans="1:10" ht="228" customHeight="1">
      <c r="A639" s="5" t="s">
        <v>3140</v>
      </c>
      <c r="B639" s="5" t="s">
        <v>20</v>
      </c>
      <c r="C639" s="3" t="s">
        <v>3141</v>
      </c>
      <c r="D639" s="6">
        <v>2025</v>
      </c>
      <c r="E639" s="3" t="s">
        <v>3142</v>
      </c>
      <c r="F639" s="3" t="s">
        <v>3143</v>
      </c>
      <c r="G639" s="5" t="s">
        <v>110</v>
      </c>
      <c r="H639" s="5" t="s">
        <v>3144</v>
      </c>
      <c r="I639" s="5"/>
      <c r="J639" s="3"/>
    </row>
    <row r="640" spans="1:10" ht="270.75" customHeight="1">
      <c r="A640" s="5" t="s">
        <v>3145</v>
      </c>
      <c r="B640" s="5" t="s">
        <v>20</v>
      </c>
      <c r="C640" s="3" t="s">
        <v>3146</v>
      </c>
      <c r="D640" s="6">
        <v>2026</v>
      </c>
      <c r="E640" s="3" t="s">
        <v>3147</v>
      </c>
      <c r="F640" s="3" t="s">
        <v>3148</v>
      </c>
      <c r="G640" s="5" t="s">
        <v>110</v>
      </c>
      <c r="H640" s="5" t="s">
        <v>3149</v>
      </c>
      <c r="I640" s="5"/>
      <c r="J640" s="3"/>
    </row>
    <row r="641" spans="1:10" ht="409.5" customHeight="1">
      <c r="A641" s="5" t="s">
        <v>3150</v>
      </c>
      <c r="B641" s="5" t="s">
        <v>20</v>
      </c>
      <c r="C641" s="3" t="s">
        <v>3151</v>
      </c>
      <c r="D641" s="6">
        <v>2026</v>
      </c>
      <c r="E641" s="3" t="s">
        <v>3152</v>
      </c>
      <c r="F641" s="3" t="s">
        <v>3153</v>
      </c>
      <c r="G641" s="5" t="s">
        <v>110</v>
      </c>
      <c r="H641" s="5" t="s">
        <v>3154</v>
      </c>
      <c r="I641" s="5"/>
      <c r="J641" s="3"/>
    </row>
    <row r="642" spans="1:10" ht="142.5" customHeight="1">
      <c r="A642" s="5" t="s">
        <v>3155</v>
      </c>
      <c r="B642" s="5" t="s">
        <v>20</v>
      </c>
      <c r="C642" s="3" t="s">
        <v>3156</v>
      </c>
      <c r="D642" s="6">
        <v>2025</v>
      </c>
      <c r="E642" s="3" t="s">
        <v>3157</v>
      </c>
      <c r="F642" s="3" t="s">
        <v>3158</v>
      </c>
      <c r="G642" s="5" t="s">
        <v>110</v>
      </c>
      <c r="H642" s="5" t="s">
        <v>3159</v>
      </c>
      <c r="I642" s="5"/>
      <c r="J642" s="3"/>
    </row>
    <row r="643" spans="1:10" ht="242.25" customHeight="1">
      <c r="A643" s="5" t="s">
        <v>3160</v>
      </c>
      <c r="B643" s="5" t="s">
        <v>20</v>
      </c>
      <c r="C643" s="3" t="s">
        <v>3161</v>
      </c>
      <c r="D643" s="6">
        <v>2026</v>
      </c>
      <c r="E643" s="3" t="s">
        <v>3162</v>
      </c>
      <c r="F643" s="3" t="s">
        <v>3163</v>
      </c>
      <c r="G643" s="5" t="s">
        <v>115</v>
      </c>
      <c r="H643" s="5" t="s">
        <v>3164</v>
      </c>
      <c r="I643" s="5"/>
      <c r="J643" s="3"/>
    </row>
    <row r="644" spans="1:10" ht="199.5" customHeight="1">
      <c r="A644" s="5" t="s">
        <v>3165</v>
      </c>
      <c r="B644" s="5" t="s">
        <v>20</v>
      </c>
      <c r="C644" s="3" t="s">
        <v>3166</v>
      </c>
      <c r="D644" s="6">
        <v>2026</v>
      </c>
      <c r="E644" s="3" t="s">
        <v>3167</v>
      </c>
      <c r="F644" s="3" t="s">
        <v>3168</v>
      </c>
      <c r="G644" s="5" t="s">
        <v>115</v>
      </c>
      <c r="H644" s="5" t="s">
        <v>3169</v>
      </c>
      <c r="I644" s="5"/>
      <c r="J644" s="3"/>
    </row>
    <row r="645" spans="1:10" ht="270.75" customHeight="1">
      <c r="A645" s="5" t="s">
        <v>3170</v>
      </c>
      <c r="B645" s="5" t="s">
        <v>20</v>
      </c>
      <c r="C645" s="3" t="s">
        <v>3171</v>
      </c>
      <c r="D645" s="6">
        <v>2026</v>
      </c>
      <c r="E645" s="3" t="s">
        <v>3172</v>
      </c>
      <c r="F645" s="3" t="s">
        <v>3173</v>
      </c>
      <c r="G645" s="5" t="s">
        <v>110</v>
      </c>
      <c r="H645" s="5" t="s">
        <v>3174</v>
      </c>
      <c r="I645" s="5"/>
      <c r="J645" s="3"/>
    </row>
    <row r="646" spans="1:10" ht="356.25" customHeight="1">
      <c r="A646" s="5" t="s">
        <v>3175</v>
      </c>
      <c r="B646" s="5" t="s">
        <v>20</v>
      </c>
      <c r="C646" s="3" t="s">
        <v>3176</v>
      </c>
      <c r="D646" s="6">
        <v>2026</v>
      </c>
      <c r="E646" s="3" t="s">
        <v>3177</v>
      </c>
      <c r="F646" s="3" t="s">
        <v>3178</v>
      </c>
      <c r="G646" s="5" t="s">
        <v>110</v>
      </c>
      <c r="H646" s="5" t="s">
        <v>3179</v>
      </c>
      <c r="I646" s="5"/>
      <c r="J646" s="3"/>
    </row>
    <row r="647" spans="1:10" ht="285" customHeight="1">
      <c r="A647" s="5" t="s">
        <v>3180</v>
      </c>
      <c r="B647" s="5" t="s">
        <v>20</v>
      </c>
      <c r="C647" s="3" t="s">
        <v>3181</v>
      </c>
      <c r="D647" s="6">
        <v>2026</v>
      </c>
      <c r="E647" s="3" t="s">
        <v>3182</v>
      </c>
      <c r="F647" s="3" t="s">
        <v>3183</v>
      </c>
      <c r="G647" s="5" t="s">
        <v>115</v>
      </c>
      <c r="H647" s="5" t="s">
        <v>3184</v>
      </c>
      <c r="I647" s="5"/>
      <c r="J647" s="3"/>
    </row>
    <row r="648" spans="1:10" ht="409.5" customHeight="1">
      <c r="A648" s="5" t="s">
        <v>3185</v>
      </c>
      <c r="B648" s="5" t="s">
        <v>20</v>
      </c>
      <c r="C648" s="3" t="s">
        <v>3186</v>
      </c>
      <c r="D648" s="6">
        <v>2026</v>
      </c>
      <c r="E648" s="3" t="s">
        <v>3187</v>
      </c>
      <c r="F648" s="3" t="s">
        <v>3188</v>
      </c>
      <c r="G648" s="5" t="s">
        <v>110</v>
      </c>
      <c r="H648" s="5" t="s">
        <v>3189</v>
      </c>
      <c r="I648" s="5"/>
      <c r="J648" s="3"/>
    </row>
    <row r="649" spans="1:10" ht="285" customHeight="1">
      <c r="A649" s="5" t="s">
        <v>3190</v>
      </c>
      <c r="B649" s="5" t="s">
        <v>20</v>
      </c>
      <c r="C649" s="3" t="s">
        <v>3191</v>
      </c>
      <c r="D649" s="6">
        <v>2026</v>
      </c>
      <c r="E649" s="3" t="s">
        <v>3192</v>
      </c>
      <c r="F649" s="3" t="s">
        <v>3193</v>
      </c>
      <c r="G649" s="5" t="s">
        <v>115</v>
      </c>
      <c r="H649" s="5" t="s">
        <v>3194</v>
      </c>
      <c r="I649" s="5"/>
      <c r="J649" s="3"/>
    </row>
    <row r="650" spans="1:10" ht="299.25" customHeight="1">
      <c r="A650" s="5" t="s">
        <v>3195</v>
      </c>
      <c r="B650" s="5" t="s">
        <v>20</v>
      </c>
      <c r="C650" s="3" t="s">
        <v>3196</v>
      </c>
      <c r="D650" s="6">
        <v>2026</v>
      </c>
      <c r="E650" s="3" t="s">
        <v>3197</v>
      </c>
      <c r="F650" s="3" t="s">
        <v>3198</v>
      </c>
      <c r="G650" s="5" t="s">
        <v>115</v>
      </c>
      <c r="H650" s="5" t="s">
        <v>3199</v>
      </c>
      <c r="I650" s="5"/>
      <c r="J650" s="3"/>
    </row>
    <row r="651" spans="1:10" ht="242.25" customHeight="1">
      <c r="A651" s="5" t="s">
        <v>1143</v>
      </c>
      <c r="B651" s="5" t="s">
        <v>20</v>
      </c>
      <c r="C651" s="3" t="s">
        <v>1144</v>
      </c>
      <c r="D651" s="6">
        <v>2025</v>
      </c>
      <c r="E651" s="3" t="s">
        <v>1145</v>
      </c>
      <c r="F651" s="3" t="s">
        <v>3200</v>
      </c>
      <c r="G651" s="5" t="s">
        <v>110</v>
      </c>
      <c r="H651" s="5" t="s">
        <v>3201</v>
      </c>
      <c r="I651" s="5"/>
      <c r="J651" s="3"/>
    </row>
    <row r="652" spans="1:10" ht="270.75" customHeight="1">
      <c r="A652" s="5" t="s">
        <v>3202</v>
      </c>
      <c r="B652" s="5" t="s">
        <v>20</v>
      </c>
      <c r="C652" s="3" t="s">
        <v>3203</v>
      </c>
      <c r="D652" s="6">
        <v>2025</v>
      </c>
      <c r="E652" s="3" t="s">
        <v>3204</v>
      </c>
      <c r="F652" s="3" t="s">
        <v>3205</v>
      </c>
      <c r="G652" s="5" t="s">
        <v>110</v>
      </c>
      <c r="H652" s="5" t="s">
        <v>3206</v>
      </c>
      <c r="I652" s="5"/>
      <c r="J652" s="3"/>
    </row>
    <row r="653" spans="1:10" ht="409.5" customHeight="1">
      <c r="A653" s="5" t="s">
        <v>3207</v>
      </c>
      <c r="B653" s="5" t="s">
        <v>20</v>
      </c>
      <c r="C653" s="3" t="s">
        <v>3208</v>
      </c>
      <c r="D653" s="6">
        <v>2026</v>
      </c>
      <c r="E653" s="3" t="s">
        <v>3209</v>
      </c>
      <c r="F653" s="3" t="s">
        <v>3210</v>
      </c>
      <c r="G653" s="5" t="s">
        <v>110</v>
      </c>
      <c r="H653" s="5" t="s">
        <v>3211</v>
      </c>
      <c r="I653" s="5"/>
      <c r="J653" s="3"/>
    </row>
    <row r="654" spans="1:10" ht="242.25" customHeight="1">
      <c r="A654" s="5" t="s">
        <v>3212</v>
      </c>
      <c r="B654" s="5" t="s">
        <v>20</v>
      </c>
      <c r="C654" s="3" t="s">
        <v>3213</v>
      </c>
      <c r="D654" s="6">
        <v>2027</v>
      </c>
      <c r="E654" s="3" t="s">
        <v>3214</v>
      </c>
      <c r="F654" s="3" t="s">
        <v>3215</v>
      </c>
      <c r="G654" s="5" t="s">
        <v>115</v>
      </c>
      <c r="H654" s="5" t="s">
        <v>3216</v>
      </c>
      <c r="I654" s="5"/>
      <c r="J654" s="3"/>
    </row>
    <row r="655" spans="1:10" ht="228" customHeight="1">
      <c r="A655" s="5" t="s">
        <v>3217</v>
      </c>
      <c r="B655" s="5" t="s">
        <v>20</v>
      </c>
      <c r="C655" s="3" t="s">
        <v>3218</v>
      </c>
      <c r="D655" s="6">
        <v>2026</v>
      </c>
      <c r="E655" s="3" t="s">
        <v>3219</v>
      </c>
      <c r="F655" s="3" t="s">
        <v>3220</v>
      </c>
      <c r="G655" s="5" t="s">
        <v>110</v>
      </c>
      <c r="H655" s="5" t="s">
        <v>3221</v>
      </c>
      <c r="I655" s="5"/>
      <c r="J655" s="3"/>
    </row>
    <row r="656" spans="1:10" ht="270.75" customHeight="1">
      <c r="A656" s="5" t="s">
        <v>3222</v>
      </c>
      <c r="B656" s="5" t="s">
        <v>20</v>
      </c>
      <c r="C656" s="3" t="s">
        <v>3223</v>
      </c>
      <c r="D656" s="6">
        <v>2026</v>
      </c>
      <c r="E656" s="3" t="s">
        <v>3224</v>
      </c>
      <c r="F656" s="3" t="s">
        <v>3225</v>
      </c>
      <c r="G656" s="5" t="s">
        <v>115</v>
      </c>
      <c r="H656" s="5" t="s">
        <v>3226</v>
      </c>
      <c r="I656" s="5"/>
      <c r="J656" s="3"/>
    </row>
    <row r="657" spans="1:10" ht="228" customHeight="1">
      <c r="A657" s="5" t="s">
        <v>3227</v>
      </c>
      <c r="B657" s="5" t="s">
        <v>20</v>
      </c>
      <c r="C657" s="3" t="s">
        <v>3228</v>
      </c>
      <c r="D657" s="6">
        <v>2025</v>
      </c>
      <c r="E657" s="3" t="s">
        <v>3229</v>
      </c>
      <c r="F657" s="3" t="s">
        <v>3230</v>
      </c>
      <c r="G657" s="5" t="s">
        <v>115</v>
      </c>
      <c r="H657" s="5" t="s">
        <v>3231</v>
      </c>
      <c r="I657" s="5"/>
      <c r="J657" s="3"/>
    </row>
    <row r="658" spans="1:10" ht="409.5" customHeight="1">
      <c r="A658" s="5" t="s">
        <v>3232</v>
      </c>
      <c r="B658" s="5" t="s">
        <v>20</v>
      </c>
      <c r="C658" s="3" t="s">
        <v>3233</v>
      </c>
      <c r="D658" s="6">
        <v>2026</v>
      </c>
      <c r="E658" s="3" t="s">
        <v>3234</v>
      </c>
      <c r="F658" s="3" t="s">
        <v>3235</v>
      </c>
      <c r="G658" s="5" t="s">
        <v>110</v>
      </c>
      <c r="H658" s="5" t="s">
        <v>3236</v>
      </c>
      <c r="I658" s="5"/>
      <c r="J658" s="3"/>
    </row>
    <row r="659" spans="1:10" ht="228" customHeight="1">
      <c r="A659" s="5" t="s">
        <v>3237</v>
      </c>
      <c r="B659" s="5" t="s">
        <v>20</v>
      </c>
      <c r="C659" s="3" t="s">
        <v>3238</v>
      </c>
      <c r="D659" s="6">
        <v>2026</v>
      </c>
      <c r="E659" s="3" t="s">
        <v>3239</v>
      </c>
      <c r="F659" s="3" t="s">
        <v>3240</v>
      </c>
      <c r="G659" s="5" t="s">
        <v>115</v>
      </c>
      <c r="H659" s="5" t="s">
        <v>3241</v>
      </c>
      <c r="I659" s="5"/>
      <c r="J659" s="3"/>
    </row>
    <row r="660" spans="1:10" ht="356.25" customHeight="1">
      <c r="A660" s="5" t="s">
        <v>3242</v>
      </c>
      <c r="B660" s="5" t="s">
        <v>20</v>
      </c>
      <c r="C660" s="3" t="s">
        <v>3243</v>
      </c>
      <c r="D660" s="6">
        <v>2025</v>
      </c>
      <c r="E660" s="3" t="s">
        <v>3244</v>
      </c>
      <c r="F660" s="3" t="s">
        <v>3245</v>
      </c>
      <c r="G660" s="5" t="s">
        <v>110</v>
      </c>
      <c r="H660" s="5" t="s">
        <v>3246</v>
      </c>
      <c r="I660" s="5"/>
      <c r="J660" s="3"/>
    </row>
    <row r="661" spans="1:10" ht="356.25" customHeight="1">
      <c r="A661" s="5" t="s">
        <v>3247</v>
      </c>
      <c r="B661" s="5" t="s">
        <v>20</v>
      </c>
      <c r="C661" s="3" t="s">
        <v>3248</v>
      </c>
      <c r="D661" s="6">
        <v>2026</v>
      </c>
      <c r="E661" s="3" t="s">
        <v>3249</v>
      </c>
      <c r="F661" s="3" t="s">
        <v>3250</v>
      </c>
      <c r="G661" s="5" t="s">
        <v>110</v>
      </c>
      <c r="H661" s="5" t="s">
        <v>3251</v>
      </c>
      <c r="I661" s="5"/>
      <c r="J661" s="3"/>
    </row>
    <row r="662" spans="1:10" ht="327.75" customHeight="1">
      <c r="A662" s="5" t="s">
        <v>3252</v>
      </c>
      <c r="B662" s="5" t="s">
        <v>20</v>
      </c>
      <c r="C662" s="3" t="s">
        <v>3253</v>
      </c>
      <c r="D662" s="6">
        <v>2026</v>
      </c>
      <c r="E662" s="3" t="s">
        <v>3254</v>
      </c>
      <c r="F662" s="3" t="s">
        <v>3255</v>
      </c>
      <c r="G662" s="5" t="s">
        <v>115</v>
      </c>
      <c r="H662" s="5" t="s">
        <v>3256</v>
      </c>
      <c r="I662" s="5"/>
      <c r="J662" s="3"/>
    </row>
    <row r="663" spans="1:10" ht="356.25" customHeight="1">
      <c r="A663" s="5" t="s">
        <v>3257</v>
      </c>
      <c r="B663" s="5" t="s">
        <v>20</v>
      </c>
      <c r="C663" s="3" t="s">
        <v>3258</v>
      </c>
      <c r="D663" s="6">
        <v>2026</v>
      </c>
      <c r="E663" s="3" t="s">
        <v>3259</v>
      </c>
      <c r="F663" s="3" t="s">
        <v>3260</v>
      </c>
      <c r="G663" s="5" t="s">
        <v>110</v>
      </c>
      <c r="H663" s="5" t="s">
        <v>3261</v>
      </c>
      <c r="I663" s="5"/>
      <c r="J663" s="3"/>
    </row>
    <row r="664" spans="1:10" ht="384.75" customHeight="1">
      <c r="A664" s="5" t="s">
        <v>3262</v>
      </c>
      <c r="B664" s="5" t="s">
        <v>20</v>
      </c>
      <c r="C664" s="3" t="s">
        <v>3263</v>
      </c>
      <c r="D664" s="6">
        <v>2026</v>
      </c>
      <c r="E664" s="3" t="s">
        <v>3264</v>
      </c>
      <c r="F664" s="3" t="s">
        <v>3265</v>
      </c>
      <c r="G664" s="5" t="s">
        <v>110</v>
      </c>
      <c r="H664" s="5" t="s">
        <v>3266</v>
      </c>
      <c r="I664" s="5"/>
      <c r="J664" s="3"/>
    </row>
    <row r="665" spans="1:10" ht="242.25" customHeight="1">
      <c r="A665" s="5" t="s">
        <v>1170</v>
      </c>
      <c r="B665" s="5" t="s">
        <v>20</v>
      </c>
      <c r="C665" s="3" t="s">
        <v>1171</v>
      </c>
      <c r="D665" s="6">
        <v>2027</v>
      </c>
      <c r="E665" s="3" t="s">
        <v>1172</v>
      </c>
      <c r="F665" s="3" t="s">
        <v>3267</v>
      </c>
      <c r="G665" s="5" t="s">
        <v>115</v>
      </c>
      <c r="H665" s="5" t="s">
        <v>3268</v>
      </c>
      <c r="I665" s="5"/>
      <c r="J665" s="3"/>
    </row>
    <row r="666" spans="1:10" ht="285" customHeight="1">
      <c r="A666" s="5" t="s">
        <v>3269</v>
      </c>
      <c r="B666" s="5" t="s">
        <v>20</v>
      </c>
      <c r="C666" s="3" t="s">
        <v>3270</v>
      </c>
      <c r="D666" s="6">
        <v>2026</v>
      </c>
      <c r="E666" s="3" t="s">
        <v>3271</v>
      </c>
      <c r="F666" s="3" t="s">
        <v>3272</v>
      </c>
      <c r="G666" s="5" t="s">
        <v>115</v>
      </c>
      <c r="H666" s="5" t="s">
        <v>3273</v>
      </c>
      <c r="I666" s="5"/>
      <c r="J666" s="3"/>
    </row>
    <row r="667" spans="1:10" ht="285" customHeight="1">
      <c r="A667" s="5" t="s">
        <v>3274</v>
      </c>
      <c r="B667" s="5" t="s">
        <v>20</v>
      </c>
      <c r="C667" s="3" t="s">
        <v>3275</v>
      </c>
      <c r="D667" s="6">
        <v>2025</v>
      </c>
      <c r="E667" s="3" t="s">
        <v>3276</v>
      </c>
      <c r="F667" s="3" t="s">
        <v>3277</v>
      </c>
      <c r="G667" s="5" t="s">
        <v>110</v>
      </c>
      <c r="H667" s="5" t="s">
        <v>3278</v>
      </c>
      <c r="I667" s="5"/>
      <c r="J667" s="3"/>
    </row>
    <row r="668" spans="1:10" ht="409.5" customHeight="1">
      <c r="A668" s="5" t="s">
        <v>3279</v>
      </c>
      <c r="B668" s="5" t="s">
        <v>20</v>
      </c>
      <c r="C668" s="3" t="s">
        <v>3280</v>
      </c>
      <c r="D668" s="6">
        <v>2025</v>
      </c>
      <c r="E668" s="3" t="s">
        <v>3281</v>
      </c>
      <c r="F668" s="3" t="s">
        <v>3282</v>
      </c>
      <c r="G668" s="5" t="s">
        <v>110</v>
      </c>
      <c r="H668" s="5" t="s">
        <v>3283</v>
      </c>
      <c r="I668" s="5"/>
      <c r="J668" s="3"/>
    </row>
    <row r="669" spans="1:10" ht="270.75" customHeight="1">
      <c r="A669" s="5" t="s">
        <v>3284</v>
      </c>
      <c r="B669" s="5" t="s">
        <v>20</v>
      </c>
      <c r="C669" s="3" t="s">
        <v>3285</v>
      </c>
      <c r="D669" s="6">
        <v>2026</v>
      </c>
      <c r="E669" s="3" t="s">
        <v>3286</v>
      </c>
      <c r="F669" s="3" t="s">
        <v>3287</v>
      </c>
      <c r="G669" s="5" t="s">
        <v>110</v>
      </c>
      <c r="H669" s="5" t="s">
        <v>3288</v>
      </c>
      <c r="I669" s="5"/>
      <c r="J669" s="3"/>
    </row>
    <row r="670" spans="1:10" ht="213.75" customHeight="1">
      <c r="A670" s="5" t="s">
        <v>3289</v>
      </c>
      <c r="B670" s="5" t="s">
        <v>20</v>
      </c>
      <c r="C670" s="3" t="s">
        <v>3290</v>
      </c>
      <c r="D670" s="6">
        <v>2026</v>
      </c>
      <c r="E670" s="3" t="s">
        <v>3291</v>
      </c>
      <c r="F670" s="3" t="s">
        <v>3292</v>
      </c>
      <c r="G670" s="5" t="s">
        <v>110</v>
      </c>
      <c r="H670" s="5" t="s">
        <v>3293</v>
      </c>
      <c r="I670" s="5"/>
      <c r="J670" s="3"/>
    </row>
    <row r="671" spans="1:10" ht="213.75" customHeight="1">
      <c r="A671" s="5" t="s">
        <v>3294</v>
      </c>
      <c r="B671" s="5" t="s">
        <v>20</v>
      </c>
      <c r="C671" s="3" t="s">
        <v>3295</v>
      </c>
      <c r="D671" s="6">
        <v>2026</v>
      </c>
      <c r="E671" s="3" t="s">
        <v>3296</v>
      </c>
      <c r="F671" s="3" t="s">
        <v>3297</v>
      </c>
      <c r="G671" s="5" t="s">
        <v>110</v>
      </c>
      <c r="H671" s="5" t="s">
        <v>3298</v>
      </c>
      <c r="I671" s="5"/>
      <c r="J671" s="3"/>
    </row>
    <row r="672" spans="1:10" ht="370.5" customHeight="1">
      <c r="A672" s="5" t="s">
        <v>3299</v>
      </c>
      <c r="B672" s="5" t="s">
        <v>20</v>
      </c>
      <c r="C672" s="3" t="s">
        <v>3300</v>
      </c>
      <c r="D672" s="6">
        <v>2026</v>
      </c>
      <c r="E672" s="3" t="s">
        <v>3301</v>
      </c>
      <c r="F672" s="3" t="s">
        <v>3302</v>
      </c>
      <c r="G672" s="5" t="s">
        <v>110</v>
      </c>
      <c r="H672" s="5" t="s">
        <v>3303</v>
      </c>
      <c r="I672" s="5"/>
      <c r="J672" s="3"/>
    </row>
    <row r="673" spans="1:10" ht="356.25" customHeight="1">
      <c r="A673" s="5" t="s">
        <v>3304</v>
      </c>
      <c r="B673" s="5" t="s">
        <v>20</v>
      </c>
      <c r="C673" s="3" t="s">
        <v>3305</v>
      </c>
      <c r="D673" s="6">
        <v>2026</v>
      </c>
      <c r="E673" s="3" t="s">
        <v>3306</v>
      </c>
      <c r="F673" s="3" t="s">
        <v>3307</v>
      </c>
      <c r="G673" s="5" t="s">
        <v>110</v>
      </c>
      <c r="H673" s="5" t="s">
        <v>3308</v>
      </c>
      <c r="I673" s="5"/>
      <c r="J673" s="3"/>
    </row>
    <row r="674" spans="1:10" ht="313.5" customHeight="1">
      <c r="A674" s="5" t="s">
        <v>3309</v>
      </c>
      <c r="B674" s="5" t="s">
        <v>20</v>
      </c>
      <c r="C674" s="3" t="s">
        <v>3310</v>
      </c>
      <c r="D674" s="6">
        <v>2025</v>
      </c>
      <c r="E674" s="3" t="s">
        <v>3311</v>
      </c>
      <c r="F674" s="3" t="s">
        <v>3312</v>
      </c>
      <c r="G674" s="5" t="s">
        <v>110</v>
      </c>
      <c r="H674" s="5" t="s">
        <v>3313</v>
      </c>
      <c r="I674" s="5"/>
      <c r="J674" s="3"/>
    </row>
    <row r="675" spans="1:10" ht="384.75" customHeight="1">
      <c r="A675" s="5" t="s">
        <v>3314</v>
      </c>
      <c r="B675" s="5" t="s">
        <v>20</v>
      </c>
      <c r="C675" s="3" t="s">
        <v>3315</v>
      </c>
      <c r="D675" s="6">
        <v>2026</v>
      </c>
      <c r="E675" s="3" t="s">
        <v>3316</v>
      </c>
      <c r="F675" s="3" t="s">
        <v>3317</v>
      </c>
      <c r="G675" s="5" t="s">
        <v>115</v>
      </c>
      <c r="H675" s="5" t="s">
        <v>3318</v>
      </c>
      <c r="I675" s="5"/>
      <c r="J675" s="3"/>
    </row>
    <row r="676" spans="1:10" ht="242.25" customHeight="1">
      <c r="A676" s="5" t="s">
        <v>1045</v>
      </c>
      <c r="B676" s="5" t="s">
        <v>20</v>
      </c>
      <c r="C676" s="3" t="s">
        <v>1046</v>
      </c>
      <c r="D676" s="6">
        <v>2026</v>
      </c>
      <c r="E676" s="3" t="s">
        <v>1047</v>
      </c>
      <c r="F676" s="3" t="s">
        <v>3319</v>
      </c>
      <c r="G676" s="5" t="s">
        <v>110</v>
      </c>
      <c r="H676" s="5" t="s">
        <v>3320</v>
      </c>
      <c r="I676" s="5"/>
      <c r="J676" s="3"/>
    </row>
    <row r="677" spans="1:10" ht="228" customHeight="1">
      <c r="A677" s="5" t="s">
        <v>3321</v>
      </c>
      <c r="B677" s="5" t="s">
        <v>20</v>
      </c>
      <c r="C677" s="3" t="s">
        <v>3322</v>
      </c>
      <c r="D677" s="6">
        <v>2026</v>
      </c>
      <c r="E677" s="3" t="s">
        <v>3323</v>
      </c>
      <c r="F677" s="3" t="s">
        <v>3324</v>
      </c>
      <c r="G677" s="5" t="s">
        <v>110</v>
      </c>
      <c r="H677" s="5" t="s">
        <v>3325</v>
      </c>
      <c r="I677" s="5"/>
      <c r="J677" s="3"/>
    </row>
    <row r="678" spans="1:10" ht="270.75" customHeight="1">
      <c r="A678" s="5" t="s">
        <v>3326</v>
      </c>
      <c r="B678" s="5" t="s">
        <v>20</v>
      </c>
      <c r="C678" s="3" t="s">
        <v>3327</v>
      </c>
      <c r="D678" s="6">
        <v>2026</v>
      </c>
      <c r="E678" s="3" t="s">
        <v>3328</v>
      </c>
      <c r="F678" s="3" t="s">
        <v>3329</v>
      </c>
      <c r="G678" s="5" t="s">
        <v>115</v>
      </c>
      <c r="H678" s="5" t="s">
        <v>3330</v>
      </c>
      <c r="I678" s="5"/>
      <c r="J678" s="3"/>
    </row>
    <row r="679" spans="1:10" ht="370.5" customHeight="1">
      <c r="A679" s="5" t="s">
        <v>3331</v>
      </c>
      <c r="B679" s="5" t="s">
        <v>20</v>
      </c>
      <c r="C679" s="3" t="s">
        <v>3332</v>
      </c>
      <c r="D679" s="6">
        <v>2025</v>
      </c>
      <c r="E679" s="3" t="s">
        <v>3333</v>
      </c>
      <c r="F679" s="3" t="s">
        <v>3334</v>
      </c>
      <c r="G679" s="5" t="s">
        <v>110</v>
      </c>
      <c r="H679" s="5" t="s">
        <v>3335</v>
      </c>
      <c r="I679" s="5"/>
      <c r="J679" s="3"/>
    </row>
    <row r="680" spans="1:10" ht="299.25" customHeight="1">
      <c r="A680" s="5" t="s">
        <v>3336</v>
      </c>
      <c r="B680" s="5" t="s">
        <v>20</v>
      </c>
      <c r="C680" s="3" t="s">
        <v>3337</v>
      </c>
      <c r="D680" s="6">
        <v>2025</v>
      </c>
      <c r="E680" s="3" t="s">
        <v>3338</v>
      </c>
      <c r="F680" s="3" t="s">
        <v>3339</v>
      </c>
      <c r="G680" s="5" t="s">
        <v>110</v>
      </c>
      <c r="H680" s="5" t="s">
        <v>3340</v>
      </c>
      <c r="I680" s="5"/>
      <c r="J680" s="3"/>
    </row>
    <row r="681" spans="1:10" ht="299.25" customHeight="1">
      <c r="A681" s="5" t="s">
        <v>3341</v>
      </c>
      <c r="B681" s="5" t="s">
        <v>20</v>
      </c>
      <c r="C681" s="3" t="s">
        <v>3342</v>
      </c>
      <c r="D681" s="6">
        <v>2025</v>
      </c>
      <c r="E681" s="3" t="s">
        <v>3343</v>
      </c>
      <c r="F681" s="3" t="s">
        <v>3344</v>
      </c>
      <c r="G681" s="5" t="s">
        <v>110</v>
      </c>
      <c r="H681" s="5" t="s">
        <v>3345</v>
      </c>
      <c r="I681" s="5"/>
      <c r="J681" s="3"/>
    </row>
    <row r="682" spans="1:10" ht="285" customHeight="1">
      <c r="A682" s="5" t="s">
        <v>3346</v>
      </c>
      <c r="B682" s="5" t="s">
        <v>20</v>
      </c>
      <c r="C682" s="3" t="s">
        <v>3347</v>
      </c>
      <c r="D682" s="6">
        <v>2026</v>
      </c>
      <c r="E682" s="3" t="s">
        <v>3348</v>
      </c>
      <c r="F682" s="3" t="s">
        <v>3349</v>
      </c>
      <c r="G682" s="5" t="s">
        <v>115</v>
      </c>
      <c r="H682" s="5" t="s">
        <v>3350</v>
      </c>
      <c r="I682" s="5"/>
      <c r="J682" s="3"/>
    </row>
    <row r="683" spans="1:10" ht="199.5" customHeight="1">
      <c r="A683" s="5" t="s">
        <v>3351</v>
      </c>
      <c r="B683" s="5" t="s">
        <v>20</v>
      </c>
      <c r="C683" s="3" t="s">
        <v>3352</v>
      </c>
      <c r="D683" s="6">
        <v>2025</v>
      </c>
      <c r="E683" s="3" t="s">
        <v>3353</v>
      </c>
      <c r="F683" s="3" t="s">
        <v>3354</v>
      </c>
      <c r="G683" s="5" t="s">
        <v>110</v>
      </c>
      <c r="H683" s="5" t="s">
        <v>3355</v>
      </c>
      <c r="I683" s="5"/>
      <c r="J683" s="3"/>
    </row>
    <row r="684" spans="1:10" ht="213.75" customHeight="1">
      <c r="A684" s="5" t="s">
        <v>3356</v>
      </c>
      <c r="B684" s="5" t="s">
        <v>20</v>
      </c>
      <c r="C684" s="3" t="s">
        <v>3357</v>
      </c>
      <c r="D684" s="6">
        <v>2025</v>
      </c>
      <c r="E684" s="3" t="s">
        <v>3358</v>
      </c>
      <c r="F684" s="3" t="s">
        <v>3359</v>
      </c>
      <c r="G684" s="5" t="s">
        <v>115</v>
      </c>
      <c r="H684" s="5" t="s">
        <v>3360</v>
      </c>
      <c r="I684" s="5"/>
      <c r="J684" s="3"/>
    </row>
    <row r="685" spans="1:10" ht="242.25" customHeight="1">
      <c r="A685" s="5" t="s">
        <v>3361</v>
      </c>
      <c r="B685" s="5" t="s">
        <v>20</v>
      </c>
      <c r="C685" s="3" t="s">
        <v>3362</v>
      </c>
      <c r="D685" s="6">
        <v>2026</v>
      </c>
      <c r="E685" s="3" t="s">
        <v>3363</v>
      </c>
      <c r="F685" s="3" t="s">
        <v>3364</v>
      </c>
      <c r="G685" s="5" t="s">
        <v>110</v>
      </c>
      <c r="H685" s="5" t="s">
        <v>3365</v>
      </c>
      <c r="I685" s="5"/>
      <c r="J685" s="3"/>
    </row>
    <row r="686" spans="1:10" ht="327.75" customHeight="1">
      <c r="A686" s="5" t="s">
        <v>3366</v>
      </c>
      <c r="B686" s="5" t="s">
        <v>20</v>
      </c>
      <c r="C686" s="3" t="s">
        <v>3367</v>
      </c>
      <c r="D686" s="6">
        <v>2026</v>
      </c>
      <c r="E686" s="3" t="s">
        <v>3368</v>
      </c>
      <c r="F686" s="3" t="s">
        <v>3369</v>
      </c>
      <c r="G686" s="5" t="s">
        <v>110</v>
      </c>
      <c r="H686" s="5" t="s">
        <v>3370</v>
      </c>
      <c r="I686" s="5"/>
      <c r="J686" s="3"/>
    </row>
    <row r="687" spans="1:10" ht="270.75" customHeight="1">
      <c r="A687" s="5" t="s">
        <v>3371</v>
      </c>
      <c r="B687" s="5" t="s">
        <v>20</v>
      </c>
      <c r="C687" s="3" t="s">
        <v>3372</v>
      </c>
      <c r="D687" s="6">
        <v>2026</v>
      </c>
      <c r="E687" s="3" t="s">
        <v>3373</v>
      </c>
      <c r="F687" s="3" t="s">
        <v>3374</v>
      </c>
      <c r="G687" s="5" t="s">
        <v>110</v>
      </c>
      <c r="H687" s="5" t="s">
        <v>3375</v>
      </c>
      <c r="I687" s="5"/>
      <c r="J687" s="3"/>
    </row>
    <row r="688" spans="1:10" ht="213.75" customHeight="1">
      <c r="A688" s="5" t="s">
        <v>750</v>
      </c>
      <c r="B688" s="5" t="s">
        <v>20</v>
      </c>
      <c r="C688" s="3" t="s">
        <v>751</v>
      </c>
      <c r="D688" s="6">
        <v>2026</v>
      </c>
      <c r="E688" s="3" t="s">
        <v>752</v>
      </c>
      <c r="F688" s="3" t="s">
        <v>3376</v>
      </c>
      <c r="G688" s="5" t="s">
        <v>115</v>
      </c>
      <c r="H688" s="5" t="s">
        <v>3377</v>
      </c>
      <c r="I688" s="5"/>
      <c r="J688" s="3"/>
    </row>
    <row r="689" spans="1:10" ht="228" customHeight="1">
      <c r="A689" s="5" t="s">
        <v>3378</v>
      </c>
      <c r="B689" s="5" t="s">
        <v>20</v>
      </c>
      <c r="C689" s="3" t="s">
        <v>3379</v>
      </c>
      <c r="D689" s="6">
        <v>2026</v>
      </c>
      <c r="E689" s="3" t="s">
        <v>3380</v>
      </c>
      <c r="F689" s="3" t="s">
        <v>3381</v>
      </c>
      <c r="G689" s="5" t="s">
        <v>115</v>
      </c>
      <c r="H689" s="5" t="s">
        <v>3382</v>
      </c>
      <c r="I689" s="5"/>
      <c r="J689" s="3"/>
    </row>
    <row r="690" spans="1:10" ht="313.5" customHeight="1">
      <c r="A690" s="5" t="s">
        <v>3383</v>
      </c>
      <c r="B690" s="5" t="s">
        <v>20</v>
      </c>
      <c r="C690" s="3" t="s">
        <v>3384</v>
      </c>
      <c r="D690" s="6">
        <v>2026</v>
      </c>
      <c r="E690" s="3" t="s">
        <v>3385</v>
      </c>
      <c r="F690" s="3" t="s">
        <v>3386</v>
      </c>
      <c r="G690" s="5" t="s">
        <v>110</v>
      </c>
      <c r="H690" s="5" t="s">
        <v>3387</v>
      </c>
      <c r="I690" s="5"/>
      <c r="J690" s="3"/>
    </row>
    <row r="691" spans="1:10" ht="270.75" customHeight="1">
      <c r="A691" s="5" t="s">
        <v>3388</v>
      </c>
      <c r="B691" s="5" t="s">
        <v>20</v>
      </c>
      <c r="C691" s="3" t="s">
        <v>3389</v>
      </c>
      <c r="D691" s="6">
        <v>2026</v>
      </c>
      <c r="E691" s="3" t="s">
        <v>3390</v>
      </c>
      <c r="F691" s="3" t="s">
        <v>3391</v>
      </c>
      <c r="G691" s="5" t="s">
        <v>115</v>
      </c>
      <c r="H691" s="5" t="s">
        <v>3392</v>
      </c>
      <c r="I691" s="5"/>
      <c r="J691" s="3"/>
    </row>
    <row r="692" spans="1:10" ht="313.5" customHeight="1">
      <c r="A692" s="5" t="s">
        <v>3393</v>
      </c>
      <c r="B692" s="5" t="s">
        <v>20</v>
      </c>
      <c r="C692" s="3" t="s">
        <v>3394</v>
      </c>
      <c r="D692" s="6">
        <v>2026</v>
      </c>
      <c r="E692" s="3" t="s">
        <v>3395</v>
      </c>
      <c r="F692" s="3" t="s">
        <v>3396</v>
      </c>
      <c r="G692" s="5" t="s">
        <v>110</v>
      </c>
      <c r="H692" s="5" t="s">
        <v>3397</v>
      </c>
      <c r="I692" s="5"/>
      <c r="J692" s="3"/>
    </row>
    <row r="693" spans="1:10" ht="399" customHeight="1">
      <c r="A693" s="5" t="s">
        <v>3398</v>
      </c>
      <c r="B693" s="5" t="s">
        <v>20</v>
      </c>
      <c r="C693" s="3" t="s">
        <v>3399</v>
      </c>
      <c r="D693" s="6">
        <v>2025</v>
      </c>
      <c r="E693" s="3" t="s">
        <v>3400</v>
      </c>
      <c r="F693" s="3" t="s">
        <v>3401</v>
      </c>
      <c r="G693" s="5" t="s">
        <v>110</v>
      </c>
      <c r="H693" s="5" t="s">
        <v>3402</v>
      </c>
      <c r="I693" s="5"/>
      <c r="J693" s="3"/>
    </row>
    <row r="694" spans="1:10" ht="313.5" customHeight="1">
      <c r="A694" s="5" t="s">
        <v>741</v>
      </c>
      <c r="B694" s="5" t="s">
        <v>20</v>
      </c>
      <c r="C694" s="3" t="s">
        <v>742</v>
      </c>
      <c r="D694" s="6">
        <v>2027</v>
      </c>
      <c r="E694" s="3" t="s">
        <v>743</v>
      </c>
      <c r="F694" s="3" t="s">
        <v>3403</v>
      </c>
      <c r="G694" s="5" t="s">
        <v>115</v>
      </c>
      <c r="H694" s="5" t="s">
        <v>3404</v>
      </c>
      <c r="I694" s="5"/>
      <c r="J694" s="3"/>
    </row>
    <row r="695" spans="1:10" ht="313.5" customHeight="1">
      <c r="A695" s="5" t="s">
        <v>3405</v>
      </c>
      <c r="B695" s="5" t="s">
        <v>20</v>
      </c>
      <c r="C695" s="3" t="s">
        <v>3406</v>
      </c>
      <c r="D695" s="6">
        <v>2026</v>
      </c>
      <c r="E695" s="3" t="s">
        <v>3407</v>
      </c>
      <c r="F695" s="3" t="s">
        <v>3408</v>
      </c>
      <c r="G695" s="5" t="s">
        <v>110</v>
      </c>
      <c r="H695" s="5" t="s">
        <v>3409</v>
      </c>
      <c r="I695" s="5"/>
      <c r="J695" s="3"/>
    </row>
    <row r="696" spans="1:10" ht="256.5" customHeight="1">
      <c r="A696" s="5" t="s">
        <v>3410</v>
      </c>
      <c r="B696" s="5" t="s">
        <v>20</v>
      </c>
      <c r="C696" s="3" t="s">
        <v>3411</v>
      </c>
      <c r="D696" s="6">
        <v>2026</v>
      </c>
      <c r="E696" s="3" t="s">
        <v>3412</v>
      </c>
      <c r="F696" s="3" t="s">
        <v>3413</v>
      </c>
      <c r="G696" s="5" t="s">
        <v>110</v>
      </c>
      <c r="H696" s="5" t="s">
        <v>3414</v>
      </c>
      <c r="I696" s="5"/>
      <c r="J696" s="3"/>
    </row>
    <row r="697" spans="1:10" ht="299.25" customHeight="1">
      <c r="A697" s="5" t="s">
        <v>3415</v>
      </c>
      <c r="B697" s="5" t="s">
        <v>20</v>
      </c>
      <c r="C697" s="3" t="s">
        <v>3416</v>
      </c>
      <c r="D697" s="6">
        <v>2025</v>
      </c>
      <c r="E697" s="3" t="s">
        <v>3417</v>
      </c>
      <c r="F697" s="3" t="s">
        <v>3418</v>
      </c>
      <c r="G697" s="5" t="s">
        <v>110</v>
      </c>
      <c r="H697" s="5" t="s">
        <v>3419</v>
      </c>
      <c r="I697" s="5"/>
      <c r="J697" s="3"/>
    </row>
    <row r="698" spans="1:10" ht="370.5" customHeight="1">
      <c r="A698" s="5" t="s">
        <v>3420</v>
      </c>
      <c r="B698" s="5" t="s">
        <v>20</v>
      </c>
      <c r="C698" s="3" t="s">
        <v>3421</v>
      </c>
      <c r="D698" s="6">
        <v>2026</v>
      </c>
      <c r="E698" s="3" t="s">
        <v>3422</v>
      </c>
      <c r="F698" s="3" t="s">
        <v>3423</v>
      </c>
      <c r="G698" s="5" t="s">
        <v>110</v>
      </c>
      <c r="H698" s="5" t="s">
        <v>3424</v>
      </c>
      <c r="I698" s="5"/>
      <c r="J698" s="3"/>
    </row>
    <row r="699" spans="1:10" ht="299.25" customHeight="1">
      <c r="A699" s="5" t="s">
        <v>3425</v>
      </c>
      <c r="B699" s="5" t="s">
        <v>20</v>
      </c>
      <c r="C699" s="3" t="s">
        <v>3426</v>
      </c>
      <c r="D699" s="6">
        <v>2025</v>
      </c>
      <c r="E699" s="3" t="s">
        <v>3427</v>
      </c>
      <c r="F699" s="3" t="s">
        <v>3428</v>
      </c>
      <c r="G699" s="5" t="s">
        <v>110</v>
      </c>
      <c r="H699" s="5" t="s">
        <v>3429</v>
      </c>
      <c r="I699" s="5"/>
      <c r="J699" s="3"/>
    </row>
    <row r="700" spans="1:10" ht="299.25" customHeight="1">
      <c r="A700" s="5" t="s">
        <v>3430</v>
      </c>
      <c r="B700" s="5" t="s">
        <v>20</v>
      </c>
      <c r="C700" s="3" t="s">
        <v>3431</v>
      </c>
      <c r="D700" s="6">
        <v>2026</v>
      </c>
      <c r="E700" s="3" t="s">
        <v>3432</v>
      </c>
      <c r="F700" s="3" t="s">
        <v>3433</v>
      </c>
      <c r="G700" s="5" t="s">
        <v>110</v>
      </c>
      <c r="H700" s="5" t="s">
        <v>3434</v>
      </c>
      <c r="I700" s="5"/>
      <c r="J700" s="3"/>
    </row>
    <row r="701" spans="1:10" ht="313.5" customHeight="1">
      <c r="A701" s="5" t="s">
        <v>3435</v>
      </c>
      <c r="B701" s="5" t="s">
        <v>20</v>
      </c>
      <c r="C701" s="3" t="s">
        <v>3436</v>
      </c>
      <c r="D701" s="6">
        <v>2026</v>
      </c>
      <c r="E701" s="3" t="s">
        <v>3437</v>
      </c>
      <c r="F701" s="3" t="s">
        <v>3438</v>
      </c>
      <c r="G701" s="5" t="s">
        <v>110</v>
      </c>
      <c r="H701" s="5" t="s">
        <v>3439</v>
      </c>
      <c r="I701" s="5"/>
      <c r="J701" s="3"/>
    </row>
    <row r="702" spans="1:10" ht="285" customHeight="1">
      <c r="A702" s="5" t="s">
        <v>3440</v>
      </c>
      <c r="B702" s="5" t="s">
        <v>20</v>
      </c>
      <c r="C702" s="3" t="s">
        <v>3441</v>
      </c>
      <c r="D702" s="6">
        <v>2025</v>
      </c>
      <c r="E702" s="3" t="s">
        <v>3442</v>
      </c>
      <c r="F702" s="3" t="s">
        <v>3443</v>
      </c>
      <c r="G702" s="5" t="s">
        <v>110</v>
      </c>
      <c r="H702" s="5" t="s">
        <v>3444</v>
      </c>
      <c r="I702" s="5"/>
      <c r="J702" s="3"/>
    </row>
    <row r="703" spans="1:10" ht="199.5" customHeight="1">
      <c r="A703" s="5" t="s">
        <v>3445</v>
      </c>
      <c r="B703" s="5" t="s">
        <v>20</v>
      </c>
      <c r="C703" s="3" t="s">
        <v>3446</v>
      </c>
      <c r="D703" s="6">
        <v>2026</v>
      </c>
      <c r="E703" s="3" t="s">
        <v>3447</v>
      </c>
      <c r="F703" s="3" t="s">
        <v>3448</v>
      </c>
      <c r="G703" s="5" t="s">
        <v>110</v>
      </c>
      <c r="H703" s="5" t="s">
        <v>3449</v>
      </c>
      <c r="I703" s="5"/>
      <c r="J703" s="3"/>
    </row>
    <row r="704" spans="1:10" ht="399" customHeight="1">
      <c r="A704" s="5" t="s">
        <v>3450</v>
      </c>
      <c r="B704" s="5" t="s">
        <v>20</v>
      </c>
      <c r="C704" s="3" t="s">
        <v>3451</v>
      </c>
      <c r="D704" s="6">
        <v>2026</v>
      </c>
      <c r="E704" s="3" t="s">
        <v>3452</v>
      </c>
      <c r="F704" s="3" t="s">
        <v>3453</v>
      </c>
      <c r="G704" s="5" t="s">
        <v>110</v>
      </c>
      <c r="H704" s="5" t="s">
        <v>3454</v>
      </c>
      <c r="I704" s="5"/>
      <c r="J704" s="3"/>
    </row>
    <row r="705" spans="1:10" ht="228" customHeight="1">
      <c r="A705" s="5" t="s">
        <v>3455</v>
      </c>
      <c r="B705" s="5" t="s">
        <v>20</v>
      </c>
      <c r="C705" s="3" t="s">
        <v>3456</v>
      </c>
      <c r="D705" s="6">
        <v>2025</v>
      </c>
      <c r="E705" s="3" t="s">
        <v>3457</v>
      </c>
      <c r="F705" s="3" t="s">
        <v>3458</v>
      </c>
      <c r="G705" s="5" t="s">
        <v>110</v>
      </c>
      <c r="H705" s="5" t="s">
        <v>3459</v>
      </c>
      <c r="I705" s="5"/>
      <c r="J705" s="3"/>
    </row>
    <row r="706" spans="1:10" ht="409.5" customHeight="1">
      <c r="A706" s="5" t="s">
        <v>3460</v>
      </c>
      <c r="B706" s="5" t="s">
        <v>20</v>
      </c>
      <c r="C706" s="3" t="s">
        <v>3461</v>
      </c>
      <c r="D706" s="6">
        <v>2026</v>
      </c>
      <c r="E706" s="3" t="s">
        <v>3462</v>
      </c>
      <c r="F706" s="3" t="s">
        <v>3463</v>
      </c>
      <c r="G706" s="5" t="s">
        <v>110</v>
      </c>
      <c r="H706" s="5" t="s">
        <v>3464</v>
      </c>
      <c r="I706" s="5"/>
      <c r="J706" s="3"/>
    </row>
    <row r="707" spans="1:10" ht="327.75" customHeight="1">
      <c r="A707" s="5" t="s">
        <v>3465</v>
      </c>
      <c r="B707" s="5" t="s">
        <v>20</v>
      </c>
      <c r="C707" s="3" t="s">
        <v>3466</v>
      </c>
      <c r="D707" s="6">
        <v>2026</v>
      </c>
      <c r="E707" s="3" t="s">
        <v>3467</v>
      </c>
      <c r="F707" s="3" t="s">
        <v>3468</v>
      </c>
      <c r="G707" s="5" t="s">
        <v>115</v>
      </c>
      <c r="H707" s="5" t="s">
        <v>3469</v>
      </c>
      <c r="I707" s="5"/>
      <c r="J707" s="3"/>
    </row>
    <row r="708" spans="1:10" ht="313.5" customHeight="1">
      <c r="A708" s="5" t="s">
        <v>3470</v>
      </c>
      <c r="B708" s="5" t="s">
        <v>20</v>
      </c>
      <c r="C708" s="3" t="s">
        <v>3471</v>
      </c>
      <c r="D708" s="6">
        <v>2026</v>
      </c>
      <c r="E708" s="3" t="s">
        <v>3472</v>
      </c>
      <c r="F708" s="3" t="s">
        <v>3473</v>
      </c>
      <c r="G708" s="5" t="s">
        <v>115</v>
      </c>
      <c r="H708" s="5" t="s">
        <v>3474</v>
      </c>
      <c r="I708" s="5"/>
      <c r="J708" s="3"/>
    </row>
    <row r="709" spans="1:10" ht="356.25" customHeight="1">
      <c r="A709" s="5" t="s">
        <v>3475</v>
      </c>
      <c r="B709" s="5" t="s">
        <v>20</v>
      </c>
      <c r="C709" s="3" t="s">
        <v>3476</v>
      </c>
      <c r="D709" s="6">
        <v>2025</v>
      </c>
      <c r="E709" s="3" t="s">
        <v>3477</v>
      </c>
      <c r="F709" s="3" t="s">
        <v>3478</v>
      </c>
      <c r="G709" s="5" t="s">
        <v>110</v>
      </c>
      <c r="H709" s="5" t="s">
        <v>3479</v>
      </c>
      <c r="I709" s="5"/>
      <c r="J709" s="3"/>
    </row>
    <row r="710" spans="1:10" ht="270.75" customHeight="1">
      <c r="A710" s="5" t="s">
        <v>3480</v>
      </c>
      <c r="B710" s="5" t="s">
        <v>20</v>
      </c>
      <c r="C710" s="3" t="s">
        <v>3481</v>
      </c>
      <c r="D710" s="6">
        <v>2026</v>
      </c>
      <c r="E710" s="3" t="s">
        <v>3482</v>
      </c>
      <c r="F710" s="3" t="s">
        <v>3483</v>
      </c>
      <c r="G710" s="5" t="s">
        <v>115</v>
      </c>
      <c r="H710" s="5" t="s">
        <v>3484</v>
      </c>
      <c r="I710" s="5"/>
      <c r="J710" s="3"/>
    </row>
    <row r="711" spans="1:10" ht="199.5" customHeight="1">
      <c r="A711" s="5" t="s">
        <v>3485</v>
      </c>
      <c r="B711" s="5" t="s">
        <v>20</v>
      </c>
      <c r="C711" s="3" t="s">
        <v>3486</v>
      </c>
      <c r="D711" s="6">
        <v>2026</v>
      </c>
      <c r="E711" s="3" t="s">
        <v>3487</v>
      </c>
      <c r="F711" s="3" t="s">
        <v>3488</v>
      </c>
      <c r="G711" s="5" t="s">
        <v>115</v>
      </c>
      <c r="H711" s="5" t="s">
        <v>3489</v>
      </c>
      <c r="I711" s="5"/>
      <c r="J711" s="3"/>
    </row>
    <row r="712" spans="1:10" ht="384.75" customHeight="1">
      <c r="A712" s="5" t="s">
        <v>3490</v>
      </c>
      <c r="B712" s="5" t="s">
        <v>20</v>
      </c>
      <c r="C712" s="3" t="s">
        <v>3491</v>
      </c>
      <c r="D712" s="6">
        <v>2025</v>
      </c>
      <c r="E712" s="3" t="s">
        <v>3492</v>
      </c>
      <c r="F712" s="3" t="s">
        <v>3493</v>
      </c>
      <c r="G712" s="5" t="s">
        <v>110</v>
      </c>
      <c r="H712" s="5" t="s">
        <v>3494</v>
      </c>
      <c r="I712" s="5"/>
      <c r="J712" s="3"/>
    </row>
    <row r="713" spans="1:10" ht="270.75" customHeight="1">
      <c r="A713" s="5" t="s">
        <v>3495</v>
      </c>
      <c r="B713" s="5" t="s">
        <v>20</v>
      </c>
      <c r="C713" s="3" t="s">
        <v>3496</v>
      </c>
      <c r="D713" s="6">
        <v>2026</v>
      </c>
      <c r="E713" s="3" t="s">
        <v>3497</v>
      </c>
      <c r="F713" s="3" t="s">
        <v>3498</v>
      </c>
      <c r="G713" s="5" t="s">
        <v>110</v>
      </c>
      <c r="H713" s="5" t="s">
        <v>3499</v>
      </c>
      <c r="I713" s="5"/>
      <c r="J713" s="3"/>
    </row>
    <row r="714" spans="1:10" ht="199.5" customHeight="1">
      <c r="A714" s="5" t="s">
        <v>3500</v>
      </c>
      <c r="B714" s="5" t="s">
        <v>20</v>
      </c>
      <c r="C714" s="3" t="s">
        <v>3501</v>
      </c>
      <c r="D714" s="6">
        <v>2026</v>
      </c>
      <c r="E714" s="3" t="s">
        <v>3502</v>
      </c>
      <c r="F714" s="3" t="s">
        <v>3503</v>
      </c>
      <c r="G714" s="5" t="s">
        <v>110</v>
      </c>
      <c r="H714" s="5"/>
      <c r="I714" s="5"/>
      <c r="J714" s="3"/>
    </row>
    <row r="715" spans="1:10" ht="228" customHeight="1">
      <c r="A715" s="5" t="s">
        <v>1027</v>
      </c>
      <c r="B715" s="5" t="s">
        <v>20</v>
      </c>
      <c r="C715" s="3" t="s">
        <v>1028</v>
      </c>
      <c r="D715" s="6">
        <v>2026</v>
      </c>
      <c r="E715" s="3" t="s">
        <v>1029</v>
      </c>
      <c r="F715" s="3" t="s">
        <v>3504</v>
      </c>
      <c r="G715" s="5" t="s">
        <v>115</v>
      </c>
      <c r="H715" s="5" t="s">
        <v>3505</v>
      </c>
      <c r="I715" s="5"/>
      <c r="J715" s="3"/>
    </row>
    <row r="716" spans="1:10" ht="342" customHeight="1">
      <c r="A716" s="5" t="s">
        <v>3506</v>
      </c>
      <c r="B716" s="5" t="s">
        <v>20</v>
      </c>
      <c r="C716" s="3" t="s">
        <v>3507</v>
      </c>
      <c r="D716" s="6">
        <v>2025</v>
      </c>
      <c r="E716" s="3" t="s">
        <v>3508</v>
      </c>
      <c r="F716" s="3" t="s">
        <v>3509</v>
      </c>
      <c r="G716" s="5" t="s">
        <v>110</v>
      </c>
      <c r="H716" s="5" t="s">
        <v>3510</v>
      </c>
      <c r="I716" s="5"/>
      <c r="J716" s="3"/>
    </row>
    <row r="717" spans="1:10" ht="299.25" customHeight="1">
      <c r="A717" s="5" t="s">
        <v>3511</v>
      </c>
      <c r="B717" s="5" t="s">
        <v>20</v>
      </c>
      <c r="C717" s="3" t="s">
        <v>3512</v>
      </c>
      <c r="D717" s="6">
        <v>2026</v>
      </c>
      <c r="E717" s="3" t="s">
        <v>3513</v>
      </c>
      <c r="F717" s="3" t="s">
        <v>3514</v>
      </c>
      <c r="G717" s="5" t="s">
        <v>115</v>
      </c>
      <c r="H717" s="5" t="s">
        <v>3515</v>
      </c>
      <c r="I717" s="5"/>
      <c r="J717" s="3"/>
    </row>
    <row r="718" spans="1:10" ht="356.25" customHeight="1">
      <c r="A718" s="5" t="s">
        <v>1102</v>
      </c>
      <c r="B718" s="5" t="s">
        <v>20</v>
      </c>
      <c r="C718" s="3" t="s">
        <v>1103</v>
      </c>
      <c r="D718" s="6">
        <v>2025</v>
      </c>
      <c r="E718" s="3" t="s">
        <v>1104</v>
      </c>
      <c r="F718" s="3" t="s">
        <v>3516</v>
      </c>
      <c r="G718" s="5" t="s">
        <v>110</v>
      </c>
      <c r="H718" s="5" t="s">
        <v>3517</v>
      </c>
      <c r="I718" s="5"/>
      <c r="J718" s="3"/>
    </row>
    <row r="719" spans="1:10" ht="299.25" customHeight="1">
      <c r="A719" s="5" t="s">
        <v>729</v>
      </c>
      <c r="B719" s="5" t="s">
        <v>20</v>
      </c>
      <c r="C719" s="3" t="s">
        <v>730</v>
      </c>
      <c r="D719" s="6">
        <v>2026</v>
      </c>
      <c r="E719" s="3" t="s">
        <v>731</v>
      </c>
      <c r="F719" s="3" t="s">
        <v>3518</v>
      </c>
      <c r="G719" s="5" t="s">
        <v>115</v>
      </c>
      <c r="H719" s="5" t="s">
        <v>3519</v>
      </c>
      <c r="I719" s="5"/>
      <c r="J719" s="3"/>
    </row>
    <row r="720" spans="1:10" ht="313.5" customHeight="1">
      <c r="A720" s="5" t="s">
        <v>3520</v>
      </c>
      <c r="B720" s="5" t="s">
        <v>20</v>
      </c>
      <c r="C720" s="3" t="s">
        <v>3521</v>
      </c>
      <c r="D720" s="6">
        <v>2026</v>
      </c>
      <c r="E720" s="3" t="s">
        <v>3522</v>
      </c>
      <c r="F720" s="3" t="s">
        <v>3523</v>
      </c>
      <c r="G720" s="5" t="s">
        <v>115</v>
      </c>
      <c r="H720" s="5" t="s">
        <v>3524</v>
      </c>
      <c r="I720" s="5"/>
      <c r="J720" s="3"/>
    </row>
    <row r="721" spans="1:10" ht="299.25" customHeight="1">
      <c r="A721" s="5" t="s">
        <v>3525</v>
      </c>
      <c r="B721" s="5" t="s">
        <v>20</v>
      </c>
      <c r="C721" s="3" t="s">
        <v>3526</v>
      </c>
      <c r="D721" s="6">
        <v>2026</v>
      </c>
      <c r="E721" s="3" t="s">
        <v>3527</v>
      </c>
      <c r="F721" s="3" t="s">
        <v>3528</v>
      </c>
      <c r="G721" s="5" t="s">
        <v>110</v>
      </c>
      <c r="H721" s="5" t="s">
        <v>3529</v>
      </c>
      <c r="I721" s="5"/>
      <c r="J721" s="3"/>
    </row>
    <row r="722" spans="1:10" ht="256.5" customHeight="1">
      <c r="A722" s="5" t="s">
        <v>3530</v>
      </c>
      <c r="B722" s="5" t="s">
        <v>20</v>
      </c>
      <c r="C722" s="3" t="s">
        <v>3531</v>
      </c>
      <c r="D722" s="6">
        <v>2026</v>
      </c>
      <c r="E722" s="3" t="s">
        <v>3532</v>
      </c>
      <c r="F722" s="3" t="s">
        <v>3533</v>
      </c>
      <c r="G722" s="5" t="s">
        <v>115</v>
      </c>
      <c r="H722" s="5" t="s">
        <v>3534</v>
      </c>
      <c r="I722" s="5"/>
      <c r="J722" s="3"/>
    </row>
    <row r="723" spans="1:10" ht="171" customHeight="1">
      <c r="A723" s="5" t="s">
        <v>3535</v>
      </c>
      <c r="B723" s="5" t="s">
        <v>20</v>
      </c>
      <c r="C723" s="3" t="s">
        <v>3536</v>
      </c>
      <c r="D723" s="6">
        <v>2026</v>
      </c>
      <c r="E723" s="3" t="s">
        <v>3537</v>
      </c>
      <c r="F723" s="3" t="s">
        <v>3538</v>
      </c>
      <c r="G723" s="5" t="s">
        <v>115</v>
      </c>
      <c r="H723" s="5" t="s">
        <v>3539</v>
      </c>
      <c r="I723" s="5"/>
      <c r="J723" s="3"/>
    </row>
    <row r="724" spans="1:10" ht="242.25" customHeight="1">
      <c r="A724" s="5" t="s">
        <v>3540</v>
      </c>
      <c r="B724" s="5" t="s">
        <v>20</v>
      </c>
      <c r="C724" s="3" t="s">
        <v>3541</v>
      </c>
      <c r="D724" s="6">
        <v>2026</v>
      </c>
      <c r="E724" s="3" t="s">
        <v>3542</v>
      </c>
      <c r="F724" s="3" t="s">
        <v>3543</v>
      </c>
      <c r="G724" s="5" t="s">
        <v>115</v>
      </c>
      <c r="H724" s="5" t="s">
        <v>3544</v>
      </c>
      <c r="I724" s="5"/>
      <c r="J724" s="3"/>
    </row>
    <row r="725" spans="1:10" ht="256.5" customHeight="1">
      <c r="A725" s="5" t="s">
        <v>3545</v>
      </c>
      <c r="B725" s="5" t="s">
        <v>20</v>
      </c>
      <c r="C725" s="3" t="s">
        <v>3546</v>
      </c>
      <c r="D725" s="6">
        <v>2026</v>
      </c>
      <c r="E725" s="3" t="s">
        <v>3547</v>
      </c>
      <c r="F725" s="3" t="s">
        <v>3548</v>
      </c>
      <c r="G725" s="5" t="s">
        <v>110</v>
      </c>
      <c r="H725" s="5" t="s">
        <v>3549</v>
      </c>
      <c r="I725" s="5"/>
      <c r="J725" s="3"/>
    </row>
    <row r="726" spans="1:10" ht="213.75" customHeight="1">
      <c r="A726" s="5" t="s">
        <v>3550</v>
      </c>
      <c r="B726" s="5" t="s">
        <v>20</v>
      </c>
      <c r="C726" s="3" t="s">
        <v>3551</v>
      </c>
      <c r="D726" s="6">
        <v>2025</v>
      </c>
      <c r="E726" s="3" t="s">
        <v>3552</v>
      </c>
      <c r="F726" s="3" t="s">
        <v>3553</v>
      </c>
      <c r="G726" s="5" t="s">
        <v>110</v>
      </c>
      <c r="H726" s="5" t="s">
        <v>3554</v>
      </c>
      <c r="I726" s="5"/>
      <c r="J726" s="3"/>
    </row>
    <row r="727" spans="1:10" ht="285" customHeight="1">
      <c r="A727" s="5" t="s">
        <v>3555</v>
      </c>
      <c r="B727" s="5" t="s">
        <v>20</v>
      </c>
      <c r="C727" s="3" t="s">
        <v>3556</v>
      </c>
      <c r="D727" s="6">
        <v>2026</v>
      </c>
      <c r="E727" s="3" t="s">
        <v>3557</v>
      </c>
      <c r="F727" s="3" t="s">
        <v>3558</v>
      </c>
      <c r="G727" s="5" t="s">
        <v>110</v>
      </c>
      <c r="H727" s="5" t="s">
        <v>3559</v>
      </c>
      <c r="I727" s="5"/>
      <c r="J727" s="3"/>
    </row>
    <row r="728" spans="1:10" ht="171" customHeight="1">
      <c r="A728" s="5" t="s">
        <v>3560</v>
      </c>
      <c r="B728" s="5" t="s">
        <v>20</v>
      </c>
      <c r="C728" s="3" t="s">
        <v>3561</v>
      </c>
      <c r="D728" s="6">
        <v>2026</v>
      </c>
      <c r="E728" s="3" t="s">
        <v>3562</v>
      </c>
      <c r="F728" s="3" t="s">
        <v>3563</v>
      </c>
      <c r="G728" s="5" t="s">
        <v>115</v>
      </c>
      <c r="H728" s="5" t="s">
        <v>3564</v>
      </c>
      <c r="I728" s="5"/>
      <c r="J728" s="3"/>
    </row>
    <row r="729" spans="1:10" ht="409.5" customHeight="1">
      <c r="A729" s="5" t="s">
        <v>3565</v>
      </c>
      <c r="B729" s="5" t="s">
        <v>20</v>
      </c>
      <c r="C729" s="3" t="s">
        <v>3566</v>
      </c>
      <c r="D729" s="6">
        <v>2026</v>
      </c>
      <c r="E729" s="3" t="s">
        <v>3567</v>
      </c>
      <c r="F729" s="3" t="s">
        <v>3568</v>
      </c>
      <c r="G729" s="5" t="s">
        <v>110</v>
      </c>
      <c r="H729" s="5" t="s">
        <v>3569</v>
      </c>
      <c r="I729" s="5"/>
      <c r="J729" s="3"/>
    </row>
    <row r="730" spans="1:10" ht="313.5" customHeight="1">
      <c r="A730" s="5" t="s">
        <v>3570</v>
      </c>
      <c r="B730" s="5" t="s">
        <v>20</v>
      </c>
      <c r="C730" s="3" t="s">
        <v>3571</v>
      </c>
      <c r="D730" s="6">
        <v>2026</v>
      </c>
      <c r="E730" s="3" t="s">
        <v>3572</v>
      </c>
      <c r="F730" s="3" t="s">
        <v>3573</v>
      </c>
      <c r="G730" s="5" t="s">
        <v>110</v>
      </c>
      <c r="H730" s="5" t="s">
        <v>3574</v>
      </c>
      <c r="I730" s="5"/>
      <c r="J730" s="3"/>
    </row>
    <row r="731" spans="1:10" ht="327.75" customHeight="1">
      <c r="A731" s="5" t="s">
        <v>3575</v>
      </c>
      <c r="B731" s="5" t="s">
        <v>20</v>
      </c>
      <c r="C731" s="3" t="s">
        <v>3576</v>
      </c>
      <c r="D731" s="6">
        <v>2026</v>
      </c>
      <c r="E731" s="3" t="s">
        <v>3577</v>
      </c>
      <c r="F731" s="3" t="s">
        <v>3578</v>
      </c>
      <c r="G731" s="5" t="s">
        <v>115</v>
      </c>
      <c r="H731" s="5" t="s">
        <v>3579</v>
      </c>
      <c r="I731" s="5"/>
      <c r="J731" s="3"/>
    </row>
    <row r="732" spans="1:10" ht="171" customHeight="1">
      <c r="A732" s="5" t="s">
        <v>3580</v>
      </c>
      <c r="B732" s="5" t="s">
        <v>20</v>
      </c>
      <c r="C732" s="3" t="s">
        <v>3581</v>
      </c>
      <c r="D732" s="6">
        <v>2025</v>
      </c>
      <c r="E732" s="3" t="s">
        <v>3582</v>
      </c>
      <c r="F732" s="3" t="s">
        <v>3583</v>
      </c>
      <c r="G732" s="5" t="s">
        <v>110</v>
      </c>
      <c r="H732" s="5" t="s">
        <v>3584</v>
      </c>
      <c r="I732" s="5"/>
      <c r="J732" s="3"/>
    </row>
    <row r="733" spans="1:10" ht="256.5" customHeight="1">
      <c r="A733" s="5" t="s">
        <v>3585</v>
      </c>
      <c r="B733" s="5" t="s">
        <v>20</v>
      </c>
      <c r="C733" s="3" t="s">
        <v>3586</v>
      </c>
      <c r="D733" s="6">
        <v>2026</v>
      </c>
      <c r="E733" s="3" t="s">
        <v>3587</v>
      </c>
      <c r="F733" s="3" t="s">
        <v>3588</v>
      </c>
      <c r="G733" s="5" t="s">
        <v>115</v>
      </c>
      <c r="H733" s="5" t="s">
        <v>3589</v>
      </c>
      <c r="I733" s="5"/>
      <c r="J733" s="3"/>
    </row>
    <row r="734" spans="1:10" ht="342" customHeight="1">
      <c r="A734" s="5" t="s">
        <v>3590</v>
      </c>
      <c r="B734" s="5" t="s">
        <v>20</v>
      </c>
      <c r="C734" s="3" t="s">
        <v>3591</v>
      </c>
      <c r="D734" s="6">
        <v>2026</v>
      </c>
      <c r="E734" s="3" t="s">
        <v>3592</v>
      </c>
      <c r="F734" s="3" t="s">
        <v>3593</v>
      </c>
      <c r="G734" s="5" t="s">
        <v>110</v>
      </c>
      <c r="H734" s="5" t="s">
        <v>3594</v>
      </c>
      <c r="I734" s="5"/>
      <c r="J734" s="3"/>
    </row>
    <row r="735" spans="1:10" ht="327.75" customHeight="1">
      <c r="A735" s="5" t="s">
        <v>1164</v>
      </c>
      <c r="B735" s="5" t="s">
        <v>20</v>
      </c>
      <c r="C735" s="3" t="s">
        <v>1165</v>
      </c>
      <c r="D735" s="6">
        <v>2026</v>
      </c>
      <c r="E735" s="3" t="s">
        <v>1166</v>
      </c>
      <c r="F735" s="3" t="s">
        <v>3595</v>
      </c>
      <c r="G735" s="5" t="s">
        <v>110</v>
      </c>
      <c r="H735" s="5" t="s">
        <v>3596</v>
      </c>
      <c r="I735" s="5"/>
      <c r="J735" s="3"/>
    </row>
    <row r="736" spans="1:10" ht="270.75" customHeight="1">
      <c r="A736" s="5" t="s">
        <v>3597</v>
      </c>
      <c r="B736" s="5" t="s">
        <v>20</v>
      </c>
      <c r="C736" s="3" t="s">
        <v>3598</v>
      </c>
      <c r="D736" s="6">
        <v>2026</v>
      </c>
      <c r="E736" s="3" t="s">
        <v>3599</v>
      </c>
      <c r="F736" s="3" t="s">
        <v>3600</v>
      </c>
      <c r="G736" s="5" t="s">
        <v>115</v>
      </c>
      <c r="H736" s="5" t="s">
        <v>3601</v>
      </c>
      <c r="I736" s="5"/>
      <c r="J736" s="3"/>
    </row>
    <row r="737" spans="1:10" ht="409.5" customHeight="1">
      <c r="A737" s="5" t="s">
        <v>3602</v>
      </c>
      <c r="B737" s="5" t="s">
        <v>20</v>
      </c>
      <c r="C737" s="3" t="s">
        <v>3603</v>
      </c>
      <c r="D737" s="6">
        <v>2026</v>
      </c>
      <c r="E737" s="3" t="s">
        <v>3604</v>
      </c>
      <c r="F737" s="3" t="s">
        <v>3605</v>
      </c>
      <c r="G737" s="5" t="s">
        <v>110</v>
      </c>
      <c r="H737" s="5" t="s">
        <v>3606</v>
      </c>
      <c r="I737" s="5"/>
      <c r="J737" s="3"/>
    </row>
    <row r="738" spans="1:10" ht="228" customHeight="1">
      <c r="A738" s="5" t="s">
        <v>3607</v>
      </c>
      <c r="B738" s="5" t="s">
        <v>20</v>
      </c>
      <c r="C738" s="3" t="s">
        <v>3608</v>
      </c>
      <c r="D738" s="6">
        <v>2026</v>
      </c>
      <c r="E738" s="3" t="s">
        <v>3609</v>
      </c>
      <c r="F738" s="3" t="s">
        <v>3610</v>
      </c>
      <c r="G738" s="5" t="s">
        <v>110</v>
      </c>
      <c r="H738" s="5" t="s">
        <v>3611</v>
      </c>
      <c r="I738" s="5"/>
      <c r="J738" s="3"/>
    </row>
    <row r="739" spans="1:10" ht="409.5" customHeight="1">
      <c r="A739" s="5" t="s">
        <v>1131</v>
      </c>
      <c r="B739" s="5" t="s">
        <v>20</v>
      </c>
      <c r="C739" s="3" t="s">
        <v>1132</v>
      </c>
      <c r="D739" s="6">
        <v>2026</v>
      </c>
      <c r="E739" s="3" t="s">
        <v>1133</v>
      </c>
      <c r="F739" s="3" t="s">
        <v>3612</v>
      </c>
      <c r="G739" s="5" t="s">
        <v>110</v>
      </c>
      <c r="H739" s="5" t="s">
        <v>3613</v>
      </c>
      <c r="I739" s="5"/>
      <c r="J739" s="3"/>
    </row>
    <row r="740" spans="1:10" ht="342" customHeight="1">
      <c r="A740" s="5" t="s">
        <v>3614</v>
      </c>
      <c r="B740" s="5" t="s">
        <v>20</v>
      </c>
      <c r="C740" s="3" t="s">
        <v>3615</v>
      </c>
      <c r="D740" s="6">
        <v>2026</v>
      </c>
      <c r="E740" s="3" t="s">
        <v>3616</v>
      </c>
      <c r="F740" s="3" t="s">
        <v>3617</v>
      </c>
      <c r="G740" s="5" t="s">
        <v>110</v>
      </c>
      <c r="H740" s="5" t="s">
        <v>3618</v>
      </c>
      <c r="I740" s="5"/>
      <c r="J740" s="3"/>
    </row>
    <row r="741" spans="1:10" ht="409.5" customHeight="1">
      <c r="A741" s="5" t="s">
        <v>3619</v>
      </c>
      <c r="B741" s="5" t="s">
        <v>20</v>
      </c>
      <c r="C741" s="3" t="s">
        <v>3620</v>
      </c>
      <c r="D741" s="6">
        <v>2026</v>
      </c>
      <c r="E741" s="3" t="s">
        <v>3621</v>
      </c>
      <c r="F741" s="3" t="s">
        <v>3622</v>
      </c>
      <c r="G741" s="5" t="s">
        <v>110</v>
      </c>
      <c r="H741" s="5" t="s">
        <v>3623</v>
      </c>
      <c r="I741" s="5"/>
      <c r="J741" s="3"/>
    </row>
    <row r="742" spans="1:10" ht="285" customHeight="1">
      <c r="A742" s="5" t="s">
        <v>3624</v>
      </c>
      <c r="B742" s="5" t="s">
        <v>20</v>
      </c>
      <c r="C742" s="3" t="s">
        <v>3625</v>
      </c>
      <c r="D742" s="6">
        <v>2025</v>
      </c>
      <c r="E742" s="3" t="s">
        <v>3626</v>
      </c>
      <c r="F742" s="3" t="s">
        <v>3627</v>
      </c>
      <c r="G742" s="5" t="s">
        <v>110</v>
      </c>
      <c r="H742" s="5" t="s">
        <v>3628</v>
      </c>
      <c r="I742" s="5"/>
      <c r="J742" s="3"/>
    </row>
    <row r="743" spans="1:10" ht="185.25" customHeight="1">
      <c r="A743" s="5" t="s">
        <v>3629</v>
      </c>
      <c r="B743" s="5" t="s">
        <v>20</v>
      </c>
      <c r="C743" s="3" t="s">
        <v>3630</v>
      </c>
      <c r="D743" s="6">
        <v>2025</v>
      </c>
      <c r="E743" s="3" t="s">
        <v>3631</v>
      </c>
      <c r="F743" s="3" t="s">
        <v>3632</v>
      </c>
      <c r="G743" s="5" t="s">
        <v>115</v>
      </c>
      <c r="H743" s="5" t="s">
        <v>3633</v>
      </c>
      <c r="I743" s="5"/>
      <c r="J743" s="3"/>
    </row>
    <row r="744" spans="1:10" ht="242.25" customHeight="1">
      <c r="A744" s="5" t="s">
        <v>3634</v>
      </c>
      <c r="B744" s="5" t="s">
        <v>20</v>
      </c>
      <c r="C744" s="3" t="s">
        <v>3635</v>
      </c>
      <c r="D744" s="6">
        <v>2025</v>
      </c>
      <c r="E744" s="3" t="s">
        <v>3636</v>
      </c>
      <c r="F744" s="3" t="s">
        <v>3637</v>
      </c>
      <c r="G744" s="5" t="s">
        <v>115</v>
      </c>
      <c r="H744" s="5" t="s">
        <v>3638</v>
      </c>
      <c r="I744" s="5"/>
      <c r="J744" s="3"/>
    </row>
    <row r="745" spans="1:10" ht="270.75" customHeight="1">
      <c r="A745" s="5" t="s">
        <v>3639</v>
      </c>
      <c r="B745" s="5" t="s">
        <v>20</v>
      </c>
      <c r="C745" s="3" t="s">
        <v>3640</v>
      </c>
      <c r="D745" s="6">
        <v>2026</v>
      </c>
      <c r="E745" s="3" t="s">
        <v>3641</v>
      </c>
      <c r="F745" s="3" t="s">
        <v>3642</v>
      </c>
      <c r="G745" s="5" t="s">
        <v>115</v>
      </c>
      <c r="H745" s="5" t="s">
        <v>3643</v>
      </c>
      <c r="I745" s="5"/>
      <c r="J745" s="3"/>
    </row>
    <row r="746" spans="1:10" ht="409.5" customHeight="1">
      <c r="A746" s="5" t="s">
        <v>3644</v>
      </c>
      <c r="B746" s="5" t="s">
        <v>20</v>
      </c>
      <c r="C746" s="3" t="s">
        <v>3645</v>
      </c>
      <c r="D746" s="6">
        <v>2026</v>
      </c>
      <c r="E746" s="3" t="s">
        <v>3646</v>
      </c>
      <c r="F746" s="3" t="s">
        <v>3647</v>
      </c>
      <c r="G746" s="5" t="s">
        <v>110</v>
      </c>
      <c r="H746" s="5" t="s">
        <v>3648</v>
      </c>
      <c r="I746" s="5"/>
      <c r="J746" s="3"/>
    </row>
    <row r="747" spans="1:10" ht="342" customHeight="1">
      <c r="A747" s="5" t="s">
        <v>3649</v>
      </c>
      <c r="B747" s="5" t="s">
        <v>20</v>
      </c>
      <c r="C747" s="3" t="s">
        <v>3650</v>
      </c>
      <c r="D747" s="6">
        <v>2025</v>
      </c>
      <c r="E747" s="3" t="s">
        <v>3651</v>
      </c>
      <c r="F747" s="3" t="s">
        <v>3652</v>
      </c>
      <c r="G747" s="5" t="s">
        <v>110</v>
      </c>
      <c r="H747" s="5" t="s">
        <v>3653</v>
      </c>
      <c r="I747" s="5"/>
      <c r="J747" s="3"/>
    </row>
    <row r="748" spans="1:10" ht="185.25" customHeight="1">
      <c r="A748" s="5" t="s">
        <v>3654</v>
      </c>
      <c r="B748" s="5" t="s">
        <v>20</v>
      </c>
      <c r="C748" s="3" t="s">
        <v>3655</v>
      </c>
      <c r="D748" s="6">
        <v>2026</v>
      </c>
      <c r="E748" s="3" t="s">
        <v>3656</v>
      </c>
      <c r="F748" s="3" t="s">
        <v>3657</v>
      </c>
      <c r="G748" s="5" t="s">
        <v>115</v>
      </c>
      <c r="H748" s="5" t="s">
        <v>3658</v>
      </c>
      <c r="I748" s="5"/>
      <c r="J748" s="3"/>
    </row>
    <row r="749" spans="1:10" ht="270.75" customHeight="1">
      <c r="A749" s="5" t="s">
        <v>3659</v>
      </c>
      <c r="B749" s="5" t="s">
        <v>20</v>
      </c>
      <c r="C749" s="3" t="s">
        <v>3660</v>
      </c>
      <c r="D749" s="6">
        <v>2026</v>
      </c>
      <c r="E749" s="3" t="s">
        <v>3661</v>
      </c>
      <c r="F749" s="3" t="s">
        <v>3662</v>
      </c>
      <c r="G749" s="5" t="s">
        <v>110</v>
      </c>
      <c r="H749" s="5"/>
      <c r="I749" s="5"/>
      <c r="J749" s="3"/>
    </row>
    <row r="750" spans="1:10" ht="409.5" customHeight="1">
      <c r="A750" s="5" t="s">
        <v>3663</v>
      </c>
      <c r="B750" s="5" t="s">
        <v>20</v>
      </c>
      <c r="C750" s="3" t="s">
        <v>3664</v>
      </c>
      <c r="D750" s="6">
        <v>2026</v>
      </c>
      <c r="E750" s="3" t="s">
        <v>3665</v>
      </c>
      <c r="F750" s="3" t="s">
        <v>3666</v>
      </c>
      <c r="G750" s="5" t="s">
        <v>110</v>
      </c>
      <c r="H750" s="5" t="s">
        <v>3667</v>
      </c>
      <c r="I750" s="5"/>
      <c r="J750" s="3"/>
    </row>
    <row r="751" spans="1:10" ht="270.75" customHeight="1">
      <c r="A751" s="5" t="s">
        <v>3668</v>
      </c>
      <c r="B751" s="5" t="s">
        <v>20</v>
      </c>
      <c r="C751" s="3" t="s">
        <v>3669</v>
      </c>
      <c r="D751" s="6">
        <v>2026</v>
      </c>
      <c r="E751" s="3" t="s">
        <v>3670</v>
      </c>
      <c r="F751" s="3" t="s">
        <v>3671</v>
      </c>
      <c r="G751" s="5" t="s">
        <v>115</v>
      </c>
      <c r="H751" s="5" t="s">
        <v>3672</v>
      </c>
      <c r="I751" s="5"/>
      <c r="J751" s="3"/>
    </row>
    <row r="752" spans="1:10" ht="270.75" customHeight="1">
      <c r="A752" s="5" t="s">
        <v>3673</v>
      </c>
      <c r="B752" s="5" t="s">
        <v>20</v>
      </c>
      <c r="C752" s="3" t="s">
        <v>3674</v>
      </c>
      <c r="D752" s="6">
        <v>2026</v>
      </c>
      <c r="E752" s="3" t="s">
        <v>3675</v>
      </c>
      <c r="F752" s="3" t="s">
        <v>3676</v>
      </c>
      <c r="G752" s="5" t="s">
        <v>110</v>
      </c>
      <c r="H752" s="5" t="s">
        <v>3677</v>
      </c>
      <c r="I752" s="5"/>
      <c r="J752" s="3"/>
    </row>
    <row r="753" spans="1:10" ht="409.5" customHeight="1">
      <c r="A753" s="5" t="s">
        <v>3678</v>
      </c>
      <c r="B753" s="5" t="s">
        <v>20</v>
      </c>
      <c r="C753" s="3" t="s">
        <v>3679</v>
      </c>
      <c r="D753" s="6">
        <v>2026</v>
      </c>
      <c r="E753" s="3" t="s">
        <v>3680</v>
      </c>
      <c r="F753" s="3" t="s">
        <v>3681</v>
      </c>
      <c r="G753" s="5" t="s">
        <v>110</v>
      </c>
      <c r="H753" s="5" t="s">
        <v>3682</v>
      </c>
      <c r="I753" s="5"/>
      <c r="J753" s="3"/>
    </row>
    <row r="754" spans="1:10" ht="327.75" customHeight="1">
      <c r="A754" s="5" t="s">
        <v>3683</v>
      </c>
      <c r="B754" s="5" t="s">
        <v>20</v>
      </c>
      <c r="C754" s="3" t="s">
        <v>3684</v>
      </c>
      <c r="D754" s="6">
        <v>2026</v>
      </c>
      <c r="E754" s="3" t="s">
        <v>3685</v>
      </c>
      <c r="F754" s="3" t="s">
        <v>3686</v>
      </c>
      <c r="G754" s="5" t="s">
        <v>110</v>
      </c>
      <c r="H754" s="5" t="s">
        <v>3687</v>
      </c>
      <c r="I754" s="5"/>
      <c r="J754" s="3"/>
    </row>
    <row r="755" spans="1:10" ht="299.25" customHeight="1">
      <c r="A755" s="5" t="s">
        <v>3688</v>
      </c>
      <c r="B755" s="5" t="s">
        <v>20</v>
      </c>
      <c r="C755" s="3" t="s">
        <v>3689</v>
      </c>
      <c r="D755" s="6">
        <v>2026</v>
      </c>
      <c r="E755" s="3" t="s">
        <v>3690</v>
      </c>
      <c r="F755" s="3" t="s">
        <v>3691</v>
      </c>
      <c r="G755" s="5" t="s">
        <v>115</v>
      </c>
      <c r="H755" s="5" t="s">
        <v>3692</v>
      </c>
      <c r="I755" s="5"/>
      <c r="J755" s="3"/>
    </row>
    <row r="756" spans="1:10" ht="156.75" customHeight="1">
      <c r="A756" s="5" t="s">
        <v>3693</v>
      </c>
      <c r="B756" s="5" t="s">
        <v>20</v>
      </c>
      <c r="C756" s="3" t="s">
        <v>3694</v>
      </c>
      <c r="D756" s="6">
        <v>2025</v>
      </c>
      <c r="E756" s="3" t="s">
        <v>3695</v>
      </c>
      <c r="F756" s="3" t="s">
        <v>3696</v>
      </c>
      <c r="G756" s="5" t="s">
        <v>110</v>
      </c>
      <c r="H756" s="5" t="s">
        <v>3697</v>
      </c>
      <c r="I756" s="5"/>
      <c r="J756" s="3"/>
    </row>
    <row r="757" spans="1:10" ht="213.75" customHeight="1">
      <c r="A757" s="5" t="s">
        <v>3698</v>
      </c>
      <c r="B757" s="5" t="s">
        <v>20</v>
      </c>
      <c r="C757" s="3" t="s">
        <v>3699</v>
      </c>
      <c r="D757" s="6">
        <v>2026</v>
      </c>
      <c r="E757" s="3" t="s">
        <v>3700</v>
      </c>
      <c r="F757" s="3" t="s">
        <v>3701</v>
      </c>
      <c r="G757" s="5" t="s">
        <v>115</v>
      </c>
      <c r="H757" s="5" t="s">
        <v>3702</v>
      </c>
      <c r="I757" s="5"/>
      <c r="J757" s="3"/>
    </row>
    <row r="758" spans="1:10" ht="409.5" customHeight="1">
      <c r="A758" s="5" t="s">
        <v>3703</v>
      </c>
      <c r="B758" s="5" t="s">
        <v>20</v>
      </c>
      <c r="C758" s="3" t="s">
        <v>3704</v>
      </c>
      <c r="D758" s="6">
        <v>2025</v>
      </c>
      <c r="E758" s="3" t="s">
        <v>3705</v>
      </c>
      <c r="F758" s="3" t="s">
        <v>3706</v>
      </c>
      <c r="G758" s="5" t="s">
        <v>110</v>
      </c>
      <c r="H758" s="5" t="s">
        <v>3707</v>
      </c>
      <c r="I758" s="5"/>
      <c r="J758" s="3"/>
    </row>
    <row r="759" spans="1:10" ht="327.75" customHeight="1">
      <c r="A759" s="5" t="s">
        <v>3708</v>
      </c>
      <c r="B759" s="5" t="s">
        <v>20</v>
      </c>
      <c r="C759" s="3" t="s">
        <v>3709</v>
      </c>
      <c r="D759" s="6">
        <v>2026</v>
      </c>
      <c r="E759" s="3" t="s">
        <v>3710</v>
      </c>
      <c r="F759" s="3" t="s">
        <v>3711</v>
      </c>
      <c r="G759" s="5" t="s">
        <v>110</v>
      </c>
      <c r="H759" s="5" t="s">
        <v>3712</v>
      </c>
      <c r="I759" s="5"/>
      <c r="J759" s="3"/>
    </row>
    <row r="760" spans="1:10" ht="342" customHeight="1">
      <c r="A760" s="5" t="s">
        <v>1114</v>
      </c>
      <c r="B760" s="5" t="s">
        <v>20</v>
      </c>
      <c r="C760" s="3" t="s">
        <v>1115</v>
      </c>
      <c r="D760" s="6">
        <v>2026</v>
      </c>
      <c r="E760" s="3" t="s">
        <v>1116</v>
      </c>
      <c r="F760" s="3" t="s">
        <v>3713</v>
      </c>
      <c r="G760" s="5" t="s">
        <v>115</v>
      </c>
      <c r="H760" s="5" t="s">
        <v>3714</v>
      </c>
      <c r="I760" s="5"/>
      <c r="J760" s="3"/>
    </row>
    <row r="761" spans="1:10" ht="313.5" customHeight="1">
      <c r="A761" s="5" t="s">
        <v>3715</v>
      </c>
      <c r="B761" s="5" t="s">
        <v>20</v>
      </c>
      <c r="C761" s="3" t="s">
        <v>3716</v>
      </c>
      <c r="D761" s="6">
        <v>2026</v>
      </c>
      <c r="E761" s="3" t="s">
        <v>3717</v>
      </c>
      <c r="F761" s="3" t="s">
        <v>3718</v>
      </c>
      <c r="G761" s="5" t="s">
        <v>110</v>
      </c>
      <c r="H761" s="5" t="s">
        <v>3719</v>
      </c>
      <c r="I761" s="5"/>
      <c r="J761" s="3"/>
    </row>
    <row r="762" spans="1:10" ht="242.25" customHeight="1">
      <c r="A762" s="5" t="s">
        <v>3720</v>
      </c>
      <c r="B762" s="5" t="s">
        <v>20</v>
      </c>
      <c r="C762" s="3" t="s">
        <v>3721</v>
      </c>
      <c r="D762" s="6">
        <v>2026</v>
      </c>
      <c r="E762" s="3" t="s">
        <v>3722</v>
      </c>
      <c r="F762" s="3" t="s">
        <v>3723</v>
      </c>
      <c r="G762" s="5" t="s">
        <v>110</v>
      </c>
      <c r="H762" s="5" t="s">
        <v>3724</v>
      </c>
      <c r="I762" s="5"/>
      <c r="J762" s="3"/>
    </row>
    <row r="763" spans="1:10" ht="199.5" customHeight="1">
      <c r="A763" s="5" t="s">
        <v>3725</v>
      </c>
      <c r="B763" s="5" t="s">
        <v>20</v>
      </c>
      <c r="C763" s="3" t="s">
        <v>3726</v>
      </c>
      <c r="D763" s="6">
        <v>2026</v>
      </c>
      <c r="E763" s="3" t="s">
        <v>3727</v>
      </c>
      <c r="F763" s="3" t="s">
        <v>3728</v>
      </c>
      <c r="G763" s="5" t="s">
        <v>110</v>
      </c>
      <c r="H763" s="5" t="s">
        <v>3729</v>
      </c>
      <c r="I763" s="5"/>
      <c r="J763" s="3"/>
    </row>
    <row r="764" spans="1:10" ht="285" customHeight="1">
      <c r="A764" s="5" t="s">
        <v>3730</v>
      </c>
      <c r="B764" s="5" t="s">
        <v>20</v>
      </c>
      <c r="C764" s="3" t="s">
        <v>3731</v>
      </c>
      <c r="D764" s="6">
        <v>2025</v>
      </c>
      <c r="E764" s="3" t="s">
        <v>3732</v>
      </c>
      <c r="F764" s="3" t="s">
        <v>3733</v>
      </c>
      <c r="G764" s="5" t="s">
        <v>110</v>
      </c>
      <c r="H764" s="5" t="s">
        <v>3734</v>
      </c>
      <c r="I764" s="5"/>
      <c r="J764" s="3"/>
    </row>
    <row r="765" spans="1:10" ht="228" customHeight="1">
      <c r="A765" s="5" t="s">
        <v>3735</v>
      </c>
      <c r="B765" s="5" t="s">
        <v>20</v>
      </c>
      <c r="C765" s="3" t="s">
        <v>3736</v>
      </c>
      <c r="D765" s="6">
        <v>2025</v>
      </c>
      <c r="E765" s="3" t="s">
        <v>3737</v>
      </c>
      <c r="F765" s="3" t="s">
        <v>3738</v>
      </c>
      <c r="G765" s="5" t="s">
        <v>110</v>
      </c>
      <c r="H765" s="5" t="s">
        <v>3739</v>
      </c>
      <c r="I765" s="5"/>
      <c r="J765" s="3"/>
    </row>
    <row r="766" spans="1:10" ht="356.25" customHeight="1">
      <c r="A766" s="5" t="s">
        <v>3740</v>
      </c>
      <c r="B766" s="5" t="s">
        <v>20</v>
      </c>
      <c r="C766" s="3" t="s">
        <v>3741</v>
      </c>
      <c r="D766" s="6">
        <v>2026</v>
      </c>
      <c r="E766" s="3" t="s">
        <v>3742</v>
      </c>
      <c r="F766" s="3" t="s">
        <v>3743</v>
      </c>
      <c r="G766" s="5" t="s">
        <v>110</v>
      </c>
      <c r="H766" s="5"/>
      <c r="I766" s="5"/>
      <c r="J766" s="3"/>
    </row>
    <row r="767" spans="1:10" ht="327.75" customHeight="1">
      <c r="A767" s="5" t="s">
        <v>3744</v>
      </c>
      <c r="B767" s="5" t="s">
        <v>20</v>
      </c>
      <c r="C767" s="3" t="s">
        <v>3745</v>
      </c>
      <c r="D767" s="6">
        <v>2025</v>
      </c>
      <c r="E767" s="3" t="s">
        <v>3746</v>
      </c>
      <c r="F767" s="3" t="s">
        <v>3747</v>
      </c>
      <c r="G767" s="5" t="s">
        <v>110</v>
      </c>
      <c r="H767" s="5" t="s">
        <v>3748</v>
      </c>
      <c r="I767" s="5"/>
      <c r="J767" s="3"/>
    </row>
    <row r="768" spans="1:10" ht="156.75" customHeight="1">
      <c r="A768" s="5" t="s">
        <v>3749</v>
      </c>
      <c r="B768" s="5" t="s">
        <v>20</v>
      </c>
      <c r="C768" s="3" t="s">
        <v>3750</v>
      </c>
      <c r="D768" s="6">
        <v>2026</v>
      </c>
      <c r="E768" s="3" t="s">
        <v>3751</v>
      </c>
      <c r="F768" s="3" t="s">
        <v>3752</v>
      </c>
      <c r="G768" s="5" t="s">
        <v>115</v>
      </c>
      <c r="H768" s="5" t="s">
        <v>3753</v>
      </c>
      <c r="I768" s="5"/>
      <c r="J768" s="3"/>
    </row>
    <row r="769" spans="1:10" ht="409.5" customHeight="1">
      <c r="A769" s="5" t="s">
        <v>3754</v>
      </c>
      <c r="B769" s="5" t="s">
        <v>20</v>
      </c>
      <c r="C769" s="3" t="s">
        <v>3755</v>
      </c>
      <c r="D769" s="6">
        <v>2025</v>
      </c>
      <c r="E769" s="3" t="s">
        <v>3756</v>
      </c>
      <c r="F769" s="3" t="s">
        <v>3757</v>
      </c>
      <c r="G769" s="5" t="s">
        <v>110</v>
      </c>
      <c r="H769" s="5" t="s">
        <v>3758</v>
      </c>
      <c r="I769" s="5"/>
      <c r="J769" s="3"/>
    </row>
    <row r="770" spans="1:10" ht="327.75" customHeight="1">
      <c r="A770" s="5" t="s">
        <v>3759</v>
      </c>
      <c r="B770" s="5" t="s">
        <v>20</v>
      </c>
      <c r="C770" s="3" t="s">
        <v>3760</v>
      </c>
      <c r="D770" s="6">
        <v>2026</v>
      </c>
      <c r="E770" s="3" t="s">
        <v>3761</v>
      </c>
      <c r="F770" s="3" t="s">
        <v>3762</v>
      </c>
      <c r="G770" s="5" t="s">
        <v>115</v>
      </c>
      <c r="H770" s="5" t="s">
        <v>3763</v>
      </c>
      <c r="I770" s="5"/>
      <c r="J770" s="3"/>
    </row>
    <row r="771" spans="1:10" ht="409.5" customHeight="1">
      <c r="A771" s="5" t="s">
        <v>3764</v>
      </c>
      <c r="B771" s="5" t="s">
        <v>20</v>
      </c>
      <c r="C771" s="3" t="s">
        <v>3765</v>
      </c>
      <c r="D771" s="6">
        <v>2026</v>
      </c>
      <c r="E771" s="3" t="s">
        <v>3766</v>
      </c>
      <c r="F771" s="3" t="s">
        <v>3767</v>
      </c>
      <c r="G771" s="5" t="s">
        <v>110</v>
      </c>
      <c r="H771" s="5" t="s">
        <v>3768</v>
      </c>
      <c r="I771" s="5"/>
      <c r="J771" s="3"/>
    </row>
    <row r="772" spans="1:10" ht="313.5" customHeight="1">
      <c r="A772" s="5" t="s">
        <v>3769</v>
      </c>
      <c r="B772" s="5" t="s">
        <v>20</v>
      </c>
      <c r="C772" s="3" t="s">
        <v>3770</v>
      </c>
      <c r="D772" s="6">
        <v>2026</v>
      </c>
      <c r="E772" s="3" t="s">
        <v>3771</v>
      </c>
      <c r="F772" s="3" t="s">
        <v>3772</v>
      </c>
      <c r="G772" s="5" t="s">
        <v>110</v>
      </c>
      <c r="H772" s="5" t="s">
        <v>3773</v>
      </c>
      <c r="I772" s="5"/>
      <c r="J772" s="3"/>
    </row>
    <row r="773" spans="1:10" ht="327.75" customHeight="1">
      <c r="A773" s="5" t="s">
        <v>3774</v>
      </c>
      <c r="B773" s="5" t="s">
        <v>20</v>
      </c>
      <c r="C773" s="3" t="s">
        <v>3775</v>
      </c>
      <c r="D773" s="6">
        <v>2025</v>
      </c>
      <c r="E773" s="3" t="s">
        <v>3776</v>
      </c>
      <c r="F773" s="3" t="s">
        <v>3777</v>
      </c>
      <c r="G773" s="5" t="s">
        <v>110</v>
      </c>
      <c r="H773" s="5" t="s">
        <v>3778</v>
      </c>
      <c r="I773" s="5"/>
      <c r="J773" s="3"/>
    </row>
    <row r="774" spans="1:10" ht="256.5" customHeight="1">
      <c r="A774" s="5" t="s">
        <v>3779</v>
      </c>
      <c r="B774" s="5" t="s">
        <v>20</v>
      </c>
      <c r="C774" s="3" t="s">
        <v>3780</v>
      </c>
      <c r="D774" s="6">
        <v>2026</v>
      </c>
      <c r="E774" s="3" t="s">
        <v>3781</v>
      </c>
      <c r="F774" s="3" t="s">
        <v>3782</v>
      </c>
      <c r="G774" s="5" t="s">
        <v>115</v>
      </c>
      <c r="H774" s="5" t="s">
        <v>3783</v>
      </c>
      <c r="I774" s="5"/>
      <c r="J774" s="3"/>
    </row>
    <row r="775" spans="1:10" ht="409.5" customHeight="1">
      <c r="A775" s="5" t="s">
        <v>3784</v>
      </c>
      <c r="B775" s="5" t="s">
        <v>20</v>
      </c>
      <c r="C775" s="3" t="s">
        <v>3785</v>
      </c>
      <c r="D775" s="6">
        <v>2026</v>
      </c>
      <c r="E775" s="3" t="s">
        <v>3786</v>
      </c>
      <c r="F775" s="3" t="s">
        <v>3787</v>
      </c>
      <c r="G775" s="5" t="s">
        <v>115</v>
      </c>
      <c r="H775" s="5" t="s">
        <v>3788</v>
      </c>
      <c r="I775" s="5"/>
      <c r="J775" s="3"/>
    </row>
    <row r="776" spans="1:10" ht="370.5" customHeight="1">
      <c r="A776" s="5" t="s">
        <v>3789</v>
      </c>
      <c r="B776" s="5" t="s">
        <v>20</v>
      </c>
      <c r="C776" s="3" t="s">
        <v>3790</v>
      </c>
      <c r="D776" s="6">
        <v>2026</v>
      </c>
      <c r="E776" s="3" t="s">
        <v>3791</v>
      </c>
      <c r="F776" s="3" t="s">
        <v>3792</v>
      </c>
      <c r="G776" s="5" t="s">
        <v>110</v>
      </c>
      <c r="H776" s="5"/>
      <c r="I776" s="5"/>
      <c r="J776" s="3"/>
    </row>
    <row r="777" spans="1:10" ht="270.75" customHeight="1">
      <c r="A777" s="5" t="s">
        <v>3793</v>
      </c>
      <c r="B777" s="5" t="s">
        <v>20</v>
      </c>
      <c r="C777" s="3" t="s">
        <v>3794</v>
      </c>
      <c r="D777" s="6">
        <v>2026</v>
      </c>
      <c r="E777" s="3" t="s">
        <v>3795</v>
      </c>
      <c r="F777" s="3" t="s">
        <v>3796</v>
      </c>
      <c r="G777" s="5" t="s">
        <v>110</v>
      </c>
      <c r="H777" s="5" t="s">
        <v>3797</v>
      </c>
      <c r="I777" s="5"/>
      <c r="J777" s="3"/>
    </row>
    <row r="778" spans="1:10" ht="342" customHeight="1">
      <c r="A778" s="5" t="s">
        <v>3798</v>
      </c>
      <c r="B778" s="5" t="s">
        <v>20</v>
      </c>
      <c r="C778" s="3" t="s">
        <v>3799</v>
      </c>
      <c r="D778" s="6">
        <v>2026</v>
      </c>
      <c r="E778" s="3" t="s">
        <v>3800</v>
      </c>
      <c r="F778" s="3" t="s">
        <v>3801</v>
      </c>
      <c r="G778" s="5" t="s">
        <v>115</v>
      </c>
      <c r="H778" s="5" t="s">
        <v>3802</v>
      </c>
      <c r="I778" s="5"/>
      <c r="J778" s="3"/>
    </row>
    <row r="779" spans="1:10" ht="228" customHeight="1">
      <c r="A779" s="5" t="s">
        <v>3803</v>
      </c>
      <c r="B779" s="5" t="s">
        <v>20</v>
      </c>
      <c r="C779" s="3" t="s">
        <v>3804</v>
      </c>
      <c r="D779" s="6">
        <v>2025</v>
      </c>
      <c r="E779" s="3" t="s">
        <v>3805</v>
      </c>
      <c r="F779" s="3" t="s">
        <v>3806</v>
      </c>
      <c r="G779" s="5" t="s">
        <v>110</v>
      </c>
      <c r="H779" s="5" t="s">
        <v>3807</v>
      </c>
      <c r="I779" s="5"/>
      <c r="J779" s="3"/>
    </row>
    <row r="780" spans="1:10" ht="242.25" customHeight="1">
      <c r="A780" s="5" t="s">
        <v>3808</v>
      </c>
      <c r="B780" s="5" t="s">
        <v>20</v>
      </c>
      <c r="C780" s="3" t="s">
        <v>3809</v>
      </c>
      <c r="D780" s="6">
        <v>2026</v>
      </c>
      <c r="E780" s="3" t="s">
        <v>3810</v>
      </c>
      <c r="F780" s="3" t="s">
        <v>3811</v>
      </c>
      <c r="G780" s="5" t="s">
        <v>110</v>
      </c>
      <c r="H780" s="5" t="s">
        <v>3812</v>
      </c>
      <c r="I780" s="5"/>
      <c r="J780" s="3"/>
    </row>
    <row r="781" spans="1:10" ht="199.5" customHeight="1">
      <c r="A781" s="5" t="s">
        <v>3813</v>
      </c>
      <c r="B781" s="5" t="s">
        <v>20</v>
      </c>
      <c r="C781" s="3" t="s">
        <v>3814</v>
      </c>
      <c r="D781" s="6">
        <v>2026</v>
      </c>
      <c r="E781" s="3" t="s">
        <v>3815</v>
      </c>
      <c r="F781" s="3" t="s">
        <v>3816</v>
      </c>
      <c r="G781" s="5" t="s">
        <v>115</v>
      </c>
      <c r="H781" s="5" t="s">
        <v>3817</v>
      </c>
      <c r="I781" s="5"/>
      <c r="J781" s="3"/>
    </row>
    <row r="782" spans="1:10" ht="285" customHeight="1">
      <c r="A782" s="5" t="s">
        <v>3818</v>
      </c>
      <c r="B782" s="5" t="s">
        <v>20</v>
      </c>
      <c r="C782" s="3" t="s">
        <v>3819</v>
      </c>
      <c r="D782" s="6">
        <v>2025</v>
      </c>
      <c r="E782" s="3" t="s">
        <v>3820</v>
      </c>
      <c r="F782" s="3" t="s">
        <v>3821</v>
      </c>
      <c r="G782" s="5" t="s">
        <v>110</v>
      </c>
      <c r="H782" s="5" t="s">
        <v>3822</v>
      </c>
      <c r="I782" s="5"/>
      <c r="J782" s="3"/>
    </row>
    <row r="783" spans="1:10" ht="285" customHeight="1">
      <c r="A783" s="5" t="s">
        <v>3823</v>
      </c>
      <c r="B783" s="5" t="s">
        <v>20</v>
      </c>
      <c r="C783" s="3" t="s">
        <v>3824</v>
      </c>
      <c r="D783" s="6">
        <v>2026</v>
      </c>
      <c r="E783" s="3" t="s">
        <v>3825</v>
      </c>
      <c r="F783" s="3" t="s">
        <v>3826</v>
      </c>
      <c r="G783" s="5" t="s">
        <v>110</v>
      </c>
      <c r="H783" s="5" t="s">
        <v>3827</v>
      </c>
      <c r="I783" s="5"/>
      <c r="J783" s="3"/>
    </row>
    <row r="784" spans="1:10" ht="409.5" customHeight="1">
      <c r="A784" s="5" t="s">
        <v>3828</v>
      </c>
      <c r="B784" s="5" t="s">
        <v>20</v>
      </c>
      <c r="C784" s="3" t="s">
        <v>3829</v>
      </c>
      <c r="D784" s="6">
        <v>2026</v>
      </c>
      <c r="E784" s="3" t="s">
        <v>3830</v>
      </c>
      <c r="F784" s="3" t="s">
        <v>3831</v>
      </c>
      <c r="G784" s="5" t="s">
        <v>110</v>
      </c>
      <c r="H784" s="5" t="s">
        <v>3832</v>
      </c>
      <c r="I784" s="5"/>
      <c r="J784" s="3"/>
    </row>
    <row r="785" spans="1:10" ht="242.25" customHeight="1">
      <c r="A785" s="5" t="s">
        <v>3833</v>
      </c>
      <c r="B785" s="5" t="s">
        <v>20</v>
      </c>
      <c r="C785" s="3" t="s">
        <v>3834</v>
      </c>
      <c r="D785" s="6">
        <v>2026</v>
      </c>
      <c r="E785" s="3" t="s">
        <v>3835</v>
      </c>
      <c r="F785" s="3" t="s">
        <v>3836</v>
      </c>
      <c r="G785" s="5" t="s">
        <v>115</v>
      </c>
      <c r="H785" s="5" t="s">
        <v>3837</v>
      </c>
      <c r="I785" s="5"/>
      <c r="J785" s="3"/>
    </row>
    <row r="786" spans="1:10" ht="356.25" customHeight="1">
      <c r="A786" s="5" t="s">
        <v>3838</v>
      </c>
      <c r="B786" s="5" t="s">
        <v>20</v>
      </c>
      <c r="C786" s="3" t="s">
        <v>3305</v>
      </c>
      <c r="D786" s="6">
        <v>2026</v>
      </c>
      <c r="E786" s="3" t="s">
        <v>3306</v>
      </c>
      <c r="F786" s="3" t="s">
        <v>3839</v>
      </c>
      <c r="G786" s="5" t="s">
        <v>110</v>
      </c>
      <c r="H786" s="5" t="s">
        <v>3840</v>
      </c>
      <c r="I786" s="5"/>
      <c r="J786" s="3"/>
    </row>
    <row r="787" spans="1:10" ht="409.5" customHeight="1">
      <c r="A787" s="5" t="s">
        <v>3841</v>
      </c>
      <c r="B787" s="5" t="s">
        <v>20</v>
      </c>
      <c r="C787" s="3" t="s">
        <v>3842</v>
      </c>
      <c r="D787" s="6">
        <v>2026</v>
      </c>
      <c r="E787" s="3" t="s">
        <v>3843</v>
      </c>
      <c r="F787" s="3" t="s">
        <v>3844</v>
      </c>
      <c r="G787" s="5" t="s">
        <v>110</v>
      </c>
      <c r="H787" s="5" t="s">
        <v>3845</v>
      </c>
      <c r="I787" s="5"/>
      <c r="J787" s="3"/>
    </row>
    <row r="788" spans="1:10" ht="409.5" customHeight="1">
      <c r="A788" s="5" t="s">
        <v>3846</v>
      </c>
      <c r="B788" s="5" t="s">
        <v>20</v>
      </c>
      <c r="C788" s="3" t="s">
        <v>3847</v>
      </c>
      <c r="D788" s="6">
        <v>2026</v>
      </c>
      <c r="E788" s="3" t="s">
        <v>3848</v>
      </c>
      <c r="F788" s="3" t="s">
        <v>3849</v>
      </c>
      <c r="G788" s="5" t="s">
        <v>110</v>
      </c>
      <c r="H788" s="5" t="s">
        <v>3850</v>
      </c>
      <c r="I788" s="5"/>
      <c r="J788" s="3"/>
    </row>
    <row r="789" spans="1:10" ht="299.25" customHeight="1">
      <c r="A789" s="5" t="s">
        <v>3851</v>
      </c>
      <c r="B789" s="5" t="s">
        <v>20</v>
      </c>
      <c r="C789" s="3" t="s">
        <v>3852</v>
      </c>
      <c r="D789" s="6">
        <v>2026</v>
      </c>
      <c r="E789" s="3" t="s">
        <v>3853</v>
      </c>
      <c r="F789" s="3" t="s">
        <v>3854</v>
      </c>
      <c r="G789" s="5" t="s">
        <v>115</v>
      </c>
      <c r="H789" s="5" t="s">
        <v>3855</v>
      </c>
      <c r="I789" s="5"/>
      <c r="J789" s="3"/>
    </row>
    <row r="790" spans="1:10" ht="242.25" customHeight="1">
      <c r="A790" s="5" t="s">
        <v>3856</v>
      </c>
      <c r="B790" s="5" t="s">
        <v>20</v>
      </c>
      <c r="C790" s="3" t="s">
        <v>3857</v>
      </c>
      <c r="D790" s="6">
        <v>2025</v>
      </c>
      <c r="E790" s="3" t="s">
        <v>3858</v>
      </c>
      <c r="F790" s="3" t="s">
        <v>3859</v>
      </c>
      <c r="G790" s="5" t="s">
        <v>110</v>
      </c>
      <c r="H790" s="5" t="s">
        <v>3860</v>
      </c>
      <c r="I790" s="5"/>
      <c r="J790" s="3"/>
    </row>
    <row r="791" spans="1:10" ht="256.5" customHeight="1">
      <c r="A791" s="5" t="s">
        <v>3861</v>
      </c>
      <c r="B791" s="5" t="s">
        <v>20</v>
      </c>
      <c r="C791" s="3" t="s">
        <v>3862</v>
      </c>
      <c r="D791" s="6">
        <v>2025</v>
      </c>
      <c r="E791" s="3" t="s">
        <v>3863</v>
      </c>
      <c r="F791" s="3" t="s">
        <v>3864</v>
      </c>
      <c r="G791" s="5" t="s">
        <v>110</v>
      </c>
      <c r="H791" s="5" t="s">
        <v>3865</v>
      </c>
      <c r="I791" s="5"/>
      <c r="J791" s="3"/>
    </row>
    <row r="792" spans="1:10" ht="384.75" customHeight="1">
      <c r="A792" s="5" t="s">
        <v>3866</v>
      </c>
      <c r="B792" s="5" t="s">
        <v>20</v>
      </c>
      <c r="C792" s="3" t="s">
        <v>3867</v>
      </c>
      <c r="D792" s="6">
        <v>2026</v>
      </c>
      <c r="E792" s="3" t="s">
        <v>3868</v>
      </c>
      <c r="F792" s="3" t="s">
        <v>3869</v>
      </c>
      <c r="G792" s="5" t="s">
        <v>110</v>
      </c>
      <c r="H792" s="5" t="s">
        <v>3870</v>
      </c>
      <c r="I792" s="5"/>
      <c r="J792" s="3"/>
    </row>
    <row r="793" spans="1:10" ht="213.75" customHeight="1">
      <c r="A793" s="5" t="s">
        <v>3871</v>
      </c>
      <c r="B793" s="5" t="s">
        <v>20</v>
      </c>
      <c r="C793" s="3" t="s">
        <v>3872</v>
      </c>
      <c r="D793" s="6">
        <v>2026</v>
      </c>
      <c r="E793" s="3" t="s">
        <v>3873</v>
      </c>
      <c r="F793" s="3" t="s">
        <v>3874</v>
      </c>
      <c r="G793" s="5" t="s">
        <v>115</v>
      </c>
      <c r="H793" s="5" t="s">
        <v>3875</v>
      </c>
      <c r="I793" s="5"/>
      <c r="J793" s="3"/>
    </row>
    <row r="794" spans="1:10" ht="256.5" customHeight="1">
      <c r="A794" s="5" t="s">
        <v>3876</v>
      </c>
      <c r="B794" s="5" t="s">
        <v>20</v>
      </c>
      <c r="C794" s="3" t="s">
        <v>3877</v>
      </c>
      <c r="D794" s="6">
        <v>2026</v>
      </c>
      <c r="E794" s="3" t="s">
        <v>3878</v>
      </c>
      <c r="F794" s="3" t="s">
        <v>3879</v>
      </c>
      <c r="G794" s="5" t="s">
        <v>110</v>
      </c>
      <c r="H794" s="5" t="s">
        <v>3880</v>
      </c>
      <c r="I794" s="5"/>
      <c r="J794" s="3"/>
    </row>
    <row r="795" spans="1:10" ht="409.5" customHeight="1">
      <c r="A795" s="5" t="s">
        <v>3881</v>
      </c>
      <c r="B795" s="5" t="s">
        <v>20</v>
      </c>
      <c r="C795" s="3" t="s">
        <v>3882</v>
      </c>
      <c r="D795" s="6">
        <v>2026</v>
      </c>
      <c r="E795" s="3" t="s">
        <v>3883</v>
      </c>
      <c r="F795" s="3" t="s">
        <v>3884</v>
      </c>
      <c r="G795" s="5" t="s">
        <v>110</v>
      </c>
      <c r="H795" s="5" t="s">
        <v>3885</v>
      </c>
      <c r="I795" s="5"/>
      <c r="J795" s="3"/>
    </row>
    <row r="796" spans="1:10" ht="370.5" customHeight="1">
      <c r="A796" s="5" t="s">
        <v>3886</v>
      </c>
      <c r="B796" s="5" t="s">
        <v>20</v>
      </c>
      <c r="C796" s="3" t="s">
        <v>3887</v>
      </c>
      <c r="D796" s="6">
        <v>2026</v>
      </c>
      <c r="E796" s="3" t="s">
        <v>3888</v>
      </c>
      <c r="F796" s="3" t="s">
        <v>3889</v>
      </c>
      <c r="G796" s="5" t="s">
        <v>115</v>
      </c>
      <c r="H796" s="5" t="s">
        <v>3890</v>
      </c>
      <c r="I796" s="5"/>
      <c r="J796" s="3"/>
    </row>
    <row r="797" spans="1:10" ht="199.5" customHeight="1">
      <c r="A797" s="5" t="s">
        <v>3891</v>
      </c>
      <c r="B797" s="5" t="s">
        <v>20</v>
      </c>
      <c r="C797" s="3" t="s">
        <v>3892</v>
      </c>
      <c r="D797" s="6">
        <v>2025</v>
      </c>
      <c r="E797" s="3" t="s">
        <v>3893</v>
      </c>
      <c r="F797" s="3" t="s">
        <v>3894</v>
      </c>
      <c r="G797" s="5" t="s">
        <v>110</v>
      </c>
      <c r="H797" s="5" t="s">
        <v>3895</v>
      </c>
      <c r="I797" s="5"/>
      <c r="J797" s="3"/>
    </row>
    <row r="798" spans="1:10" ht="256.5" customHeight="1">
      <c r="A798" s="5" t="s">
        <v>3896</v>
      </c>
      <c r="B798" s="5" t="s">
        <v>20</v>
      </c>
      <c r="C798" s="3" t="s">
        <v>3897</v>
      </c>
      <c r="D798" s="6">
        <v>2026</v>
      </c>
      <c r="E798" s="3" t="s">
        <v>3898</v>
      </c>
      <c r="F798" s="3" t="s">
        <v>3899</v>
      </c>
      <c r="G798" s="5" t="s">
        <v>115</v>
      </c>
      <c r="H798" s="5" t="s">
        <v>3900</v>
      </c>
      <c r="I798" s="5"/>
      <c r="J798" s="3"/>
    </row>
    <row r="799" spans="1:10" ht="342" customHeight="1">
      <c r="A799" s="5" t="s">
        <v>3901</v>
      </c>
      <c r="B799" s="5" t="s">
        <v>20</v>
      </c>
      <c r="C799" s="3" t="s">
        <v>3902</v>
      </c>
      <c r="D799" s="6">
        <v>2026</v>
      </c>
      <c r="E799" s="3" t="s">
        <v>3903</v>
      </c>
      <c r="F799" s="3" t="s">
        <v>3904</v>
      </c>
      <c r="G799" s="5" t="s">
        <v>110</v>
      </c>
      <c r="H799" s="5" t="s">
        <v>3905</v>
      </c>
      <c r="I799" s="5"/>
      <c r="J799" s="3"/>
    </row>
    <row r="800" spans="1:10" ht="327.75" customHeight="1">
      <c r="A800" s="5" t="s">
        <v>3906</v>
      </c>
      <c r="B800" s="5" t="s">
        <v>20</v>
      </c>
      <c r="C800" s="3" t="s">
        <v>3907</v>
      </c>
      <c r="D800" s="6">
        <v>2026</v>
      </c>
      <c r="E800" s="3" t="s">
        <v>3908</v>
      </c>
      <c r="F800" s="3" t="s">
        <v>3909</v>
      </c>
      <c r="G800" s="5" t="s">
        <v>110</v>
      </c>
      <c r="H800" s="5" t="s">
        <v>3910</v>
      </c>
      <c r="I800" s="5"/>
      <c r="J800" s="3"/>
    </row>
    <row r="801" spans="1:10" ht="242.25" customHeight="1">
      <c r="A801" s="5" t="s">
        <v>3911</v>
      </c>
      <c r="B801" s="5" t="s">
        <v>20</v>
      </c>
      <c r="C801" s="3" t="s">
        <v>3912</v>
      </c>
      <c r="D801" s="6">
        <v>2025</v>
      </c>
      <c r="E801" s="3" t="s">
        <v>3913</v>
      </c>
      <c r="F801" s="3" t="s">
        <v>3914</v>
      </c>
      <c r="G801" s="5" t="s">
        <v>115</v>
      </c>
      <c r="H801" s="5" t="s">
        <v>3915</v>
      </c>
      <c r="I801" s="5"/>
      <c r="J801" s="3"/>
    </row>
    <row r="802" spans="1:10" ht="228" customHeight="1">
      <c r="A802" s="5" t="s">
        <v>3916</v>
      </c>
      <c r="B802" s="5" t="s">
        <v>20</v>
      </c>
      <c r="C802" s="3" t="s">
        <v>3917</v>
      </c>
      <c r="D802" s="6">
        <v>2026</v>
      </c>
      <c r="E802" s="3" t="s">
        <v>3918</v>
      </c>
      <c r="F802" s="3" t="s">
        <v>3919</v>
      </c>
      <c r="G802" s="5" t="s">
        <v>110</v>
      </c>
      <c r="H802" s="5" t="s">
        <v>3920</v>
      </c>
      <c r="I802" s="5"/>
      <c r="J802" s="3"/>
    </row>
    <row r="803" spans="1:10" ht="384.75" customHeight="1">
      <c r="A803" s="5" t="s">
        <v>3921</v>
      </c>
      <c r="B803" s="5" t="s">
        <v>20</v>
      </c>
      <c r="C803" s="3" t="s">
        <v>3922</v>
      </c>
      <c r="D803" s="6">
        <v>2026</v>
      </c>
      <c r="E803" s="3" t="s">
        <v>3923</v>
      </c>
      <c r="F803" s="3" t="s">
        <v>3924</v>
      </c>
      <c r="G803" s="5" t="s">
        <v>110</v>
      </c>
      <c r="H803" s="5" t="s">
        <v>3925</v>
      </c>
      <c r="I803" s="5"/>
      <c r="J803" s="3"/>
    </row>
    <row r="804" spans="1:10" ht="342" customHeight="1">
      <c r="A804" s="5" t="s">
        <v>1120</v>
      </c>
      <c r="B804" s="5" t="s">
        <v>20</v>
      </c>
      <c r="C804" s="3" t="s">
        <v>1121</v>
      </c>
      <c r="D804" s="6">
        <v>2025</v>
      </c>
      <c r="E804" s="3" t="s">
        <v>1122</v>
      </c>
      <c r="F804" s="3" t="s">
        <v>3926</v>
      </c>
      <c r="G804" s="5" t="s">
        <v>110</v>
      </c>
      <c r="H804" s="5" t="s">
        <v>3927</v>
      </c>
      <c r="I804" s="5"/>
      <c r="J804" s="3"/>
    </row>
    <row r="805" spans="1:10" ht="384.75" customHeight="1">
      <c r="A805" s="5" t="s">
        <v>1024</v>
      </c>
      <c r="B805" s="5" t="s">
        <v>20</v>
      </c>
      <c r="C805" s="3" t="s">
        <v>1025</v>
      </c>
      <c r="D805" s="6">
        <v>2025</v>
      </c>
      <c r="E805" s="3" t="s">
        <v>1026</v>
      </c>
      <c r="F805" s="3" t="s">
        <v>3928</v>
      </c>
      <c r="G805" s="5" t="s">
        <v>110</v>
      </c>
      <c r="H805" s="5" t="s">
        <v>3929</v>
      </c>
      <c r="I805" s="5"/>
      <c r="J805" s="3"/>
    </row>
    <row r="806" spans="1:10" ht="313.5" customHeight="1">
      <c r="A806" s="5" t="s">
        <v>3930</v>
      </c>
      <c r="B806" s="5" t="s">
        <v>20</v>
      </c>
      <c r="C806" s="3" t="s">
        <v>3931</v>
      </c>
      <c r="D806" s="6">
        <v>2026</v>
      </c>
      <c r="E806" s="3" t="s">
        <v>3932</v>
      </c>
      <c r="F806" s="3" t="s">
        <v>3933</v>
      </c>
      <c r="G806" s="5" t="s">
        <v>110</v>
      </c>
      <c r="H806" s="5" t="s">
        <v>3934</v>
      </c>
      <c r="I806" s="5"/>
      <c r="J806" s="3"/>
    </row>
    <row r="807" spans="1:10" ht="270.75" customHeight="1">
      <c r="A807" s="5" t="s">
        <v>3935</v>
      </c>
      <c r="B807" s="5" t="s">
        <v>20</v>
      </c>
      <c r="C807" s="3" t="s">
        <v>3936</v>
      </c>
      <c r="D807" s="6">
        <v>2026</v>
      </c>
      <c r="E807" s="3" t="s">
        <v>3937</v>
      </c>
      <c r="F807" s="3" t="s">
        <v>3938</v>
      </c>
      <c r="G807" s="5" t="s">
        <v>115</v>
      </c>
      <c r="H807" s="5" t="s">
        <v>3939</v>
      </c>
      <c r="I807" s="5"/>
      <c r="J807" s="3"/>
    </row>
    <row r="808" spans="1:10" ht="313.5" customHeight="1">
      <c r="A808" s="5" t="s">
        <v>3940</v>
      </c>
      <c r="B808" s="5" t="s">
        <v>20</v>
      </c>
      <c r="C808" s="3" t="s">
        <v>3941</v>
      </c>
      <c r="D808" s="6">
        <v>2025</v>
      </c>
      <c r="E808" s="3" t="s">
        <v>3942</v>
      </c>
      <c r="F808" s="3" t="s">
        <v>3943</v>
      </c>
      <c r="G808" s="5" t="s">
        <v>110</v>
      </c>
      <c r="H808" s="5" t="s">
        <v>3944</v>
      </c>
      <c r="I808" s="5"/>
      <c r="J808" s="3"/>
    </row>
    <row r="809" spans="1:10" ht="313.5" customHeight="1">
      <c r="A809" s="5" t="s">
        <v>780</v>
      </c>
      <c r="B809" s="5" t="s">
        <v>20</v>
      </c>
      <c r="C809" s="3" t="s">
        <v>781</v>
      </c>
      <c r="D809" s="6">
        <v>2026</v>
      </c>
      <c r="E809" s="3" t="s">
        <v>782</v>
      </c>
      <c r="F809" s="3" t="s">
        <v>3945</v>
      </c>
      <c r="G809" s="5" t="s">
        <v>110</v>
      </c>
      <c r="H809" s="5" t="s">
        <v>3946</v>
      </c>
      <c r="I809" s="5"/>
      <c r="J809" s="3"/>
    </row>
    <row r="810" spans="1:10" ht="342" customHeight="1">
      <c r="A810" s="5" t="s">
        <v>3947</v>
      </c>
      <c r="B810" s="5" t="s">
        <v>20</v>
      </c>
      <c r="C810" s="3" t="s">
        <v>3948</v>
      </c>
      <c r="D810" s="6">
        <v>2025</v>
      </c>
      <c r="E810" s="3" t="s">
        <v>3949</v>
      </c>
      <c r="F810" s="3" t="s">
        <v>3950</v>
      </c>
      <c r="G810" s="5" t="s">
        <v>110</v>
      </c>
      <c r="H810" s="5" t="s">
        <v>3951</v>
      </c>
      <c r="I810" s="5"/>
      <c r="J810" s="3"/>
    </row>
    <row r="811" spans="1:10" ht="409.5" customHeight="1">
      <c r="A811" s="5" t="s">
        <v>3952</v>
      </c>
      <c r="B811" s="5" t="s">
        <v>20</v>
      </c>
      <c r="C811" s="3" t="s">
        <v>3953</v>
      </c>
      <c r="D811" s="6">
        <v>2026</v>
      </c>
      <c r="E811" s="3" t="s">
        <v>3954</v>
      </c>
      <c r="F811" s="3" t="s">
        <v>3955</v>
      </c>
      <c r="G811" s="5" t="s">
        <v>110</v>
      </c>
      <c r="H811" s="5" t="s">
        <v>3956</v>
      </c>
      <c r="I811" s="5"/>
      <c r="J811" s="3"/>
    </row>
    <row r="812" spans="1:10" ht="213.75" customHeight="1">
      <c r="A812" s="5" t="s">
        <v>3957</v>
      </c>
      <c r="B812" s="5" t="s">
        <v>20</v>
      </c>
      <c r="C812" s="3" t="s">
        <v>3958</v>
      </c>
      <c r="D812" s="6">
        <v>2026</v>
      </c>
      <c r="E812" s="3" t="s">
        <v>3959</v>
      </c>
      <c r="F812" s="3" t="s">
        <v>3960</v>
      </c>
      <c r="G812" s="5" t="s">
        <v>115</v>
      </c>
      <c r="H812" s="5" t="s">
        <v>3961</v>
      </c>
      <c r="I812" s="5"/>
      <c r="J812" s="3"/>
    </row>
    <row r="813" spans="1:10" ht="327.75" customHeight="1">
      <c r="A813" s="5" t="s">
        <v>3962</v>
      </c>
      <c r="B813" s="5" t="s">
        <v>20</v>
      </c>
      <c r="C813" s="3" t="s">
        <v>3963</v>
      </c>
      <c r="D813" s="6">
        <v>2026</v>
      </c>
      <c r="E813" s="3" t="s">
        <v>3964</v>
      </c>
      <c r="F813" s="3" t="s">
        <v>3965</v>
      </c>
      <c r="G813" s="5" t="s">
        <v>110</v>
      </c>
      <c r="H813" s="5" t="s">
        <v>3966</v>
      </c>
      <c r="I813" s="5"/>
      <c r="J813" s="3"/>
    </row>
    <row r="814" spans="1:10" ht="384.75" customHeight="1">
      <c r="A814" s="5" t="s">
        <v>3967</v>
      </c>
      <c r="B814" s="5" t="s">
        <v>20</v>
      </c>
      <c r="C814" s="3" t="s">
        <v>3968</v>
      </c>
      <c r="D814" s="6">
        <v>2025</v>
      </c>
      <c r="E814" s="3" t="s">
        <v>3969</v>
      </c>
      <c r="F814" s="3" t="s">
        <v>3970</v>
      </c>
      <c r="G814" s="5" t="s">
        <v>110</v>
      </c>
      <c r="H814" s="5" t="s">
        <v>3971</v>
      </c>
      <c r="I814" s="5"/>
      <c r="J814" s="3"/>
    </row>
    <row r="815" spans="1:10" ht="384.75" customHeight="1">
      <c r="A815" s="5" t="s">
        <v>3972</v>
      </c>
      <c r="B815" s="5" t="s">
        <v>20</v>
      </c>
      <c r="C815" s="3" t="s">
        <v>3973</v>
      </c>
      <c r="D815" s="6">
        <v>2025</v>
      </c>
      <c r="E815" s="3" t="s">
        <v>3974</v>
      </c>
      <c r="F815" s="3" t="s">
        <v>3975</v>
      </c>
      <c r="G815" s="5" t="s">
        <v>115</v>
      </c>
      <c r="H815" s="5" t="s">
        <v>3976</v>
      </c>
      <c r="I815" s="5"/>
      <c r="J815" s="3"/>
    </row>
    <row r="816" spans="1:10" ht="342" customHeight="1">
      <c r="A816" s="5" t="s">
        <v>3977</v>
      </c>
      <c r="B816" s="5" t="s">
        <v>20</v>
      </c>
      <c r="C816" s="3" t="s">
        <v>3978</v>
      </c>
      <c r="D816" s="6">
        <v>2026</v>
      </c>
      <c r="E816" s="3" t="s">
        <v>3979</v>
      </c>
      <c r="F816" s="3" t="s">
        <v>3980</v>
      </c>
      <c r="G816" s="5" t="s">
        <v>110</v>
      </c>
      <c r="H816" s="5" t="s">
        <v>3981</v>
      </c>
      <c r="I816" s="5"/>
      <c r="J816" s="3"/>
    </row>
    <row r="817" spans="1:10" ht="256.5" customHeight="1">
      <c r="A817" s="5" t="s">
        <v>3982</v>
      </c>
      <c r="B817" s="5" t="s">
        <v>20</v>
      </c>
      <c r="C817" s="3" t="s">
        <v>3983</v>
      </c>
      <c r="D817" s="6">
        <v>2026</v>
      </c>
      <c r="E817" s="3" t="s">
        <v>3984</v>
      </c>
      <c r="F817" s="3" t="s">
        <v>3985</v>
      </c>
      <c r="G817" s="5" t="s">
        <v>115</v>
      </c>
      <c r="H817" s="5" t="s">
        <v>3986</v>
      </c>
      <c r="I817" s="5"/>
      <c r="J817" s="3"/>
    </row>
    <row r="818" spans="1:10" ht="356.25" customHeight="1">
      <c r="A818" s="5" t="s">
        <v>3987</v>
      </c>
      <c r="B818" s="5" t="s">
        <v>20</v>
      </c>
      <c r="C818" s="3" t="s">
        <v>3988</v>
      </c>
      <c r="D818" s="6">
        <v>2026</v>
      </c>
      <c r="E818" s="3" t="s">
        <v>3989</v>
      </c>
      <c r="F818" s="3" t="s">
        <v>3990</v>
      </c>
      <c r="G818" s="5" t="s">
        <v>110</v>
      </c>
      <c r="H818" s="5" t="s">
        <v>3991</v>
      </c>
      <c r="I818" s="5"/>
      <c r="J818" s="3"/>
    </row>
    <row r="819" spans="1:10" ht="285" customHeight="1">
      <c r="A819" s="5" t="s">
        <v>3992</v>
      </c>
      <c r="B819" s="5" t="s">
        <v>20</v>
      </c>
      <c r="C819" s="3" t="s">
        <v>3993</v>
      </c>
      <c r="D819" s="6">
        <v>2026</v>
      </c>
      <c r="E819" s="3" t="s">
        <v>3994</v>
      </c>
      <c r="F819" s="3" t="s">
        <v>3995</v>
      </c>
      <c r="G819" s="5" t="s">
        <v>110</v>
      </c>
      <c r="H819" s="5" t="s">
        <v>3996</v>
      </c>
      <c r="I819" s="5"/>
      <c r="J819" s="3"/>
    </row>
    <row r="820" spans="1:10" ht="313.5" customHeight="1">
      <c r="A820" s="5" t="s">
        <v>3997</v>
      </c>
      <c r="B820" s="5" t="s">
        <v>20</v>
      </c>
      <c r="C820" s="3" t="s">
        <v>3998</v>
      </c>
      <c r="D820" s="6">
        <v>2026</v>
      </c>
      <c r="E820" s="3" t="s">
        <v>3999</v>
      </c>
      <c r="F820" s="3" t="s">
        <v>4000</v>
      </c>
      <c r="G820" s="5" t="s">
        <v>110</v>
      </c>
      <c r="H820" s="5" t="s">
        <v>4001</v>
      </c>
      <c r="I820" s="5"/>
      <c r="J820" s="3"/>
    </row>
    <row r="821" spans="1:10" ht="327.75" customHeight="1">
      <c r="A821" s="5" t="s">
        <v>4002</v>
      </c>
      <c r="B821" s="5" t="s">
        <v>20</v>
      </c>
      <c r="C821" s="3" t="s">
        <v>4003</v>
      </c>
      <c r="D821" s="6">
        <v>2026</v>
      </c>
      <c r="E821" s="3" t="s">
        <v>4004</v>
      </c>
      <c r="F821" s="3" t="s">
        <v>4005</v>
      </c>
      <c r="G821" s="5" t="s">
        <v>115</v>
      </c>
      <c r="H821" s="5" t="s">
        <v>4006</v>
      </c>
      <c r="I821" s="5"/>
      <c r="J821" s="3"/>
    </row>
    <row r="822" spans="1:10" ht="285" customHeight="1">
      <c r="A822" s="5" t="s">
        <v>4007</v>
      </c>
      <c r="B822" s="5" t="s">
        <v>20</v>
      </c>
      <c r="C822" s="3" t="s">
        <v>4008</v>
      </c>
      <c r="D822" s="6">
        <v>2026</v>
      </c>
      <c r="E822" s="3" t="s">
        <v>4009</v>
      </c>
      <c r="F822" s="3" t="s">
        <v>4010</v>
      </c>
      <c r="G822" s="5" t="s">
        <v>115</v>
      </c>
      <c r="H822" s="5" t="s">
        <v>4011</v>
      </c>
      <c r="I822" s="5"/>
      <c r="J822" s="3"/>
    </row>
    <row r="823" spans="1:10" ht="342" customHeight="1">
      <c r="A823" s="5" t="s">
        <v>4012</v>
      </c>
      <c r="B823" s="5" t="s">
        <v>20</v>
      </c>
      <c r="C823" s="3" t="s">
        <v>4013</v>
      </c>
      <c r="D823" s="6">
        <v>2025</v>
      </c>
      <c r="E823" s="3" t="s">
        <v>4014</v>
      </c>
      <c r="F823" s="3" t="s">
        <v>4015</v>
      </c>
      <c r="G823" s="5" t="s">
        <v>110</v>
      </c>
      <c r="H823" s="5" t="s">
        <v>4016</v>
      </c>
      <c r="I823" s="5"/>
      <c r="J823" s="3"/>
    </row>
    <row r="824" spans="1:10" ht="313.5" customHeight="1">
      <c r="A824" s="5" t="s">
        <v>1111</v>
      </c>
      <c r="B824" s="5" t="s">
        <v>20</v>
      </c>
      <c r="C824" s="3" t="s">
        <v>1112</v>
      </c>
      <c r="D824" s="6">
        <v>2026</v>
      </c>
      <c r="E824" s="3" t="s">
        <v>1113</v>
      </c>
      <c r="F824" s="3" t="s">
        <v>4017</v>
      </c>
      <c r="G824" s="5" t="s">
        <v>110</v>
      </c>
      <c r="H824" s="5" t="s">
        <v>4018</v>
      </c>
      <c r="I824" s="5"/>
      <c r="J824" s="3"/>
    </row>
    <row r="825" spans="1:10" ht="409.5" customHeight="1">
      <c r="A825" s="5" t="s">
        <v>4019</v>
      </c>
      <c r="B825" s="5" t="s">
        <v>20</v>
      </c>
      <c r="C825" s="3" t="s">
        <v>4020</v>
      </c>
      <c r="D825" s="6">
        <v>2026</v>
      </c>
      <c r="E825" s="3" t="s">
        <v>4021</v>
      </c>
      <c r="F825" s="3" t="s">
        <v>4022</v>
      </c>
      <c r="G825" s="5" t="s">
        <v>110</v>
      </c>
      <c r="H825" s="5" t="s">
        <v>4023</v>
      </c>
      <c r="I825" s="5"/>
      <c r="J825" s="3"/>
    </row>
    <row r="826" spans="1:10" ht="285" customHeight="1">
      <c r="A826" s="5" t="s">
        <v>1018</v>
      </c>
      <c r="B826" s="5" t="s">
        <v>20</v>
      </c>
      <c r="C826" s="3" t="s">
        <v>1019</v>
      </c>
      <c r="D826" s="6">
        <v>2026</v>
      </c>
      <c r="E826" s="3" t="s">
        <v>1020</v>
      </c>
      <c r="F826" s="3" t="s">
        <v>4024</v>
      </c>
      <c r="G826" s="5" t="s">
        <v>115</v>
      </c>
      <c r="H826" s="5" t="s">
        <v>4025</v>
      </c>
      <c r="I826" s="5"/>
      <c r="J826" s="3"/>
    </row>
    <row r="827" spans="1:10" ht="313.5" customHeight="1">
      <c r="A827" s="5" t="s">
        <v>4026</v>
      </c>
      <c r="B827" s="5" t="s">
        <v>20</v>
      </c>
      <c r="C827" s="3" t="s">
        <v>4027</v>
      </c>
      <c r="D827" s="6">
        <v>2025</v>
      </c>
      <c r="E827" s="3" t="s">
        <v>4028</v>
      </c>
      <c r="F827" s="3" t="s">
        <v>4029</v>
      </c>
      <c r="G827" s="5" t="s">
        <v>115</v>
      </c>
      <c r="H827" s="5" t="s">
        <v>4030</v>
      </c>
      <c r="I827" s="5"/>
      <c r="J827" s="3"/>
    </row>
    <row r="828" spans="1:10" ht="156.75" customHeight="1">
      <c r="A828" s="5" t="s">
        <v>771</v>
      </c>
      <c r="B828" s="5" t="s">
        <v>20</v>
      </c>
      <c r="C828" s="3" t="s">
        <v>772</v>
      </c>
      <c r="D828" s="6">
        <v>2024</v>
      </c>
      <c r="E828" s="3" t="s">
        <v>773</v>
      </c>
      <c r="F828" s="3" t="s">
        <v>4031</v>
      </c>
      <c r="G828" s="5" t="s">
        <v>115</v>
      </c>
      <c r="H828" s="5"/>
      <c r="I828" s="5"/>
      <c r="J828" s="3"/>
    </row>
    <row r="829" spans="1:10" ht="228" customHeight="1">
      <c r="A829" s="5" t="s">
        <v>4032</v>
      </c>
      <c r="B829" s="5" t="s">
        <v>20</v>
      </c>
      <c r="C829" s="3" t="s">
        <v>4033</v>
      </c>
      <c r="D829" s="6">
        <v>2025</v>
      </c>
      <c r="E829" s="3" t="s">
        <v>4034</v>
      </c>
      <c r="F829" s="3" t="s">
        <v>4035</v>
      </c>
      <c r="G829" s="5" t="s">
        <v>110</v>
      </c>
      <c r="H829" s="5" t="s">
        <v>4036</v>
      </c>
      <c r="I829" s="5"/>
      <c r="J829" s="3"/>
    </row>
    <row r="830" spans="1:10" ht="256.5" customHeight="1">
      <c r="A830" s="5" t="s">
        <v>4037</v>
      </c>
      <c r="B830" s="5" t="s">
        <v>20</v>
      </c>
      <c r="C830" s="3" t="s">
        <v>4038</v>
      </c>
      <c r="D830" s="6">
        <v>2024</v>
      </c>
      <c r="E830" s="3" t="s">
        <v>4039</v>
      </c>
      <c r="F830" s="3" t="s">
        <v>4040</v>
      </c>
      <c r="G830" s="5" t="s">
        <v>115</v>
      </c>
      <c r="H830" s="5" t="s">
        <v>4041</v>
      </c>
      <c r="I830" s="5"/>
      <c r="J830" s="3"/>
    </row>
    <row r="831" spans="1:10" ht="242.25" customHeight="1">
      <c r="A831" s="5" t="s">
        <v>4042</v>
      </c>
      <c r="B831" s="5" t="s">
        <v>20</v>
      </c>
      <c r="C831" s="3" t="s">
        <v>4043</v>
      </c>
      <c r="D831" s="6">
        <v>2025</v>
      </c>
      <c r="E831" s="3" t="s">
        <v>4044</v>
      </c>
      <c r="F831" s="3" t="s">
        <v>4045</v>
      </c>
      <c r="G831" s="5" t="s">
        <v>115</v>
      </c>
      <c r="H831" s="5" t="s">
        <v>4046</v>
      </c>
      <c r="I831" s="5"/>
      <c r="J831" s="3"/>
    </row>
    <row r="832" spans="1:10" ht="256.5" customHeight="1">
      <c r="A832" s="5" t="s">
        <v>4047</v>
      </c>
      <c r="B832" s="5" t="s">
        <v>20</v>
      </c>
      <c r="C832" s="3" t="s">
        <v>4048</v>
      </c>
      <c r="D832" s="6">
        <v>2024</v>
      </c>
      <c r="E832" s="3" t="s">
        <v>4049</v>
      </c>
      <c r="F832" s="3" t="s">
        <v>4050</v>
      </c>
      <c r="G832" s="5" t="s">
        <v>115</v>
      </c>
      <c r="H832" s="5" t="s">
        <v>4051</v>
      </c>
      <c r="I832" s="5"/>
      <c r="J832" s="3"/>
    </row>
    <row r="833" spans="1:10" ht="270.75" customHeight="1">
      <c r="A833" s="5" t="s">
        <v>4052</v>
      </c>
      <c r="B833" s="5" t="s">
        <v>20</v>
      </c>
      <c r="C833" s="3" t="s">
        <v>4053</v>
      </c>
      <c r="D833" s="6">
        <v>2023</v>
      </c>
      <c r="E833" s="3" t="s">
        <v>4054</v>
      </c>
      <c r="F833" s="3" t="s">
        <v>4055</v>
      </c>
      <c r="G833" s="5" t="s">
        <v>115</v>
      </c>
      <c r="H833" s="5" t="s">
        <v>4056</v>
      </c>
      <c r="I833" s="5"/>
      <c r="J833" s="3"/>
    </row>
    <row r="834" spans="1:10" ht="242.25" customHeight="1">
      <c r="A834" s="5" t="s">
        <v>4057</v>
      </c>
      <c r="B834" s="5" t="s">
        <v>20</v>
      </c>
      <c r="C834" s="3" t="s">
        <v>4058</v>
      </c>
      <c r="D834" s="6">
        <v>2025</v>
      </c>
      <c r="E834" s="3" t="s">
        <v>4059</v>
      </c>
      <c r="F834" s="3" t="s">
        <v>4060</v>
      </c>
      <c r="G834" s="5" t="s">
        <v>115</v>
      </c>
      <c r="H834" s="5" t="s">
        <v>4061</v>
      </c>
      <c r="I834" s="5"/>
      <c r="J834" s="3"/>
    </row>
    <row r="835" spans="1:10" ht="299.25" customHeight="1">
      <c r="A835" s="5" t="s">
        <v>4062</v>
      </c>
      <c r="B835" s="5" t="s">
        <v>20</v>
      </c>
      <c r="C835" s="3" t="s">
        <v>4063</v>
      </c>
      <c r="D835" s="6">
        <v>2024</v>
      </c>
      <c r="E835" s="3" t="s">
        <v>4064</v>
      </c>
      <c r="F835" s="3" t="s">
        <v>4065</v>
      </c>
      <c r="G835" s="5" t="s">
        <v>110</v>
      </c>
      <c r="H835" s="5" t="s">
        <v>4066</v>
      </c>
      <c r="I835" s="5"/>
      <c r="J835" s="3"/>
    </row>
    <row r="836" spans="1:10" ht="270.75" customHeight="1">
      <c r="A836" s="5" t="s">
        <v>4067</v>
      </c>
      <c r="B836" s="5" t="s">
        <v>20</v>
      </c>
      <c r="C836" s="3" t="s">
        <v>4068</v>
      </c>
      <c r="D836" s="6">
        <v>2025</v>
      </c>
      <c r="E836" s="3" t="s">
        <v>4069</v>
      </c>
      <c r="F836" s="3" t="s">
        <v>4070</v>
      </c>
      <c r="G836" s="5" t="s">
        <v>115</v>
      </c>
      <c r="H836" s="5" t="s">
        <v>4071</v>
      </c>
      <c r="I836" s="5"/>
      <c r="J836" s="3"/>
    </row>
    <row r="837" spans="1:10" ht="228" customHeight="1">
      <c r="A837" s="5" t="s">
        <v>4072</v>
      </c>
      <c r="B837" s="5" t="s">
        <v>20</v>
      </c>
      <c r="C837" s="3" t="s">
        <v>4073</v>
      </c>
      <c r="D837" s="6">
        <v>2025</v>
      </c>
      <c r="E837" s="3" t="s">
        <v>4074</v>
      </c>
      <c r="F837" s="3" t="s">
        <v>4075</v>
      </c>
      <c r="G837" s="5" t="s">
        <v>115</v>
      </c>
      <c r="H837" s="5" t="s">
        <v>4076</v>
      </c>
      <c r="I837" s="5"/>
      <c r="J837" s="3"/>
    </row>
    <row r="838" spans="1:10" ht="270.75" customHeight="1">
      <c r="A838" s="5" t="s">
        <v>4077</v>
      </c>
      <c r="B838" s="5" t="s">
        <v>20</v>
      </c>
      <c r="C838" s="3" t="s">
        <v>4078</v>
      </c>
      <c r="D838" s="6">
        <v>2024</v>
      </c>
      <c r="E838" s="3" t="s">
        <v>4079</v>
      </c>
      <c r="F838" s="3" t="s">
        <v>4080</v>
      </c>
      <c r="G838" s="5" t="s">
        <v>115</v>
      </c>
      <c r="H838" s="5" t="s">
        <v>4081</v>
      </c>
      <c r="I838" s="5"/>
      <c r="J838" s="3"/>
    </row>
    <row r="839" spans="1:10" ht="256.5" customHeight="1">
      <c r="A839" s="5" t="s">
        <v>4082</v>
      </c>
      <c r="B839" s="5" t="s">
        <v>20</v>
      </c>
      <c r="C839" s="3" t="s">
        <v>4083</v>
      </c>
      <c r="D839" s="6">
        <v>2024</v>
      </c>
      <c r="E839" s="3" t="s">
        <v>4084</v>
      </c>
      <c r="F839" s="3" t="s">
        <v>4085</v>
      </c>
      <c r="G839" s="5" t="s">
        <v>110</v>
      </c>
      <c r="H839" s="5" t="s">
        <v>4086</v>
      </c>
      <c r="I839" s="5"/>
      <c r="J839" s="3"/>
    </row>
    <row r="840" spans="1:10" ht="342" customHeight="1">
      <c r="A840" s="5" t="s">
        <v>4087</v>
      </c>
      <c r="B840" s="5" t="s">
        <v>20</v>
      </c>
      <c r="C840" s="3" t="s">
        <v>4088</v>
      </c>
      <c r="D840" s="6">
        <v>2024</v>
      </c>
      <c r="E840" s="3" t="s">
        <v>4089</v>
      </c>
      <c r="F840" s="3" t="s">
        <v>4090</v>
      </c>
      <c r="G840" s="5" t="s">
        <v>110</v>
      </c>
      <c r="H840" s="5" t="s">
        <v>4091</v>
      </c>
      <c r="I840" s="5"/>
      <c r="J840" s="3"/>
    </row>
    <row r="841" spans="1:10" ht="313.5" customHeight="1">
      <c r="A841" s="5" t="s">
        <v>4092</v>
      </c>
      <c r="B841" s="5" t="s">
        <v>20</v>
      </c>
      <c r="C841" s="3" t="s">
        <v>4093</v>
      </c>
      <c r="D841" s="6">
        <v>2025</v>
      </c>
      <c r="E841" s="3" t="s">
        <v>4094</v>
      </c>
      <c r="F841" s="3" t="s">
        <v>4095</v>
      </c>
      <c r="G841" s="5" t="s">
        <v>110</v>
      </c>
      <c r="H841" s="5" t="s">
        <v>4096</v>
      </c>
      <c r="I841" s="5"/>
      <c r="J841" s="3"/>
    </row>
    <row r="842" spans="1:10" ht="213.75" customHeight="1">
      <c r="A842" s="5" t="s">
        <v>4097</v>
      </c>
      <c r="B842" s="5" t="s">
        <v>20</v>
      </c>
      <c r="C842" s="3" t="s">
        <v>4098</v>
      </c>
      <c r="D842" s="6">
        <v>2025</v>
      </c>
      <c r="E842" s="3" t="s">
        <v>4099</v>
      </c>
      <c r="F842" s="3" t="s">
        <v>4100</v>
      </c>
      <c r="G842" s="5" t="s">
        <v>115</v>
      </c>
      <c r="H842" s="5" t="s">
        <v>4101</v>
      </c>
      <c r="I842" s="5"/>
      <c r="J842" s="3"/>
    </row>
    <row r="843" spans="1:10" ht="199.5" customHeight="1">
      <c r="A843" s="5" t="s">
        <v>4102</v>
      </c>
      <c r="B843" s="5" t="s">
        <v>20</v>
      </c>
      <c r="C843" s="3" t="s">
        <v>4103</v>
      </c>
      <c r="D843" s="6">
        <v>2024</v>
      </c>
      <c r="E843" s="3" t="s">
        <v>4104</v>
      </c>
      <c r="F843" s="3" t="s">
        <v>4105</v>
      </c>
      <c r="G843" s="5" t="s">
        <v>110</v>
      </c>
      <c r="H843" s="5" t="s">
        <v>4106</v>
      </c>
      <c r="I843" s="5"/>
      <c r="J843" s="3"/>
    </row>
    <row r="844" spans="1:10" ht="299.25" customHeight="1">
      <c r="A844" s="5" t="s">
        <v>4107</v>
      </c>
      <c r="B844" s="5" t="s">
        <v>20</v>
      </c>
      <c r="C844" s="3" t="s">
        <v>4108</v>
      </c>
      <c r="D844" s="6">
        <v>2024</v>
      </c>
      <c r="E844" s="3" t="s">
        <v>4109</v>
      </c>
      <c r="F844" s="3" t="s">
        <v>4110</v>
      </c>
      <c r="G844" s="5" t="s">
        <v>115</v>
      </c>
      <c r="H844" s="5" t="s">
        <v>4111</v>
      </c>
      <c r="I844" s="5"/>
      <c r="J844" s="3"/>
    </row>
    <row r="845" spans="1:10" ht="256.5" customHeight="1">
      <c r="A845" s="5" t="s">
        <v>4112</v>
      </c>
      <c r="B845" s="5" t="s">
        <v>20</v>
      </c>
      <c r="C845" s="3" t="s">
        <v>4113</v>
      </c>
      <c r="D845" s="6">
        <v>2025</v>
      </c>
      <c r="E845" s="3" t="s">
        <v>4114</v>
      </c>
      <c r="F845" s="3" t="s">
        <v>4115</v>
      </c>
      <c r="G845" s="5" t="s">
        <v>115</v>
      </c>
      <c r="H845" s="5" t="s">
        <v>4116</v>
      </c>
      <c r="I845" s="5"/>
      <c r="J845" s="3"/>
    </row>
    <row r="846" spans="1:10" ht="270.75" customHeight="1">
      <c r="A846" s="5" t="s">
        <v>4117</v>
      </c>
      <c r="B846" s="5" t="s">
        <v>20</v>
      </c>
      <c r="C846" s="3" t="s">
        <v>4118</v>
      </c>
      <c r="D846" s="6">
        <v>2024</v>
      </c>
      <c r="E846" s="3" t="s">
        <v>4119</v>
      </c>
      <c r="F846" s="3" t="s">
        <v>4120</v>
      </c>
      <c r="G846" s="5" t="s">
        <v>115</v>
      </c>
      <c r="H846" s="5"/>
      <c r="I846" s="5"/>
      <c r="J846" s="3"/>
    </row>
    <row r="847" spans="1:10" ht="285" customHeight="1">
      <c r="A847" s="5" t="s">
        <v>4121</v>
      </c>
      <c r="B847" s="5" t="s">
        <v>20</v>
      </c>
      <c r="C847" s="3" t="s">
        <v>4122</v>
      </c>
      <c r="D847" s="6">
        <v>2025</v>
      </c>
      <c r="E847" s="3" t="s">
        <v>4123</v>
      </c>
      <c r="F847" s="3" t="s">
        <v>4124</v>
      </c>
      <c r="G847" s="5" t="s">
        <v>115</v>
      </c>
      <c r="H847" s="5" t="s">
        <v>4125</v>
      </c>
      <c r="I847" s="5"/>
      <c r="J847" s="3"/>
    </row>
    <row r="848" spans="1:10" ht="199.5" customHeight="1">
      <c r="A848" s="5" t="s">
        <v>4126</v>
      </c>
      <c r="B848" s="5" t="s">
        <v>20</v>
      </c>
      <c r="C848" s="3" t="s">
        <v>4127</v>
      </c>
      <c r="D848" s="6">
        <v>2025</v>
      </c>
      <c r="E848" s="3" t="s">
        <v>4128</v>
      </c>
      <c r="F848" s="3" t="s">
        <v>4129</v>
      </c>
      <c r="G848" s="5" t="s">
        <v>115</v>
      </c>
      <c r="H848" s="5" t="s">
        <v>4130</v>
      </c>
      <c r="I848" s="5"/>
      <c r="J848" s="3"/>
    </row>
    <row r="849" spans="1:10" ht="313.5" customHeight="1">
      <c r="A849" s="5" t="s">
        <v>4131</v>
      </c>
      <c r="B849" s="5" t="s">
        <v>20</v>
      </c>
      <c r="C849" s="3" t="s">
        <v>4132</v>
      </c>
      <c r="D849" s="6">
        <v>2025</v>
      </c>
      <c r="E849" s="3" t="s">
        <v>4133</v>
      </c>
      <c r="F849" s="3" t="s">
        <v>4134</v>
      </c>
      <c r="G849" s="5" t="s">
        <v>110</v>
      </c>
      <c r="H849" s="5" t="s">
        <v>4135</v>
      </c>
      <c r="I849" s="5"/>
      <c r="J849" s="3"/>
    </row>
    <row r="850" spans="1:10" ht="270.75" customHeight="1">
      <c r="A850" s="5" t="s">
        <v>4136</v>
      </c>
      <c r="B850" s="5" t="s">
        <v>20</v>
      </c>
      <c r="C850" s="3" t="s">
        <v>4137</v>
      </c>
      <c r="D850" s="6">
        <v>2023</v>
      </c>
      <c r="E850" s="3" t="s">
        <v>4138</v>
      </c>
      <c r="F850" s="3" t="s">
        <v>4139</v>
      </c>
      <c r="G850" s="5" t="s">
        <v>115</v>
      </c>
      <c r="H850" s="5" t="s">
        <v>4140</v>
      </c>
      <c r="I850" s="5"/>
      <c r="J850" s="3"/>
    </row>
    <row r="851" spans="1:10" ht="327.75" customHeight="1">
      <c r="A851" s="5" t="s">
        <v>4141</v>
      </c>
      <c r="B851" s="5" t="s">
        <v>20</v>
      </c>
      <c r="C851" s="3" t="s">
        <v>4142</v>
      </c>
      <c r="D851" s="6">
        <v>2024</v>
      </c>
      <c r="E851" s="3" t="s">
        <v>4143</v>
      </c>
      <c r="F851" s="3" t="s">
        <v>4144</v>
      </c>
      <c r="G851" s="5" t="s">
        <v>110</v>
      </c>
      <c r="H851" s="5" t="s">
        <v>4145</v>
      </c>
      <c r="I851" s="5"/>
      <c r="J851" s="3"/>
    </row>
    <row r="852" spans="1:10" ht="228" customHeight="1">
      <c r="A852" s="5" t="s">
        <v>798</v>
      </c>
      <c r="B852" s="5" t="s">
        <v>20</v>
      </c>
      <c r="C852" s="3" t="s">
        <v>799</v>
      </c>
      <c r="D852" s="6">
        <v>2023</v>
      </c>
      <c r="E852" s="3" t="s">
        <v>800</v>
      </c>
      <c r="F852" s="3" t="s">
        <v>4146</v>
      </c>
      <c r="G852" s="5" t="s">
        <v>115</v>
      </c>
      <c r="H852" s="5"/>
      <c r="I852" s="5"/>
      <c r="J852" s="3"/>
    </row>
    <row r="853" spans="1:10" ht="384.75" customHeight="1">
      <c r="A853" s="5" t="s">
        <v>4147</v>
      </c>
      <c r="B853" s="5" t="s">
        <v>20</v>
      </c>
      <c r="C853" s="3" t="s">
        <v>4148</v>
      </c>
      <c r="D853" s="6">
        <v>2023</v>
      </c>
      <c r="E853" s="3" t="s">
        <v>4149</v>
      </c>
      <c r="F853" s="3" t="s">
        <v>4150</v>
      </c>
      <c r="G853" s="5" t="s">
        <v>110</v>
      </c>
      <c r="H853" s="5" t="s">
        <v>4151</v>
      </c>
      <c r="I853" s="5"/>
      <c r="J853" s="3"/>
    </row>
    <row r="854" spans="1:10" ht="142.5" customHeight="1">
      <c r="A854" s="5" t="s">
        <v>4152</v>
      </c>
      <c r="B854" s="5" t="s">
        <v>20</v>
      </c>
      <c r="C854" s="3" t="s">
        <v>4153</v>
      </c>
      <c r="D854" s="6">
        <v>2023</v>
      </c>
      <c r="E854" s="3" t="s">
        <v>4154</v>
      </c>
      <c r="F854" s="3" t="s">
        <v>4155</v>
      </c>
      <c r="G854" s="5" t="s">
        <v>115</v>
      </c>
      <c r="H854" s="5"/>
      <c r="I854" s="5"/>
      <c r="J854" s="3"/>
    </row>
    <row r="855" spans="1:10" ht="242.25" customHeight="1">
      <c r="A855" s="5" t="s">
        <v>4156</v>
      </c>
      <c r="B855" s="5" t="s">
        <v>20</v>
      </c>
      <c r="C855" s="3" t="s">
        <v>4157</v>
      </c>
      <c r="D855" s="6">
        <v>2023</v>
      </c>
      <c r="E855" s="3" t="s">
        <v>4158</v>
      </c>
      <c r="F855" s="3" t="s">
        <v>4159</v>
      </c>
      <c r="G855" s="5" t="s">
        <v>115</v>
      </c>
      <c r="H855" s="5" t="s">
        <v>4160</v>
      </c>
      <c r="I855" s="5"/>
      <c r="J855" s="3"/>
    </row>
    <row r="856" spans="1:10" ht="199.5" customHeight="1">
      <c r="A856" s="5" t="s">
        <v>4161</v>
      </c>
      <c r="B856" s="5" t="s">
        <v>20</v>
      </c>
      <c r="C856" s="3" t="s">
        <v>4162</v>
      </c>
      <c r="D856" s="6">
        <v>2024</v>
      </c>
      <c r="E856" s="3" t="s">
        <v>4163</v>
      </c>
      <c r="F856" s="3" t="s">
        <v>4164</v>
      </c>
      <c r="G856" s="5" t="s">
        <v>115</v>
      </c>
      <c r="H856" s="5" t="s">
        <v>4165</v>
      </c>
      <c r="I856" s="5"/>
      <c r="J856" s="3"/>
    </row>
    <row r="857" spans="1:10" ht="256.5" customHeight="1">
      <c r="A857" s="5" t="s">
        <v>4166</v>
      </c>
      <c r="B857" s="5" t="s">
        <v>20</v>
      </c>
      <c r="C857" s="3" t="s">
        <v>3755</v>
      </c>
      <c r="D857" s="6">
        <v>2025</v>
      </c>
      <c r="E857" s="3" t="s">
        <v>4167</v>
      </c>
      <c r="F857" s="3" t="s">
        <v>4168</v>
      </c>
      <c r="G857" s="5" t="s">
        <v>115</v>
      </c>
      <c r="H857" s="5" t="s">
        <v>4169</v>
      </c>
      <c r="I857" s="5"/>
      <c r="J857" s="3"/>
    </row>
    <row r="858" spans="1:10" ht="409.5" customHeight="1">
      <c r="A858" s="5" t="s">
        <v>4170</v>
      </c>
      <c r="B858" s="5" t="s">
        <v>20</v>
      </c>
      <c r="C858" s="3" t="s">
        <v>4171</v>
      </c>
      <c r="D858" s="6">
        <v>2025</v>
      </c>
      <c r="E858" s="3" t="s">
        <v>4172</v>
      </c>
      <c r="F858" s="3" t="s">
        <v>4173</v>
      </c>
      <c r="G858" s="5" t="s">
        <v>110</v>
      </c>
      <c r="H858" s="5" t="s">
        <v>4174</v>
      </c>
      <c r="I858" s="5"/>
      <c r="J858" s="3"/>
    </row>
    <row r="859" spans="1:10" ht="256.5" customHeight="1">
      <c r="A859" s="5" t="s">
        <v>4175</v>
      </c>
      <c r="B859" s="5" t="s">
        <v>20</v>
      </c>
      <c r="C859" s="3" t="s">
        <v>4176</v>
      </c>
      <c r="D859" s="6">
        <v>2025</v>
      </c>
      <c r="E859" s="3" t="s">
        <v>4177</v>
      </c>
      <c r="F859" s="3" t="s">
        <v>4178</v>
      </c>
      <c r="G859" s="5" t="s">
        <v>115</v>
      </c>
      <c r="H859" s="5"/>
      <c r="I859" s="5"/>
      <c r="J859" s="3"/>
    </row>
    <row r="860" spans="1:10" ht="185.25" customHeight="1">
      <c r="A860" s="5" t="s">
        <v>4179</v>
      </c>
      <c r="B860" s="5" t="s">
        <v>20</v>
      </c>
      <c r="C860" s="3" t="s">
        <v>4180</v>
      </c>
      <c r="D860" s="6">
        <v>2023</v>
      </c>
      <c r="E860" s="3" t="s">
        <v>4181</v>
      </c>
      <c r="F860" s="3" t="s">
        <v>4182</v>
      </c>
      <c r="G860" s="5" t="s">
        <v>115</v>
      </c>
      <c r="H860" s="5" t="s">
        <v>4183</v>
      </c>
      <c r="I860" s="5"/>
      <c r="J860" s="3"/>
    </row>
    <row r="861" spans="1:10" ht="99.75" customHeight="1">
      <c r="A861" s="5" t="s">
        <v>4184</v>
      </c>
      <c r="B861" s="5" t="s">
        <v>20</v>
      </c>
      <c r="C861" s="3" t="s">
        <v>4185</v>
      </c>
      <c r="D861" s="6">
        <v>2024</v>
      </c>
      <c r="E861" s="3" t="s">
        <v>4186</v>
      </c>
      <c r="F861" s="3" t="s">
        <v>4187</v>
      </c>
      <c r="G861" s="5" t="s">
        <v>110</v>
      </c>
      <c r="H861" s="5" t="s">
        <v>4188</v>
      </c>
      <c r="I861" s="5"/>
      <c r="J861" s="3"/>
    </row>
    <row r="862" spans="1:10" ht="242.25" customHeight="1">
      <c r="A862" s="5" t="s">
        <v>4189</v>
      </c>
      <c r="B862" s="5" t="s">
        <v>20</v>
      </c>
      <c r="C862" s="3" t="s">
        <v>4190</v>
      </c>
      <c r="D862" s="6">
        <v>2025</v>
      </c>
      <c r="E862" s="3" t="s">
        <v>4191</v>
      </c>
      <c r="F862" s="3" t="s">
        <v>4192</v>
      </c>
      <c r="G862" s="5" t="s">
        <v>115</v>
      </c>
      <c r="H862" s="5" t="s">
        <v>4193</v>
      </c>
      <c r="I862" s="5"/>
      <c r="J862" s="3"/>
    </row>
    <row r="863" spans="1:10" ht="270.75" customHeight="1">
      <c r="A863" s="5" t="s">
        <v>4194</v>
      </c>
      <c r="B863" s="5" t="s">
        <v>20</v>
      </c>
      <c r="C863" s="3" t="s">
        <v>4195</v>
      </c>
      <c r="D863" s="6">
        <v>2025</v>
      </c>
      <c r="E863" s="3" t="s">
        <v>4196</v>
      </c>
      <c r="F863" s="3" t="s">
        <v>4197</v>
      </c>
      <c r="G863" s="5" t="s">
        <v>115</v>
      </c>
      <c r="H863" s="5" t="s">
        <v>4198</v>
      </c>
      <c r="I863" s="5"/>
      <c r="J863" s="3"/>
    </row>
    <row r="864" spans="1:10" ht="409.5" customHeight="1">
      <c r="A864" s="5" t="s">
        <v>4199</v>
      </c>
      <c r="B864" s="5" t="s">
        <v>20</v>
      </c>
      <c r="C864" s="3" t="s">
        <v>4200</v>
      </c>
      <c r="D864" s="6">
        <v>2023</v>
      </c>
      <c r="E864" s="3" t="s">
        <v>4201</v>
      </c>
      <c r="F864" s="3" t="s">
        <v>4202</v>
      </c>
      <c r="G864" s="5" t="s">
        <v>110</v>
      </c>
      <c r="H864" s="5" t="s">
        <v>4203</v>
      </c>
      <c r="I864" s="5"/>
      <c r="J864" s="3"/>
    </row>
    <row r="865" spans="1:10" ht="185.25" customHeight="1">
      <c r="A865" s="5" t="s">
        <v>4204</v>
      </c>
      <c r="B865" s="5" t="s">
        <v>20</v>
      </c>
      <c r="C865" s="3" t="s">
        <v>4205</v>
      </c>
      <c r="D865" s="6">
        <v>2024</v>
      </c>
      <c r="E865" s="3" t="s">
        <v>4206</v>
      </c>
      <c r="F865" s="3" t="s">
        <v>4207</v>
      </c>
      <c r="G865" s="5" t="s">
        <v>110</v>
      </c>
      <c r="H865" s="5" t="s">
        <v>4208</v>
      </c>
      <c r="I865" s="5"/>
      <c r="J865" s="3"/>
    </row>
    <row r="866" spans="1:10" ht="199.5" customHeight="1">
      <c r="A866" s="5" t="s">
        <v>4209</v>
      </c>
      <c r="B866" s="5" t="s">
        <v>20</v>
      </c>
      <c r="C866" s="3" t="s">
        <v>4210</v>
      </c>
      <c r="D866" s="6">
        <v>2024</v>
      </c>
      <c r="E866" s="3" t="s">
        <v>4211</v>
      </c>
      <c r="F866" s="3" t="s">
        <v>4212</v>
      </c>
      <c r="G866" s="5" t="s">
        <v>115</v>
      </c>
      <c r="H866" s="5" t="s">
        <v>4213</v>
      </c>
      <c r="I866" s="5"/>
      <c r="J866" s="3"/>
    </row>
    <row r="867" spans="1:10" ht="327.75" customHeight="1">
      <c r="A867" s="5" t="s">
        <v>4214</v>
      </c>
      <c r="B867" s="5" t="s">
        <v>20</v>
      </c>
      <c r="C867" s="3" t="s">
        <v>4215</v>
      </c>
      <c r="D867" s="6">
        <v>2025</v>
      </c>
      <c r="E867" s="3" t="s">
        <v>4216</v>
      </c>
      <c r="F867" s="3" t="s">
        <v>4217</v>
      </c>
      <c r="G867" s="5" t="s">
        <v>115</v>
      </c>
      <c r="H867" s="5"/>
      <c r="I867" s="5"/>
      <c r="J867" s="3"/>
    </row>
    <row r="868" spans="1:10" ht="228" customHeight="1">
      <c r="A868" s="5" t="s">
        <v>4218</v>
      </c>
      <c r="B868" s="5" t="s">
        <v>20</v>
      </c>
      <c r="C868" s="3" t="s">
        <v>4219</v>
      </c>
      <c r="D868" s="6">
        <v>2024</v>
      </c>
      <c r="E868" s="3" t="s">
        <v>4220</v>
      </c>
      <c r="F868" s="3" t="s">
        <v>4221</v>
      </c>
      <c r="G868" s="5" t="s">
        <v>115</v>
      </c>
      <c r="H868" s="5" t="s">
        <v>4222</v>
      </c>
      <c r="I868" s="5"/>
      <c r="J868" s="3"/>
    </row>
    <row r="869" spans="1:10" ht="171" customHeight="1">
      <c r="A869" s="5" t="s">
        <v>4223</v>
      </c>
      <c r="B869" s="5" t="s">
        <v>20</v>
      </c>
      <c r="C869" s="3" t="s">
        <v>4224</v>
      </c>
      <c r="D869" s="6">
        <v>2025</v>
      </c>
      <c r="E869" s="3" t="s">
        <v>4225</v>
      </c>
      <c r="F869" s="3" t="s">
        <v>4226</v>
      </c>
      <c r="G869" s="5" t="s">
        <v>115</v>
      </c>
      <c r="H869" s="5" t="s">
        <v>4227</v>
      </c>
      <c r="I869" s="5"/>
      <c r="J869" s="3"/>
    </row>
    <row r="870" spans="1:10" ht="213.75" customHeight="1">
      <c r="A870" s="5" t="s">
        <v>4228</v>
      </c>
      <c r="B870" s="5" t="s">
        <v>20</v>
      </c>
      <c r="C870" s="3" t="s">
        <v>4229</v>
      </c>
      <c r="D870" s="6">
        <v>2025</v>
      </c>
      <c r="E870" s="3" t="s">
        <v>4230</v>
      </c>
      <c r="F870" s="3" t="s">
        <v>4231</v>
      </c>
      <c r="G870" s="5" t="s">
        <v>115</v>
      </c>
      <c r="H870" s="5" t="s">
        <v>4232</v>
      </c>
      <c r="I870" s="5"/>
      <c r="J870" s="3"/>
    </row>
    <row r="871" spans="1:10" ht="285" customHeight="1">
      <c r="A871" s="5" t="s">
        <v>4233</v>
      </c>
      <c r="B871" s="5" t="s">
        <v>20</v>
      </c>
      <c r="C871" s="3" t="s">
        <v>4234</v>
      </c>
      <c r="D871" s="6">
        <v>2024</v>
      </c>
      <c r="E871" s="3" t="s">
        <v>4235</v>
      </c>
      <c r="F871" s="3" t="s">
        <v>4236</v>
      </c>
      <c r="G871" s="5" t="s">
        <v>115</v>
      </c>
      <c r="H871" s="5" t="s">
        <v>4237</v>
      </c>
      <c r="I871" s="5"/>
      <c r="J871" s="3"/>
    </row>
    <row r="872" spans="1:10" ht="409.5" customHeight="1">
      <c r="A872" s="5" t="s">
        <v>1090</v>
      </c>
      <c r="B872" s="5" t="s">
        <v>20</v>
      </c>
      <c r="C872" s="3" t="s">
        <v>1091</v>
      </c>
      <c r="D872" s="6">
        <v>2025</v>
      </c>
      <c r="E872" s="3" t="s">
        <v>1092</v>
      </c>
      <c r="F872" s="3" t="s">
        <v>4238</v>
      </c>
      <c r="G872" s="5" t="s">
        <v>110</v>
      </c>
      <c r="H872" s="5" t="s">
        <v>4239</v>
      </c>
      <c r="I872" s="5"/>
      <c r="J872" s="3"/>
    </row>
    <row r="873" spans="1:10" ht="313.5" customHeight="1">
      <c r="A873" s="5" t="s">
        <v>4240</v>
      </c>
      <c r="B873" s="5" t="s">
        <v>20</v>
      </c>
      <c r="C873" s="3" t="s">
        <v>4241</v>
      </c>
      <c r="D873" s="6">
        <v>2025</v>
      </c>
      <c r="E873" s="3" t="s">
        <v>4242</v>
      </c>
      <c r="F873" s="3" t="s">
        <v>4243</v>
      </c>
      <c r="G873" s="5" t="s">
        <v>115</v>
      </c>
      <c r="H873" s="5" t="s">
        <v>4244</v>
      </c>
      <c r="I873" s="5"/>
      <c r="J873" s="3"/>
    </row>
    <row r="874" spans="1:10" ht="313.5" customHeight="1">
      <c r="A874" s="5" t="s">
        <v>4245</v>
      </c>
      <c r="B874" s="5" t="s">
        <v>20</v>
      </c>
      <c r="C874" s="3" t="s">
        <v>4246</v>
      </c>
      <c r="D874" s="6">
        <v>2025</v>
      </c>
      <c r="E874" s="3" t="s">
        <v>4247</v>
      </c>
      <c r="F874" s="3" t="s">
        <v>4248</v>
      </c>
      <c r="G874" s="5" t="s">
        <v>115</v>
      </c>
      <c r="H874" s="5" t="s">
        <v>4249</v>
      </c>
      <c r="I874" s="5"/>
      <c r="J874" s="3"/>
    </row>
    <row r="875" spans="1:10" ht="409.5" customHeight="1">
      <c r="A875" s="5" t="s">
        <v>4250</v>
      </c>
      <c r="B875" s="5" t="s">
        <v>20</v>
      </c>
      <c r="C875" s="3" t="s">
        <v>4251</v>
      </c>
      <c r="D875" s="6">
        <v>2024</v>
      </c>
      <c r="E875" s="3" t="s">
        <v>4252</v>
      </c>
      <c r="F875" s="3" t="s">
        <v>4253</v>
      </c>
      <c r="G875" s="5" t="s">
        <v>110</v>
      </c>
      <c r="H875" s="5" t="s">
        <v>4254</v>
      </c>
      <c r="I875" s="5"/>
      <c r="J875" s="3"/>
    </row>
    <row r="876" spans="1:10" ht="299.25" customHeight="1">
      <c r="A876" s="5" t="s">
        <v>4255</v>
      </c>
      <c r="B876" s="5" t="s">
        <v>20</v>
      </c>
      <c r="C876" s="3" t="s">
        <v>4256</v>
      </c>
      <c r="D876" s="6">
        <v>2025</v>
      </c>
      <c r="E876" s="3" t="s">
        <v>4257</v>
      </c>
      <c r="F876" s="3" t="s">
        <v>4258</v>
      </c>
      <c r="G876" s="5" t="s">
        <v>115</v>
      </c>
      <c r="H876" s="5" t="s">
        <v>4259</v>
      </c>
      <c r="I876" s="5"/>
      <c r="J876" s="3"/>
    </row>
    <row r="877" spans="1:10" ht="199.5" customHeight="1">
      <c r="A877" s="5" t="s">
        <v>4260</v>
      </c>
      <c r="B877" s="5" t="s">
        <v>20</v>
      </c>
      <c r="C877" s="3" t="s">
        <v>4261</v>
      </c>
      <c r="D877" s="6">
        <v>2024</v>
      </c>
      <c r="E877" s="3" t="s">
        <v>4262</v>
      </c>
      <c r="F877" s="3" t="s">
        <v>4263</v>
      </c>
      <c r="G877" s="5" t="s">
        <v>115</v>
      </c>
      <c r="H877" s="5" t="s">
        <v>4264</v>
      </c>
      <c r="I877" s="5"/>
      <c r="J877" s="3"/>
    </row>
    <row r="878" spans="1:10" ht="313.5" customHeight="1">
      <c r="A878" s="5" t="s">
        <v>4265</v>
      </c>
      <c r="B878" s="5" t="s">
        <v>20</v>
      </c>
      <c r="C878" s="3" t="s">
        <v>4266</v>
      </c>
      <c r="D878" s="6">
        <v>2025</v>
      </c>
      <c r="E878" s="3" t="s">
        <v>4267</v>
      </c>
      <c r="F878" s="3" t="s">
        <v>4268</v>
      </c>
      <c r="G878" s="5" t="s">
        <v>115</v>
      </c>
      <c r="H878" s="5" t="s">
        <v>4269</v>
      </c>
      <c r="I878" s="5"/>
      <c r="J878" s="3"/>
    </row>
    <row r="879" spans="1:10" ht="299.25" customHeight="1">
      <c r="A879" s="5" t="s">
        <v>4270</v>
      </c>
      <c r="B879" s="5" t="s">
        <v>20</v>
      </c>
      <c r="C879" s="3" t="s">
        <v>4271</v>
      </c>
      <c r="D879" s="6">
        <v>2025</v>
      </c>
      <c r="E879" s="3" t="s">
        <v>4272</v>
      </c>
      <c r="F879" s="3" t="s">
        <v>4273</v>
      </c>
      <c r="G879" s="5" t="s">
        <v>115</v>
      </c>
      <c r="H879" s="5" t="s">
        <v>4274</v>
      </c>
      <c r="I879" s="5"/>
      <c r="J879" s="3"/>
    </row>
    <row r="880" spans="1:10" ht="256.5" customHeight="1">
      <c r="A880" s="5" t="s">
        <v>4275</v>
      </c>
      <c r="B880" s="5" t="s">
        <v>20</v>
      </c>
      <c r="C880" s="3" t="s">
        <v>4276</v>
      </c>
      <c r="D880" s="6">
        <v>2024</v>
      </c>
      <c r="E880" s="3" t="s">
        <v>4277</v>
      </c>
      <c r="F880" s="3" t="s">
        <v>4278</v>
      </c>
      <c r="G880" s="5" t="s">
        <v>115</v>
      </c>
      <c r="H880" s="5" t="s">
        <v>4279</v>
      </c>
      <c r="I880" s="5"/>
      <c r="J880" s="3"/>
    </row>
    <row r="881" spans="1:10" ht="256.5" customHeight="1">
      <c r="A881" s="5" t="s">
        <v>4280</v>
      </c>
      <c r="B881" s="5" t="s">
        <v>20</v>
      </c>
      <c r="C881" s="3" t="s">
        <v>4281</v>
      </c>
      <c r="D881" s="6">
        <v>2025</v>
      </c>
      <c r="E881" s="3" t="s">
        <v>4282</v>
      </c>
      <c r="F881" s="3" t="s">
        <v>4283</v>
      </c>
      <c r="G881" s="5" t="s">
        <v>115</v>
      </c>
      <c r="H881" s="5" t="s">
        <v>4284</v>
      </c>
      <c r="I881" s="5"/>
      <c r="J881" s="3"/>
    </row>
    <row r="882" spans="1:10" ht="285" customHeight="1">
      <c r="A882" s="5" t="s">
        <v>4285</v>
      </c>
      <c r="B882" s="5" t="s">
        <v>20</v>
      </c>
      <c r="C882" s="3" t="s">
        <v>4286</v>
      </c>
      <c r="D882" s="6">
        <v>2025</v>
      </c>
      <c r="E882" s="3" t="s">
        <v>4287</v>
      </c>
      <c r="F882" s="3" t="s">
        <v>4288</v>
      </c>
      <c r="G882" s="5" t="s">
        <v>115</v>
      </c>
      <c r="H882" s="5" t="s">
        <v>4289</v>
      </c>
      <c r="I882" s="5"/>
      <c r="J882" s="3"/>
    </row>
    <row r="883" spans="1:10" ht="313.5" customHeight="1">
      <c r="A883" s="5" t="s">
        <v>4290</v>
      </c>
      <c r="B883" s="5" t="s">
        <v>20</v>
      </c>
      <c r="C883" s="3" t="s">
        <v>4291</v>
      </c>
      <c r="D883" s="6">
        <v>2024</v>
      </c>
      <c r="E883" s="3" t="s">
        <v>4292</v>
      </c>
      <c r="F883" s="3" t="s">
        <v>4293</v>
      </c>
      <c r="G883" s="5" t="s">
        <v>115</v>
      </c>
      <c r="H883" s="5" t="s">
        <v>4294</v>
      </c>
      <c r="I883" s="5"/>
      <c r="J883" s="3"/>
    </row>
    <row r="884" spans="1:10" ht="327.75" customHeight="1">
      <c r="A884" s="5" t="s">
        <v>4295</v>
      </c>
      <c r="B884" s="5" t="s">
        <v>20</v>
      </c>
      <c r="C884" s="3" t="s">
        <v>4296</v>
      </c>
      <c r="D884" s="6">
        <v>2023</v>
      </c>
      <c r="E884" s="3" t="s">
        <v>4297</v>
      </c>
      <c r="F884" s="3" t="s">
        <v>4298</v>
      </c>
      <c r="G884" s="5" t="s">
        <v>110</v>
      </c>
      <c r="H884" s="5" t="s">
        <v>4299</v>
      </c>
      <c r="I884" s="5"/>
      <c r="J884" s="3"/>
    </row>
    <row r="885" spans="1:10" ht="213.75" customHeight="1">
      <c r="A885" s="5" t="s">
        <v>4300</v>
      </c>
      <c r="B885" s="5" t="s">
        <v>20</v>
      </c>
      <c r="C885" s="3" t="s">
        <v>4301</v>
      </c>
      <c r="D885" s="6">
        <v>2025</v>
      </c>
      <c r="E885" s="3" t="s">
        <v>4302</v>
      </c>
      <c r="F885" s="3" t="s">
        <v>4303</v>
      </c>
      <c r="G885" s="5" t="s">
        <v>115</v>
      </c>
      <c r="H885" s="5" t="s">
        <v>4304</v>
      </c>
      <c r="I885" s="5"/>
      <c r="J885" s="3"/>
    </row>
    <row r="886" spans="1:10" ht="342" customHeight="1">
      <c r="A886" s="5" t="s">
        <v>4305</v>
      </c>
      <c r="B886" s="5" t="s">
        <v>20</v>
      </c>
      <c r="C886" s="3" t="s">
        <v>4306</v>
      </c>
      <c r="D886" s="6">
        <v>2024</v>
      </c>
      <c r="E886" s="3" t="s">
        <v>4307</v>
      </c>
      <c r="F886" s="3" t="s">
        <v>4308</v>
      </c>
      <c r="G886" s="5" t="s">
        <v>110</v>
      </c>
      <c r="H886" s="5" t="s">
        <v>4309</v>
      </c>
      <c r="I886" s="5"/>
      <c r="J886" s="3"/>
    </row>
    <row r="887" spans="1:10" ht="384.75" customHeight="1">
      <c r="A887" s="5" t="s">
        <v>1069</v>
      </c>
      <c r="B887" s="5" t="s">
        <v>20</v>
      </c>
      <c r="C887" s="3" t="s">
        <v>1070</v>
      </c>
      <c r="D887" s="6">
        <v>2024</v>
      </c>
      <c r="E887" s="3" t="s">
        <v>1071</v>
      </c>
      <c r="F887" s="3" t="s">
        <v>4310</v>
      </c>
      <c r="G887" s="5" t="s">
        <v>110</v>
      </c>
      <c r="H887" s="5" t="s">
        <v>4311</v>
      </c>
      <c r="I887" s="5"/>
      <c r="J887" s="3"/>
    </row>
    <row r="888" spans="1:10" ht="342" customHeight="1">
      <c r="A888" s="5" t="s">
        <v>4312</v>
      </c>
      <c r="B888" s="5" t="s">
        <v>20</v>
      </c>
      <c r="C888" s="3" t="s">
        <v>4313</v>
      </c>
      <c r="D888" s="6">
        <v>2025</v>
      </c>
      <c r="E888" s="3" t="s">
        <v>4314</v>
      </c>
      <c r="F888" s="3" t="s">
        <v>4315</v>
      </c>
      <c r="G888" s="5" t="s">
        <v>110</v>
      </c>
      <c r="H888" s="5" t="s">
        <v>4316</v>
      </c>
      <c r="I888" s="5"/>
      <c r="J888" s="3"/>
    </row>
    <row r="889" spans="1:10" ht="242.25" customHeight="1">
      <c r="A889" s="5" t="s">
        <v>4317</v>
      </c>
      <c r="B889" s="5" t="s">
        <v>20</v>
      </c>
      <c r="C889" s="3" t="s">
        <v>4318</v>
      </c>
      <c r="D889" s="6">
        <v>2023</v>
      </c>
      <c r="E889" s="3" t="s">
        <v>4319</v>
      </c>
      <c r="F889" s="3" t="s">
        <v>4320</v>
      </c>
      <c r="G889" s="5" t="s">
        <v>110</v>
      </c>
      <c r="H889" s="5" t="s">
        <v>4321</v>
      </c>
      <c r="I889" s="5"/>
      <c r="J889" s="3"/>
    </row>
    <row r="890" spans="1:10" ht="228" customHeight="1">
      <c r="A890" s="5" t="s">
        <v>4322</v>
      </c>
      <c r="B890" s="5" t="s">
        <v>20</v>
      </c>
      <c r="C890" s="3" t="s">
        <v>4323</v>
      </c>
      <c r="D890" s="6">
        <v>2025</v>
      </c>
      <c r="E890" s="3" t="s">
        <v>4324</v>
      </c>
      <c r="F890" s="3" t="s">
        <v>4325</v>
      </c>
      <c r="G890" s="5" t="s">
        <v>110</v>
      </c>
      <c r="H890" s="5" t="s">
        <v>4326</v>
      </c>
      <c r="I890" s="5"/>
      <c r="J890" s="3"/>
    </row>
    <row r="891" spans="1:10" ht="199.5" customHeight="1">
      <c r="A891" s="5" t="s">
        <v>1084</v>
      </c>
      <c r="B891" s="5" t="s">
        <v>20</v>
      </c>
      <c r="C891" s="3" t="s">
        <v>1085</v>
      </c>
      <c r="D891" s="6">
        <v>2024</v>
      </c>
      <c r="E891" s="3" t="s">
        <v>1086</v>
      </c>
      <c r="F891" s="3" t="s">
        <v>4327</v>
      </c>
      <c r="G891" s="5" t="s">
        <v>110</v>
      </c>
      <c r="H891" s="5" t="s">
        <v>4328</v>
      </c>
      <c r="I891" s="5"/>
      <c r="J891" s="3"/>
    </row>
    <row r="892" spans="1:10" ht="299.25" customHeight="1">
      <c r="A892" s="5" t="s">
        <v>4329</v>
      </c>
      <c r="B892" s="5" t="s">
        <v>20</v>
      </c>
      <c r="C892" s="3" t="s">
        <v>4330</v>
      </c>
      <c r="D892" s="6">
        <v>2025</v>
      </c>
      <c r="E892" s="3" t="s">
        <v>4331</v>
      </c>
      <c r="F892" s="3" t="s">
        <v>4332</v>
      </c>
      <c r="G892" s="5" t="s">
        <v>115</v>
      </c>
      <c r="H892" s="5" t="s">
        <v>4333</v>
      </c>
      <c r="I892" s="5"/>
      <c r="J892" s="3"/>
    </row>
    <row r="893" spans="1:10" ht="185.25" customHeight="1">
      <c r="A893" s="5" t="s">
        <v>4334</v>
      </c>
      <c r="B893" s="5" t="s">
        <v>20</v>
      </c>
      <c r="C893" s="3" t="s">
        <v>4335</v>
      </c>
      <c r="D893" s="6">
        <v>2025</v>
      </c>
      <c r="E893" s="3" t="s">
        <v>4336</v>
      </c>
      <c r="F893" s="3" t="s">
        <v>4337</v>
      </c>
      <c r="G893" s="5" t="s">
        <v>115</v>
      </c>
      <c r="H893" s="5" t="s">
        <v>4338</v>
      </c>
      <c r="I893" s="5"/>
      <c r="J893" s="3"/>
    </row>
    <row r="894" spans="1:10" ht="199.5" customHeight="1">
      <c r="A894" s="5" t="s">
        <v>4339</v>
      </c>
      <c r="B894" s="5" t="s">
        <v>20</v>
      </c>
      <c r="C894" s="3" t="s">
        <v>4340</v>
      </c>
      <c r="D894" s="6">
        <v>2024</v>
      </c>
      <c r="E894" s="3" t="s">
        <v>4341</v>
      </c>
      <c r="F894" s="3" t="s">
        <v>4342</v>
      </c>
      <c r="G894" s="5" t="s">
        <v>115</v>
      </c>
      <c r="H894" s="5"/>
      <c r="I894" s="5"/>
      <c r="J894" s="3"/>
    </row>
    <row r="895" spans="1:10" ht="327.75" customHeight="1">
      <c r="A895" s="5" t="s">
        <v>4343</v>
      </c>
      <c r="B895" s="5" t="s">
        <v>20</v>
      </c>
      <c r="C895" s="3" t="s">
        <v>4344</v>
      </c>
      <c r="D895" s="6">
        <v>2025</v>
      </c>
      <c r="E895" s="3" t="s">
        <v>4345</v>
      </c>
      <c r="F895" s="3" t="s">
        <v>4346</v>
      </c>
      <c r="G895" s="5" t="s">
        <v>115</v>
      </c>
      <c r="H895" s="5" t="s">
        <v>4347</v>
      </c>
      <c r="I895" s="5"/>
      <c r="J895" s="3"/>
    </row>
    <row r="896" spans="1:10" ht="213.75" customHeight="1">
      <c r="A896" s="5" t="s">
        <v>4348</v>
      </c>
      <c r="B896" s="5" t="s">
        <v>20</v>
      </c>
      <c r="C896" s="3" t="s">
        <v>4349</v>
      </c>
      <c r="D896" s="6">
        <v>2025</v>
      </c>
      <c r="E896" s="3" t="s">
        <v>4350</v>
      </c>
      <c r="F896" s="3" t="s">
        <v>4351</v>
      </c>
      <c r="G896" s="5" t="s">
        <v>110</v>
      </c>
      <c r="H896" s="5" t="s">
        <v>4352</v>
      </c>
      <c r="I896" s="5"/>
      <c r="J896" s="3"/>
    </row>
    <row r="897" spans="1:10" ht="199.5" customHeight="1">
      <c r="A897" s="5" t="s">
        <v>4353</v>
      </c>
      <c r="B897" s="5" t="s">
        <v>20</v>
      </c>
      <c r="C897" s="3" t="s">
        <v>4354</v>
      </c>
      <c r="D897" s="6">
        <v>2024</v>
      </c>
      <c r="E897" s="3" t="s">
        <v>4355</v>
      </c>
      <c r="F897" s="3" t="s">
        <v>4356</v>
      </c>
      <c r="G897" s="5" t="s">
        <v>115</v>
      </c>
      <c r="H897" s="5"/>
      <c r="I897" s="5"/>
      <c r="J897" s="3"/>
    </row>
    <row r="898" spans="1:10" ht="199.5" customHeight="1">
      <c r="A898" s="5" t="s">
        <v>4357</v>
      </c>
      <c r="B898" s="5" t="s">
        <v>20</v>
      </c>
      <c r="C898" s="3" t="s">
        <v>4358</v>
      </c>
      <c r="D898" s="6">
        <v>2025</v>
      </c>
      <c r="E898" s="3" t="s">
        <v>4359</v>
      </c>
      <c r="F898" s="3" t="s">
        <v>4360</v>
      </c>
      <c r="G898" s="5" t="s">
        <v>115</v>
      </c>
      <c r="H898" s="5"/>
      <c r="I898" s="5"/>
      <c r="J898" s="3"/>
    </row>
    <row r="899" spans="1:10" ht="228" customHeight="1">
      <c r="A899" s="5" t="s">
        <v>1042</v>
      </c>
      <c r="B899" s="5" t="s">
        <v>20</v>
      </c>
      <c r="C899" s="3" t="s">
        <v>1043</v>
      </c>
      <c r="D899" s="6">
        <v>2025</v>
      </c>
      <c r="E899" s="3" t="s">
        <v>1044</v>
      </c>
      <c r="F899" s="3" t="s">
        <v>4361</v>
      </c>
      <c r="G899" s="5" t="s">
        <v>115</v>
      </c>
      <c r="H899" s="5" t="s">
        <v>4362</v>
      </c>
      <c r="I899" s="5"/>
      <c r="J899" s="3"/>
    </row>
    <row r="900" spans="1:10" ht="285" customHeight="1">
      <c r="A900" s="5" t="s">
        <v>4363</v>
      </c>
      <c r="B900" s="5" t="s">
        <v>20</v>
      </c>
      <c r="C900" s="3" t="s">
        <v>4364</v>
      </c>
      <c r="D900" s="6">
        <v>2025</v>
      </c>
      <c r="E900" s="3" t="s">
        <v>4365</v>
      </c>
      <c r="F900" s="3" t="s">
        <v>4366</v>
      </c>
      <c r="G900" s="5" t="s">
        <v>115</v>
      </c>
      <c r="H900" s="5" t="s">
        <v>4367</v>
      </c>
      <c r="I900" s="5"/>
      <c r="J900" s="3"/>
    </row>
    <row r="901" spans="1:10" ht="270.75" customHeight="1">
      <c r="A901" s="5" t="s">
        <v>4368</v>
      </c>
      <c r="B901" s="5" t="s">
        <v>20</v>
      </c>
      <c r="C901" s="3" t="s">
        <v>4369</v>
      </c>
      <c r="D901" s="6">
        <v>2023</v>
      </c>
      <c r="E901" s="3" t="s">
        <v>4370</v>
      </c>
      <c r="F901" s="3" t="s">
        <v>4371</v>
      </c>
      <c r="G901" s="5" t="s">
        <v>115</v>
      </c>
      <c r="H901" s="5" t="s">
        <v>4372</v>
      </c>
      <c r="I901" s="5"/>
      <c r="J901" s="3"/>
    </row>
    <row r="902" spans="1:10" ht="185.25" customHeight="1">
      <c r="A902" s="5" t="s">
        <v>4373</v>
      </c>
      <c r="B902" s="5" t="s">
        <v>20</v>
      </c>
      <c r="C902" s="3" t="s">
        <v>4374</v>
      </c>
      <c r="D902" s="6">
        <v>2023</v>
      </c>
      <c r="E902" s="3" t="s">
        <v>4375</v>
      </c>
      <c r="F902" s="3" t="s">
        <v>4376</v>
      </c>
      <c r="G902" s="5" t="s">
        <v>115</v>
      </c>
      <c r="H902" s="5" t="s">
        <v>4377</v>
      </c>
      <c r="I902" s="5"/>
      <c r="J902" s="3"/>
    </row>
    <row r="903" spans="1:10" ht="313.5" customHeight="1">
      <c r="A903" s="5" t="s">
        <v>4378</v>
      </c>
      <c r="B903" s="5" t="s">
        <v>20</v>
      </c>
      <c r="C903" s="3" t="s">
        <v>4379</v>
      </c>
      <c r="D903" s="6">
        <v>2025</v>
      </c>
      <c r="E903" s="3" t="s">
        <v>4380</v>
      </c>
      <c r="F903" s="3" t="s">
        <v>4381</v>
      </c>
      <c r="G903" s="5" t="s">
        <v>115</v>
      </c>
      <c r="H903" s="5" t="s">
        <v>4382</v>
      </c>
      <c r="I903" s="5"/>
      <c r="J903" s="3"/>
    </row>
    <row r="904" spans="1:10" ht="242.25" customHeight="1">
      <c r="A904" s="5" t="s">
        <v>1108</v>
      </c>
      <c r="B904" s="5" t="s">
        <v>20</v>
      </c>
      <c r="C904" s="3" t="s">
        <v>1109</v>
      </c>
      <c r="D904" s="6">
        <v>2024</v>
      </c>
      <c r="E904" s="3" t="s">
        <v>1110</v>
      </c>
      <c r="F904" s="3" t="s">
        <v>4383</v>
      </c>
      <c r="G904" s="5" t="s">
        <v>110</v>
      </c>
      <c r="H904" s="5" t="s">
        <v>4384</v>
      </c>
      <c r="I904" s="5"/>
      <c r="J904" s="3"/>
    </row>
    <row r="905" spans="1:10" ht="171" customHeight="1">
      <c r="A905" s="5" t="s">
        <v>4385</v>
      </c>
      <c r="B905" s="5" t="s">
        <v>20</v>
      </c>
      <c r="C905" s="3" t="s">
        <v>4386</v>
      </c>
      <c r="D905" s="6">
        <v>2025</v>
      </c>
      <c r="E905" s="3" t="s">
        <v>4387</v>
      </c>
      <c r="F905" s="3" t="s">
        <v>4388</v>
      </c>
      <c r="G905" s="5" t="s">
        <v>115</v>
      </c>
      <c r="H905" s="5" t="s">
        <v>4389</v>
      </c>
      <c r="I905" s="5"/>
      <c r="J905" s="3"/>
    </row>
    <row r="906" spans="1:10" ht="313.5" customHeight="1">
      <c r="A906" s="5" t="s">
        <v>4390</v>
      </c>
      <c r="B906" s="5" t="s">
        <v>20</v>
      </c>
      <c r="C906" s="3" t="s">
        <v>4391</v>
      </c>
      <c r="D906" s="6">
        <v>2025</v>
      </c>
      <c r="E906" s="3" t="s">
        <v>4392</v>
      </c>
      <c r="F906" s="3" t="s">
        <v>4393</v>
      </c>
      <c r="G906" s="5" t="s">
        <v>115</v>
      </c>
      <c r="H906" s="5" t="s">
        <v>4394</v>
      </c>
      <c r="I906" s="5"/>
      <c r="J906" s="3"/>
    </row>
    <row r="907" spans="1:10" ht="356.25" customHeight="1">
      <c r="A907" s="5" t="s">
        <v>4395</v>
      </c>
      <c r="B907" s="5" t="s">
        <v>20</v>
      </c>
      <c r="C907" s="3" t="s">
        <v>4396</v>
      </c>
      <c r="D907" s="6">
        <v>2025</v>
      </c>
      <c r="E907" s="3" t="s">
        <v>4397</v>
      </c>
      <c r="F907" s="3" t="s">
        <v>4398</v>
      </c>
      <c r="G907" s="5" t="s">
        <v>115</v>
      </c>
      <c r="H907" s="5" t="s">
        <v>4399</v>
      </c>
      <c r="I907" s="5"/>
      <c r="J907" s="3"/>
    </row>
    <row r="908" spans="1:10" ht="185.25" customHeight="1">
      <c r="A908" s="5" t="s">
        <v>4400</v>
      </c>
      <c r="B908" s="5" t="s">
        <v>20</v>
      </c>
      <c r="C908" s="3" t="s">
        <v>4401</v>
      </c>
      <c r="D908" s="6">
        <v>2024</v>
      </c>
      <c r="E908" s="3" t="s">
        <v>4402</v>
      </c>
      <c r="F908" s="3" t="s">
        <v>4403</v>
      </c>
      <c r="G908" s="5" t="s">
        <v>115</v>
      </c>
      <c r="H908" s="5" t="s">
        <v>4404</v>
      </c>
      <c r="I908" s="5"/>
      <c r="J908" s="3"/>
    </row>
    <row r="909" spans="1:10" ht="313.5" customHeight="1">
      <c r="A909" s="5" t="s">
        <v>4405</v>
      </c>
      <c r="B909" s="5" t="s">
        <v>20</v>
      </c>
      <c r="C909" s="3" t="s">
        <v>4406</v>
      </c>
      <c r="D909" s="6">
        <v>2025</v>
      </c>
      <c r="E909" s="3" t="s">
        <v>4407</v>
      </c>
      <c r="F909" s="3" t="s">
        <v>4408</v>
      </c>
      <c r="G909" s="5" t="s">
        <v>115</v>
      </c>
      <c r="H909" s="5" t="s">
        <v>4409</v>
      </c>
      <c r="I909" s="5"/>
      <c r="J909" s="3"/>
    </row>
    <row r="910" spans="1:10" ht="270.75" customHeight="1">
      <c r="A910" s="5" t="s">
        <v>4410</v>
      </c>
      <c r="B910" s="5" t="s">
        <v>20</v>
      </c>
      <c r="C910" s="3" t="s">
        <v>4411</v>
      </c>
      <c r="D910" s="6">
        <v>2024</v>
      </c>
      <c r="E910" s="3" t="s">
        <v>4412</v>
      </c>
      <c r="F910" s="3" t="s">
        <v>4413</v>
      </c>
      <c r="G910" s="5" t="s">
        <v>110</v>
      </c>
      <c r="H910" s="5" t="s">
        <v>4414</v>
      </c>
      <c r="I910" s="5"/>
      <c r="J910" s="3"/>
    </row>
    <row r="911" spans="1:10" ht="285" customHeight="1">
      <c r="A911" s="5" t="s">
        <v>4415</v>
      </c>
      <c r="B911" s="5" t="s">
        <v>20</v>
      </c>
      <c r="C911" s="3" t="s">
        <v>4416</v>
      </c>
      <c r="D911" s="6">
        <v>2025</v>
      </c>
      <c r="E911" s="3" t="s">
        <v>4417</v>
      </c>
      <c r="F911" s="3" t="s">
        <v>4418</v>
      </c>
      <c r="G911" s="5" t="s">
        <v>115</v>
      </c>
      <c r="H911" s="5" t="s">
        <v>4419</v>
      </c>
      <c r="I911" s="5"/>
      <c r="J911" s="3"/>
    </row>
    <row r="912" spans="1:10" ht="270.75" customHeight="1">
      <c r="A912" s="5" t="s">
        <v>4420</v>
      </c>
      <c r="B912" s="5" t="s">
        <v>20</v>
      </c>
      <c r="C912" s="3" t="s">
        <v>4421</v>
      </c>
      <c r="D912" s="6">
        <v>2023</v>
      </c>
      <c r="E912" s="3" t="s">
        <v>4422</v>
      </c>
      <c r="F912" s="3" t="s">
        <v>4423</v>
      </c>
      <c r="G912" s="5" t="s">
        <v>115</v>
      </c>
      <c r="H912" s="5" t="s">
        <v>4424</v>
      </c>
      <c r="I912" s="5"/>
      <c r="J912" s="3"/>
    </row>
    <row r="913" spans="1:10" ht="409.5" customHeight="1">
      <c r="A913" s="5" t="s">
        <v>4425</v>
      </c>
      <c r="B913" s="5" t="s">
        <v>20</v>
      </c>
      <c r="C913" s="3" t="s">
        <v>4426</v>
      </c>
      <c r="D913" s="6">
        <v>2023</v>
      </c>
      <c r="E913" s="3" t="s">
        <v>4427</v>
      </c>
      <c r="F913" s="3" t="s">
        <v>4428</v>
      </c>
      <c r="G913" s="5" t="s">
        <v>115</v>
      </c>
      <c r="H913" s="5" t="s">
        <v>4429</v>
      </c>
      <c r="I913" s="5"/>
      <c r="J913" s="3"/>
    </row>
    <row r="914" spans="1:10" ht="256.5" customHeight="1">
      <c r="A914" s="5" t="s">
        <v>4430</v>
      </c>
      <c r="B914" s="5" t="s">
        <v>20</v>
      </c>
      <c r="C914" s="3" t="s">
        <v>4431</v>
      </c>
      <c r="D914" s="6">
        <v>2023</v>
      </c>
      <c r="E914" s="3" t="s">
        <v>4432</v>
      </c>
      <c r="F914" s="3" t="s">
        <v>4433</v>
      </c>
      <c r="G914" s="5" t="s">
        <v>115</v>
      </c>
      <c r="H914" s="5" t="s">
        <v>4434</v>
      </c>
      <c r="I914" s="5"/>
      <c r="J914" s="3"/>
    </row>
    <row r="915" spans="1:10" ht="270.75" customHeight="1">
      <c r="A915" s="5" t="s">
        <v>4435</v>
      </c>
      <c r="B915" s="5" t="s">
        <v>20</v>
      </c>
      <c r="C915" s="3" t="s">
        <v>4436</v>
      </c>
      <c r="D915" s="6">
        <v>2025</v>
      </c>
      <c r="E915" s="3" t="s">
        <v>4437</v>
      </c>
      <c r="F915" s="3" t="s">
        <v>4438</v>
      </c>
      <c r="G915" s="5" t="s">
        <v>115</v>
      </c>
      <c r="H915" s="5" t="s">
        <v>4439</v>
      </c>
      <c r="I915" s="5"/>
      <c r="J915" s="3"/>
    </row>
    <row r="916" spans="1:10" ht="299.25" customHeight="1">
      <c r="A916" s="5" t="s">
        <v>4440</v>
      </c>
      <c r="B916" s="5" t="s">
        <v>20</v>
      </c>
      <c r="C916" s="3" t="s">
        <v>4441</v>
      </c>
      <c r="D916" s="6">
        <v>2025</v>
      </c>
      <c r="E916" s="3" t="s">
        <v>4442</v>
      </c>
      <c r="F916" s="3" t="s">
        <v>4443</v>
      </c>
      <c r="G916" s="5" t="s">
        <v>115</v>
      </c>
      <c r="H916" s="5" t="s">
        <v>4444</v>
      </c>
      <c r="I916" s="5"/>
      <c r="J916" s="3"/>
    </row>
    <row r="917" spans="1:10" ht="370.5" customHeight="1">
      <c r="A917" s="5" t="s">
        <v>4445</v>
      </c>
      <c r="B917" s="5" t="s">
        <v>20</v>
      </c>
      <c r="C917" s="3" t="s">
        <v>4446</v>
      </c>
      <c r="D917" s="6">
        <v>2024</v>
      </c>
      <c r="E917" s="3" t="s">
        <v>4447</v>
      </c>
      <c r="F917" s="3" t="s">
        <v>4448</v>
      </c>
      <c r="G917" s="5" t="s">
        <v>110</v>
      </c>
      <c r="H917" s="5" t="s">
        <v>4449</v>
      </c>
      <c r="I917" s="5"/>
      <c r="J917" s="3"/>
    </row>
    <row r="918" spans="1:10" ht="370.5" customHeight="1">
      <c r="A918" s="5" t="s">
        <v>4450</v>
      </c>
      <c r="B918" s="5" t="s">
        <v>20</v>
      </c>
      <c r="C918" s="3" t="s">
        <v>4451</v>
      </c>
      <c r="D918" s="6">
        <v>2024</v>
      </c>
      <c r="E918" s="3" t="s">
        <v>4452</v>
      </c>
      <c r="F918" s="3" t="s">
        <v>4453</v>
      </c>
      <c r="G918" s="5" t="s">
        <v>110</v>
      </c>
      <c r="H918" s="5" t="s">
        <v>4454</v>
      </c>
      <c r="I918" s="5"/>
      <c r="J918" s="3"/>
    </row>
    <row r="919" spans="1:10" ht="299.25" customHeight="1">
      <c r="A919" s="5" t="s">
        <v>4455</v>
      </c>
      <c r="B919" s="5" t="s">
        <v>20</v>
      </c>
      <c r="C919" s="3" t="s">
        <v>4456</v>
      </c>
      <c r="D919" s="6">
        <v>2025</v>
      </c>
      <c r="E919" s="3" t="s">
        <v>4457</v>
      </c>
      <c r="F919" s="3" t="s">
        <v>4458</v>
      </c>
      <c r="G919" s="5" t="s">
        <v>110</v>
      </c>
      <c r="H919" s="5" t="s">
        <v>4459</v>
      </c>
      <c r="I919" s="5"/>
      <c r="J919" s="3"/>
    </row>
    <row r="920" spans="1:10" ht="409.5" customHeight="1">
      <c r="A920" s="5" t="s">
        <v>4460</v>
      </c>
      <c r="B920" s="5" t="s">
        <v>20</v>
      </c>
      <c r="C920" s="3" t="s">
        <v>4461</v>
      </c>
      <c r="D920" s="6">
        <v>2025</v>
      </c>
      <c r="E920" s="3" t="s">
        <v>4462</v>
      </c>
      <c r="F920" s="3" t="s">
        <v>4463</v>
      </c>
      <c r="G920" s="5" t="s">
        <v>110</v>
      </c>
      <c r="H920" s="5" t="s">
        <v>4464</v>
      </c>
      <c r="I920" s="5"/>
      <c r="J920" s="3"/>
    </row>
    <row r="921" spans="1:10" ht="327.75" customHeight="1">
      <c r="A921" s="5" t="s">
        <v>1146</v>
      </c>
      <c r="B921" s="5" t="s">
        <v>20</v>
      </c>
      <c r="C921" s="3" t="s">
        <v>1147</v>
      </c>
      <c r="D921" s="6">
        <v>2024</v>
      </c>
      <c r="E921" s="3" t="s">
        <v>1148</v>
      </c>
      <c r="F921" s="3" t="s">
        <v>4465</v>
      </c>
      <c r="G921" s="5" t="s">
        <v>115</v>
      </c>
      <c r="H921" s="5" t="s">
        <v>4466</v>
      </c>
      <c r="I921" s="5"/>
      <c r="J921" s="3"/>
    </row>
    <row r="922" spans="1:10" ht="156.75" customHeight="1">
      <c r="A922" s="5" t="s">
        <v>4467</v>
      </c>
      <c r="B922" s="5" t="s">
        <v>20</v>
      </c>
      <c r="C922" s="3" t="s">
        <v>4468</v>
      </c>
      <c r="D922" s="6">
        <v>2024</v>
      </c>
      <c r="E922" s="3" t="s">
        <v>4469</v>
      </c>
      <c r="F922" s="3" t="s">
        <v>4470</v>
      </c>
      <c r="G922" s="5" t="s">
        <v>115</v>
      </c>
      <c r="H922" s="5" t="s">
        <v>4471</v>
      </c>
      <c r="I922" s="5"/>
      <c r="J922" s="3"/>
    </row>
    <row r="923" spans="1:10" ht="384.75" customHeight="1">
      <c r="A923" s="5" t="s">
        <v>4472</v>
      </c>
      <c r="B923" s="5" t="s">
        <v>20</v>
      </c>
      <c r="C923" s="3" t="s">
        <v>4473</v>
      </c>
      <c r="D923" s="6">
        <v>2024</v>
      </c>
      <c r="E923" s="3" t="s">
        <v>4474</v>
      </c>
      <c r="F923" s="3" t="s">
        <v>4475</v>
      </c>
      <c r="G923" s="5" t="s">
        <v>115</v>
      </c>
      <c r="H923" s="5" t="s">
        <v>4476</v>
      </c>
      <c r="I923" s="5"/>
      <c r="J923" s="3"/>
    </row>
    <row r="924" spans="1:10" ht="313.5" customHeight="1">
      <c r="A924" s="5" t="s">
        <v>4477</v>
      </c>
      <c r="B924" s="5" t="s">
        <v>20</v>
      </c>
      <c r="C924" s="3" t="s">
        <v>4478</v>
      </c>
      <c r="D924" s="6">
        <v>2025</v>
      </c>
      <c r="E924" s="3" t="s">
        <v>4479</v>
      </c>
      <c r="F924" s="3" t="s">
        <v>4480</v>
      </c>
      <c r="G924" s="5" t="s">
        <v>115</v>
      </c>
      <c r="H924" s="5" t="s">
        <v>4481</v>
      </c>
      <c r="I924" s="5"/>
      <c r="J924" s="3"/>
    </row>
    <row r="925" spans="1:10" ht="409.5" customHeight="1">
      <c r="A925" s="5" t="s">
        <v>1125</v>
      </c>
      <c r="B925" s="5" t="s">
        <v>20</v>
      </c>
      <c r="C925" s="3" t="s">
        <v>1126</v>
      </c>
      <c r="D925" s="6">
        <v>2024</v>
      </c>
      <c r="E925" s="3" t="s">
        <v>1127</v>
      </c>
      <c r="F925" s="3" t="s">
        <v>4482</v>
      </c>
      <c r="G925" s="5" t="s">
        <v>110</v>
      </c>
      <c r="H925" s="5" t="s">
        <v>4483</v>
      </c>
      <c r="I925" s="5"/>
      <c r="J925" s="3"/>
    </row>
    <row r="926" spans="1:10" ht="409.5" customHeight="1">
      <c r="A926" s="5" t="s">
        <v>1033</v>
      </c>
      <c r="B926" s="5" t="s">
        <v>20</v>
      </c>
      <c r="C926" s="3" t="s">
        <v>1034</v>
      </c>
      <c r="D926" s="6">
        <v>2024</v>
      </c>
      <c r="E926" s="3" t="s">
        <v>1035</v>
      </c>
      <c r="F926" s="3" t="s">
        <v>4484</v>
      </c>
      <c r="G926" s="5" t="s">
        <v>115</v>
      </c>
      <c r="H926" s="5" t="s">
        <v>4485</v>
      </c>
      <c r="I926" s="5"/>
      <c r="J926" s="3"/>
    </row>
    <row r="927" spans="1:10" ht="213.75" customHeight="1">
      <c r="A927" s="5" t="s">
        <v>4486</v>
      </c>
      <c r="B927" s="5" t="s">
        <v>20</v>
      </c>
      <c r="C927" s="3" t="s">
        <v>4487</v>
      </c>
      <c r="D927" s="6">
        <v>2024</v>
      </c>
      <c r="E927" s="3" t="s">
        <v>4488</v>
      </c>
      <c r="F927" s="3" t="s">
        <v>4489</v>
      </c>
      <c r="G927" s="5" t="s">
        <v>115</v>
      </c>
      <c r="H927" s="5" t="s">
        <v>4490</v>
      </c>
      <c r="I927" s="5"/>
      <c r="J927" s="3"/>
    </row>
    <row r="928" spans="1:10" ht="213.75" customHeight="1">
      <c r="A928" s="5" t="s">
        <v>4491</v>
      </c>
      <c r="B928" s="5" t="s">
        <v>20</v>
      </c>
      <c r="C928" s="3" t="s">
        <v>4492</v>
      </c>
      <c r="D928" s="6">
        <v>2024</v>
      </c>
      <c r="E928" s="3" t="s">
        <v>4493</v>
      </c>
      <c r="F928" s="3" t="s">
        <v>4494</v>
      </c>
      <c r="G928" s="5" t="s">
        <v>115</v>
      </c>
      <c r="H928" s="5" t="s">
        <v>4495</v>
      </c>
      <c r="I928" s="5"/>
      <c r="J928" s="3"/>
    </row>
    <row r="929" spans="1:10" ht="342" customHeight="1">
      <c r="A929" s="5" t="s">
        <v>4496</v>
      </c>
      <c r="B929" s="5" t="s">
        <v>20</v>
      </c>
      <c r="C929" s="3" t="s">
        <v>4497</v>
      </c>
      <c r="D929" s="6">
        <v>2025</v>
      </c>
      <c r="E929" s="3" t="s">
        <v>4498</v>
      </c>
      <c r="F929" s="3" t="s">
        <v>4499</v>
      </c>
      <c r="G929" s="5" t="s">
        <v>115</v>
      </c>
      <c r="H929" s="5" t="s">
        <v>4500</v>
      </c>
      <c r="I929" s="5"/>
      <c r="J929" s="3"/>
    </row>
    <row r="930" spans="1:10" ht="242.25" customHeight="1">
      <c r="A930" s="5" t="s">
        <v>4501</v>
      </c>
      <c r="B930" s="5" t="s">
        <v>20</v>
      </c>
      <c r="C930" s="3" t="s">
        <v>4502</v>
      </c>
      <c r="D930" s="6">
        <v>2024</v>
      </c>
      <c r="E930" s="3" t="s">
        <v>4503</v>
      </c>
      <c r="F930" s="3" t="s">
        <v>4504</v>
      </c>
      <c r="G930" s="5" t="s">
        <v>115</v>
      </c>
      <c r="H930" s="5" t="s">
        <v>4505</v>
      </c>
      <c r="I930" s="5"/>
      <c r="J930" s="3"/>
    </row>
    <row r="931" spans="1:10" ht="185.25" customHeight="1">
      <c r="A931" s="5" t="s">
        <v>4506</v>
      </c>
      <c r="B931" s="5" t="s">
        <v>20</v>
      </c>
      <c r="C931" s="3" t="s">
        <v>4507</v>
      </c>
      <c r="D931" s="6">
        <v>2023</v>
      </c>
      <c r="E931" s="3" t="s">
        <v>4508</v>
      </c>
      <c r="F931" s="3" t="s">
        <v>4509</v>
      </c>
      <c r="G931" s="5" t="s">
        <v>115</v>
      </c>
      <c r="H931" s="5" t="s">
        <v>4510</v>
      </c>
      <c r="I931" s="5"/>
      <c r="J931" s="3"/>
    </row>
    <row r="932" spans="1:10" ht="242.25" customHeight="1">
      <c r="A932" s="5" t="s">
        <v>4511</v>
      </c>
      <c r="B932" s="5" t="s">
        <v>20</v>
      </c>
      <c r="C932" s="3" t="s">
        <v>4512</v>
      </c>
      <c r="D932" s="6">
        <v>2024</v>
      </c>
      <c r="E932" s="3" t="s">
        <v>4513</v>
      </c>
      <c r="F932" s="3" t="s">
        <v>4514</v>
      </c>
      <c r="G932" s="5" t="s">
        <v>110</v>
      </c>
      <c r="H932" s="5" t="s">
        <v>4515</v>
      </c>
      <c r="I932" s="5"/>
      <c r="J932" s="3"/>
    </row>
    <row r="933" spans="1:10" ht="285" customHeight="1">
      <c r="A933" s="5" t="s">
        <v>4516</v>
      </c>
      <c r="B933" s="5" t="s">
        <v>20</v>
      </c>
      <c r="C933" s="3" t="s">
        <v>4517</v>
      </c>
      <c r="D933" s="6">
        <v>2025</v>
      </c>
      <c r="E933" s="3" t="s">
        <v>4518</v>
      </c>
      <c r="F933" s="3" t="s">
        <v>4519</v>
      </c>
      <c r="G933" s="5" t="s">
        <v>115</v>
      </c>
      <c r="H933" s="5"/>
      <c r="I933" s="5"/>
      <c r="J933" s="3"/>
    </row>
    <row r="934" spans="1:10" ht="270.75" customHeight="1">
      <c r="A934" s="5" t="s">
        <v>4520</v>
      </c>
      <c r="B934" s="5" t="s">
        <v>20</v>
      </c>
      <c r="C934" s="3" t="s">
        <v>4521</v>
      </c>
      <c r="D934" s="6">
        <v>2025</v>
      </c>
      <c r="E934" s="3" t="s">
        <v>4522</v>
      </c>
      <c r="F934" s="3" t="s">
        <v>4523</v>
      </c>
      <c r="G934" s="5" t="s">
        <v>115</v>
      </c>
      <c r="H934" s="5" t="s">
        <v>4524</v>
      </c>
      <c r="I934" s="5"/>
      <c r="J934" s="3"/>
    </row>
    <row r="935" spans="1:10" ht="299.25" customHeight="1">
      <c r="A935" s="5" t="s">
        <v>4525</v>
      </c>
      <c r="B935" s="5" t="s">
        <v>20</v>
      </c>
      <c r="C935" s="3" t="s">
        <v>4526</v>
      </c>
      <c r="D935" s="6">
        <v>2024</v>
      </c>
      <c r="E935" s="3" t="s">
        <v>4527</v>
      </c>
      <c r="F935" s="3" t="s">
        <v>4528</v>
      </c>
      <c r="G935" s="5" t="s">
        <v>115</v>
      </c>
      <c r="H935" s="5" t="s">
        <v>4529</v>
      </c>
      <c r="I935" s="5"/>
      <c r="J935" s="3"/>
    </row>
    <row r="936" spans="1:10" ht="285" customHeight="1">
      <c r="A936" s="5" t="s">
        <v>4530</v>
      </c>
      <c r="B936" s="5" t="s">
        <v>20</v>
      </c>
      <c r="C936" s="3" t="s">
        <v>4531</v>
      </c>
      <c r="D936" s="6">
        <v>2025</v>
      </c>
      <c r="E936" s="3" t="s">
        <v>4532</v>
      </c>
      <c r="F936" s="3" t="s">
        <v>4533</v>
      </c>
      <c r="G936" s="5" t="s">
        <v>115</v>
      </c>
      <c r="H936" s="5" t="s">
        <v>4534</v>
      </c>
      <c r="I936" s="5"/>
      <c r="J936" s="3"/>
    </row>
    <row r="937" spans="1:10" ht="242.25" customHeight="1">
      <c r="A937" s="5" t="s">
        <v>4535</v>
      </c>
      <c r="B937" s="5" t="s">
        <v>20</v>
      </c>
      <c r="C937" s="3" t="s">
        <v>4536</v>
      </c>
      <c r="D937" s="6">
        <v>2024</v>
      </c>
      <c r="E937" s="3" t="s">
        <v>4537</v>
      </c>
      <c r="F937" s="3" t="s">
        <v>4538</v>
      </c>
      <c r="G937" s="5" t="s">
        <v>115</v>
      </c>
      <c r="H937" s="5" t="s">
        <v>4539</v>
      </c>
      <c r="I937" s="5"/>
      <c r="J937" s="3"/>
    </row>
    <row r="938" spans="1:10" ht="171" customHeight="1">
      <c r="A938" s="5" t="s">
        <v>1075</v>
      </c>
      <c r="B938" s="5" t="s">
        <v>20</v>
      </c>
      <c r="C938" s="3" t="s">
        <v>1076</v>
      </c>
      <c r="D938" s="6">
        <v>2024</v>
      </c>
      <c r="E938" s="3" t="s">
        <v>1077</v>
      </c>
      <c r="F938" s="3" t="s">
        <v>4540</v>
      </c>
      <c r="G938" s="5" t="s">
        <v>115</v>
      </c>
      <c r="H938" s="5" t="s">
        <v>4541</v>
      </c>
      <c r="I938" s="5"/>
      <c r="J938" s="3"/>
    </row>
    <row r="939" spans="1:10" ht="242.25" customHeight="1">
      <c r="A939" s="5" t="s">
        <v>4542</v>
      </c>
      <c r="B939" s="5" t="s">
        <v>20</v>
      </c>
      <c r="C939" s="3" t="s">
        <v>4543</v>
      </c>
      <c r="D939" s="6">
        <v>2025</v>
      </c>
      <c r="E939" s="3" t="s">
        <v>4544</v>
      </c>
      <c r="F939" s="3" t="s">
        <v>4545</v>
      </c>
      <c r="G939" s="5" t="s">
        <v>115</v>
      </c>
      <c r="H939" s="5" t="s">
        <v>4546</v>
      </c>
      <c r="I939" s="5"/>
      <c r="J939" s="3"/>
    </row>
    <row r="940" spans="1:10" ht="327.75" customHeight="1">
      <c r="A940" s="5" t="s">
        <v>4547</v>
      </c>
      <c r="B940" s="5" t="s">
        <v>20</v>
      </c>
      <c r="C940" s="3" t="s">
        <v>4548</v>
      </c>
      <c r="D940" s="6">
        <v>2024</v>
      </c>
      <c r="E940" s="3" t="s">
        <v>4549</v>
      </c>
      <c r="F940" s="3" t="s">
        <v>4550</v>
      </c>
      <c r="G940" s="5" t="s">
        <v>110</v>
      </c>
      <c r="H940" s="5" t="s">
        <v>4551</v>
      </c>
      <c r="I940" s="5"/>
      <c r="J940" s="3"/>
    </row>
    <row r="941" spans="1:10" ht="409.5" customHeight="1">
      <c r="A941" s="5" t="s">
        <v>4552</v>
      </c>
      <c r="B941" s="5" t="s">
        <v>20</v>
      </c>
      <c r="C941" s="3" t="s">
        <v>4553</v>
      </c>
      <c r="D941" s="6">
        <v>2025</v>
      </c>
      <c r="E941" s="3" t="s">
        <v>4554</v>
      </c>
      <c r="F941" s="3" t="s">
        <v>4555</v>
      </c>
      <c r="G941" s="5" t="s">
        <v>110</v>
      </c>
      <c r="H941" s="5" t="s">
        <v>4556</v>
      </c>
      <c r="I941" s="5"/>
      <c r="J941" s="3"/>
    </row>
    <row r="942" spans="1:10" ht="242.25" customHeight="1">
      <c r="A942" s="5" t="s">
        <v>4557</v>
      </c>
      <c r="B942" s="5" t="s">
        <v>20</v>
      </c>
      <c r="C942" s="3" t="s">
        <v>4558</v>
      </c>
      <c r="D942" s="6">
        <v>2024</v>
      </c>
      <c r="E942" s="3" t="s">
        <v>4559</v>
      </c>
      <c r="F942" s="3" t="s">
        <v>4560</v>
      </c>
      <c r="G942" s="5" t="s">
        <v>115</v>
      </c>
      <c r="H942" s="5" t="s">
        <v>4561</v>
      </c>
      <c r="I942" s="5"/>
      <c r="J942" s="3"/>
    </row>
    <row r="943" spans="1:10" ht="356.25" customHeight="1">
      <c r="A943" s="5" t="s">
        <v>4562</v>
      </c>
      <c r="B943" s="5" t="s">
        <v>20</v>
      </c>
      <c r="C943" s="3" t="s">
        <v>4563</v>
      </c>
      <c r="D943" s="6">
        <v>2024</v>
      </c>
      <c r="E943" s="3" t="s">
        <v>4564</v>
      </c>
      <c r="F943" s="3" t="s">
        <v>4565</v>
      </c>
      <c r="G943" s="5" t="s">
        <v>110</v>
      </c>
      <c r="H943" s="5" t="s">
        <v>4566</v>
      </c>
      <c r="I943" s="5"/>
      <c r="J943" s="3"/>
    </row>
    <row r="944" spans="1:10" ht="185.25" customHeight="1">
      <c r="A944" s="5" t="s">
        <v>4567</v>
      </c>
      <c r="B944" s="5" t="s">
        <v>20</v>
      </c>
      <c r="C944" s="3" t="s">
        <v>4568</v>
      </c>
      <c r="D944" s="6">
        <v>2024</v>
      </c>
      <c r="E944" s="3" t="s">
        <v>4569</v>
      </c>
      <c r="F944" s="3" t="s">
        <v>4570</v>
      </c>
      <c r="G944" s="5" t="s">
        <v>115</v>
      </c>
      <c r="H944" s="5"/>
      <c r="I944" s="5"/>
      <c r="J944" s="3"/>
    </row>
    <row r="945" spans="1:10" ht="242.25" customHeight="1">
      <c r="A945" s="5" t="s">
        <v>1128</v>
      </c>
      <c r="B945" s="5" t="s">
        <v>20</v>
      </c>
      <c r="C945" s="3" t="s">
        <v>1129</v>
      </c>
      <c r="D945" s="6">
        <v>2024</v>
      </c>
      <c r="E945" s="3" t="s">
        <v>1130</v>
      </c>
      <c r="F945" s="3" t="s">
        <v>4571</v>
      </c>
      <c r="G945" s="5" t="s">
        <v>115</v>
      </c>
      <c r="H945" s="5" t="s">
        <v>4572</v>
      </c>
      <c r="I945" s="5"/>
      <c r="J945" s="3"/>
    </row>
    <row r="946" spans="1:10" ht="409.5" customHeight="1">
      <c r="A946" s="5" t="s">
        <v>4573</v>
      </c>
      <c r="B946" s="5" t="s">
        <v>20</v>
      </c>
      <c r="C946" s="3" t="s">
        <v>4574</v>
      </c>
      <c r="D946" s="6">
        <v>2025</v>
      </c>
      <c r="E946" s="3" t="s">
        <v>4575</v>
      </c>
      <c r="F946" s="3" t="s">
        <v>4576</v>
      </c>
      <c r="G946" s="5" t="s">
        <v>110</v>
      </c>
      <c r="H946" s="5" t="s">
        <v>4577</v>
      </c>
      <c r="I946" s="5"/>
      <c r="J946" s="3"/>
    </row>
    <row r="947" spans="1:10" ht="409.5" customHeight="1">
      <c r="A947" s="5" t="s">
        <v>4578</v>
      </c>
      <c r="B947" s="5" t="s">
        <v>20</v>
      </c>
      <c r="C947" s="3" t="s">
        <v>4579</v>
      </c>
      <c r="D947" s="6">
        <v>2024</v>
      </c>
      <c r="E947" s="3" t="s">
        <v>4580</v>
      </c>
      <c r="F947" s="3" t="s">
        <v>4581</v>
      </c>
      <c r="G947" s="5" t="s">
        <v>110</v>
      </c>
      <c r="H947" s="5" t="s">
        <v>4582</v>
      </c>
      <c r="I947" s="5"/>
      <c r="J947" s="3"/>
    </row>
    <row r="948" spans="1:10" ht="285" customHeight="1">
      <c r="A948" s="5" t="s">
        <v>4583</v>
      </c>
      <c r="B948" s="5" t="s">
        <v>20</v>
      </c>
      <c r="C948" s="3" t="s">
        <v>4584</v>
      </c>
      <c r="D948" s="6">
        <v>2023</v>
      </c>
      <c r="E948" s="3" t="s">
        <v>4585</v>
      </c>
      <c r="F948" s="3" t="s">
        <v>4586</v>
      </c>
      <c r="G948" s="5" t="s">
        <v>115</v>
      </c>
      <c r="H948" s="5" t="s">
        <v>4587</v>
      </c>
      <c r="I948" s="5"/>
      <c r="J948" s="3"/>
    </row>
    <row r="949" spans="1:10" ht="242.25" customHeight="1">
      <c r="A949" s="5" t="s">
        <v>4588</v>
      </c>
      <c r="B949" s="5" t="s">
        <v>20</v>
      </c>
      <c r="C949" s="3" t="s">
        <v>4589</v>
      </c>
      <c r="D949" s="6">
        <v>2024</v>
      </c>
      <c r="E949" s="3" t="s">
        <v>4590</v>
      </c>
      <c r="F949" s="3" t="s">
        <v>4591</v>
      </c>
      <c r="G949" s="5" t="s">
        <v>115</v>
      </c>
      <c r="H949" s="5" t="s">
        <v>4592</v>
      </c>
      <c r="I949" s="5"/>
      <c r="J949" s="3"/>
    </row>
    <row r="950" spans="1:10" ht="299.25" customHeight="1">
      <c r="A950" s="5" t="s">
        <v>4593</v>
      </c>
      <c r="B950" s="5" t="s">
        <v>20</v>
      </c>
      <c r="C950" s="3" t="s">
        <v>4594</v>
      </c>
      <c r="D950" s="6">
        <v>2025</v>
      </c>
      <c r="E950" s="3" t="s">
        <v>4595</v>
      </c>
      <c r="F950" s="3" t="s">
        <v>4596</v>
      </c>
      <c r="G950" s="5" t="s">
        <v>115</v>
      </c>
      <c r="H950" s="5" t="s">
        <v>4597</v>
      </c>
      <c r="I950" s="5"/>
      <c r="J950" s="3"/>
    </row>
    <row r="951" spans="1:10" ht="299.25" customHeight="1">
      <c r="A951" s="5" t="s">
        <v>4598</v>
      </c>
      <c r="B951" s="5" t="s">
        <v>20</v>
      </c>
      <c r="C951" s="3" t="s">
        <v>4599</v>
      </c>
      <c r="D951" s="6">
        <v>2024</v>
      </c>
      <c r="E951" s="3" t="s">
        <v>4600</v>
      </c>
      <c r="F951" s="3" t="s">
        <v>4601</v>
      </c>
      <c r="G951" s="5" t="s">
        <v>115</v>
      </c>
      <c r="H951" s="5" t="s">
        <v>4602</v>
      </c>
      <c r="I951" s="5"/>
      <c r="J951" s="3"/>
    </row>
    <row r="952" spans="1:10" ht="256.5" customHeight="1">
      <c r="A952" s="5" t="s">
        <v>4603</v>
      </c>
      <c r="B952" s="5" t="s">
        <v>20</v>
      </c>
      <c r="C952" s="3" t="s">
        <v>4604</v>
      </c>
      <c r="D952" s="6">
        <v>2025</v>
      </c>
      <c r="E952" s="3" t="s">
        <v>4605</v>
      </c>
      <c r="F952" s="3" t="s">
        <v>4606</v>
      </c>
      <c r="G952" s="5" t="s">
        <v>115</v>
      </c>
      <c r="H952" s="5" t="s">
        <v>4607</v>
      </c>
      <c r="I952" s="5"/>
      <c r="J952" s="3"/>
    </row>
    <row r="953" spans="1:10" ht="228" customHeight="1">
      <c r="A953" s="5" t="s">
        <v>4608</v>
      </c>
      <c r="B953" s="5" t="s">
        <v>20</v>
      </c>
      <c r="C953" s="3" t="s">
        <v>4609</v>
      </c>
      <c r="D953" s="6">
        <v>2025</v>
      </c>
      <c r="E953" s="3" t="s">
        <v>4610</v>
      </c>
      <c r="F953" s="3" t="s">
        <v>4611</v>
      </c>
      <c r="G953" s="5" t="s">
        <v>115</v>
      </c>
      <c r="H953" s="5" t="s">
        <v>4612</v>
      </c>
      <c r="I953" s="5"/>
      <c r="J953" s="3"/>
    </row>
    <row r="954" spans="1:10" ht="213.75" customHeight="1">
      <c r="A954" s="5" t="s">
        <v>4613</v>
      </c>
      <c r="B954" s="5" t="s">
        <v>20</v>
      </c>
      <c r="C954" s="3" t="s">
        <v>4614</v>
      </c>
      <c r="D954" s="6">
        <v>2025</v>
      </c>
      <c r="E954" s="3" t="s">
        <v>4615</v>
      </c>
      <c r="F954" s="3" t="s">
        <v>4616</v>
      </c>
      <c r="G954" s="5" t="s">
        <v>115</v>
      </c>
      <c r="H954" s="5" t="s">
        <v>4617</v>
      </c>
      <c r="I954" s="5"/>
      <c r="J954" s="3"/>
    </row>
    <row r="955" spans="1:10" ht="409.5" customHeight="1">
      <c r="A955" s="5" t="s">
        <v>4618</v>
      </c>
      <c r="B955" s="5" t="s">
        <v>20</v>
      </c>
      <c r="C955" s="3" t="s">
        <v>4619</v>
      </c>
      <c r="D955" s="6">
        <v>2024</v>
      </c>
      <c r="E955" s="3" t="s">
        <v>4620</v>
      </c>
      <c r="F955" s="3" t="s">
        <v>4621</v>
      </c>
      <c r="G955" s="5" t="s">
        <v>110</v>
      </c>
      <c r="H955" s="5" t="s">
        <v>4622</v>
      </c>
      <c r="I955" s="5"/>
      <c r="J955" s="3"/>
    </row>
    <row r="956" spans="1:10" ht="199.5" customHeight="1">
      <c r="A956" s="5" t="s">
        <v>4623</v>
      </c>
      <c r="B956" s="5" t="s">
        <v>20</v>
      </c>
      <c r="C956" s="3" t="s">
        <v>4624</v>
      </c>
      <c r="D956" s="6">
        <v>2025</v>
      </c>
      <c r="E956" s="3" t="s">
        <v>4625</v>
      </c>
      <c r="F956" s="3" t="s">
        <v>4626</v>
      </c>
      <c r="G956" s="5" t="s">
        <v>115</v>
      </c>
      <c r="H956" s="5" t="s">
        <v>4627</v>
      </c>
      <c r="I956" s="5"/>
      <c r="J956" s="3"/>
    </row>
    <row r="957" spans="1:10" ht="256.5" customHeight="1">
      <c r="A957" s="5" t="s">
        <v>4628</v>
      </c>
      <c r="B957" s="5" t="s">
        <v>20</v>
      </c>
      <c r="C957" s="3" t="s">
        <v>4629</v>
      </c>
      <c r="D957" s="6">
        <v>2025</v>
      </c>
      <c r="E957" s="3" t="s">
        <v>4630</v>
      </c>
      <c r="F957" s="3" t="s">
        <v>4631</v>
      </c>
      <c r="G957" s="5" t="s">
        <v>110</v>
      </c>
      <c r="H957" s="5" t="s">
        <v>4632</v>
      </c>
      <c r="I957" s="5"/>
      <c r="J957" s="3"/>
    </row>
    <row r="958" spans="1:10" ht="228" customHeight="1">
      <c r="A958" s="5" t="s">
        <v>4633</v>
      </c>
      <c r="B958" s="5" t="s">
        <v>20</v>
      </c>
      <c r="C958" s="3" t="s">
        <v>4634</v>
      </c>
      <c r="D958" s="6">
        <v>2025</v>
      </c>
      <c r="E958" s="3" t="s">
        <v>4635</v>
      </c>
      <c r="F958" s="3" t="s">
        <v>4636</v>
      </c>
      <c r="G958" s="5" t="s">
        <v>115</v>
      </c>
      <c r="H958" s="5" t="s">
        <v>4637</v>
      </c>
      <c r="I958" s="5"/>
      <c r="J958" s="3"/>
    </row>
    <row r="959" spans="1:10" ht="213.75" customHeight="1">
      <c r="A959" s="5" t="s">
        <v>4638</v>
      </c>
      <c r="B959" s="5" t="s">
        <v>20</v>
      </c>
      <c r="C959" s="3" t="s">
        <v>4639</v>
      </c>
      <c r="D959" s="6">
        <v>2024</v>
      </c>
      <c r="E959" s="3" t="s">
        <v>4640</v>
      </c>
      <c r="F959" s="3" t="s">
        <v>4641</v>
      </c>
      <c r="G959" s="5" t="s">
        <v>115</v>
      </c>
      <c r="H959" s="5" t="s">
        <v>4642</v>
      </c>
      <c r="I959" s="5"/>
      <c r="J959" s="3"/>
    </row>
    <row r="960" spans="1:10" ht="171" customHeight="1">
      <c r="A960" s="5" t="s">
        <v>4643</v>
      </c>
      <c r="B960" s="5" t="s">
        <v>20</v>
      </c>
      <c r="C960" s="3" t="s">
        <v>4644</v>
      </c>
      <c r="D960" s="6">
        <v>2024</v>
      </c>
      <c r="E960" s="3" t="s">
        <v>4645</v>
      </c>
      <c r="F960" s="3" t="s">
        <v>4646</v>
      </c>
      <c r="G960" s="5" t="s">
        <v>115</v>
      </c>
      <c r="H960" s="5"/>
      <c r="I960" s="5"/>
      <c r="J960" s="3"/>
    </row>
    <row r="961" spans="1:10" ht="242.25" customHeight="1">
      <c r="A961" s="5" t="s">
        <v>4647</v>
      </c>
      <c r="B961" s="5" t="s">
        <v>20</v>
      </c>
      <c r="C961" s="3" t="s">
        <v>4648</v>
      </c>
      <c r="D961" s="6">
        <v>2024</v>
      </c>
      <c r="E961" s="3" t="s">
        <v>4649</v>
      </c>
      <c r="F961" s="3" t="s">
        <v>4650</v>
      </c>
      <c r="G961" s="5" t="s">
        <v>115</v>
      </c>
      <c r="H961" s="5" t="s">
        <v>4651</v>
      </c>
      <c r="I961" s="5"/>
      <c r="J961" s="3"/>
    </row>
    <row r="962" spans="1:10" ht="256.5" customHeight="1">
      <c r="A962" s="5" t="s">
        <v>1048</v>
      </c>
      <c r="B962" s="5" t="s">
        <v>20</v>
      </c>
      <c r="C962" s="3" t="s">
        <v>1049</v>
      </c>
      <c r="D962" s="6">
        <v>2023</v>
      </c>
      <c r="E962" s="3" t="s">
        <v>1050</v>
      </c>
      <c r="F962" s="3" t="s">
        <v>4652</v>
      </c>
      <c r="G962" s="5" t="s">
        <v>115</v>
      </c>
      <c r="H962" s="5"/>
      <c r="I962" s="5"/>
      <c r="J962" s="3"/>
    </row>
    <row r="963" spans="1:10" ht="356.25" customHeight="1">
      <c r="A963" s="5" t="s">
        <v>4653</v>
      </c>
      <c r="B963" s="5" t="s">
        <v>20</v>
      </c>
      <c r="C963" s="3" t="s">
        <v>4654</v>
      </c>
      <c r="D963" s="6">
        <v>2025</v>
      </c>
      <c r="E963" s="3" t="s">
        <v>4655</v>
      </c>
      <c r="F963" s="3" t="s">
        <v>4656</v>
      </c>
      <c r="G963" s="5" t="s">
        <v>110</v>
      </c>
      <c r="H963" s="5" t="s">
        <v>4657</v>
      </c>
      <c r="I963" s="5"/>
      <c r="J963" s="3"/>
    </row>
    <row r="964" spans="1:10" ht="228" customHeight="1">
      <c r="A964" s="5" t="s">
        <v>4658</v>
      </c>
      <c r="B964" s="5" t="s">
        <v>20</v>
      </c>
      <c r="C964" s="3" t="s">
        <v>4659</v>
      </c>
      <c r="D964" s="6">
        <v>2025</v>
      </c>
      <c r="E964" s="3" t="s">
        <v>4660</v>
      </c>
      <c r="F964" s="3" t="s">
        <v>4661</v>
      </c>
      <c r="G964" s="5" t="s">
        <v>115</v>
      </c>
      <c r="H964" s="5" t="s">
        <v>4662</v>
      </c>
      <c r="I964" s="5"/>
      <c r="J964" s="3"/>
    </row>
    <row r="965" spans="1:10" ht="114" customHeight="1">
      <c r="A965" s="5" t="s">
        <v>1152</v>
      </c>
      <c r="B965" s="5" t="s">
        <v>20</v>
      </c>
      <c r="C965" s="3" t="s">
        <v>1153</v>
      </c>
      <c r="D965" s="6">
        <v>2024</v>
      </c>
      <c r="E965" s="3" t="s">
        <v>1154</v>
      </c>
      <c r="F965" s="3" t="s">
        <v>4663</v>
      </c>
      <c r="G965" s="5" t="s">
        <v>115</v>
      </c>
      <c r="H965" s="5" t="s">
        <v>4664</v>
      </c>
      <c r="I965" s="5"/>
      <c r="J965" s="3"/>
    </row>
    <row r="966" spans="1:10" ht="242.25" customHeight="1">
      <c r="A966" s="5" t="s">
        <v>4665</v>
      </c>
      <c r="B966" s="5" t="s">
        <v>20</v>
      </c>
      <c r="C966" s="3" t="s">
        <v>4666</v>
      </c>
      <c r="D966" s="6">
        <v>2025</v>
      </c>
      <c r="E966" s="3" t="s">
        <v>4667</v>
      </c>
      <c r="F966" s="3" t="s">
        <v>4668</v>
      </c>
      <c r="G966" s="5" t="s">
        <v>115</v>
      </c>
      <c r="H966" s="5" t="s">
        <v>4669</v>
      </c>
      <c r="I966" s="5"/>
      <c r="J966" s="3"/>
    </row>
    <row r="967" spans="1:10" ht="327.75" customHeight="1">
      <c r="A967" s="5" t="s">
        <v>4670</v>
      </c>
      <c r="B967" s="5" t="s">
        <v>20</v>
      </c>
      <c r="C967" s="3" t="s">
        <v>4671</v>
      </c>
      <c r="D967" s="6">
        <v>2024</v>
      </c>
      <c r="E967" s="3" t="s">
        <v>4672</v>
      </c>
      <c r="F967" s="3" t="s">
        <v>4673</v>
      </c>
      <c r="G967" s="5" t="s">
        <v>110</v>
      </c>
      <c r="H967" s="5" t="s">
        <v>4674</v>
      </c>
      <c r="I967" s="5"/>
      <c r="J967" s="3"/>
    </row>
    <row r="968" spans="1:10" ht="242.25" customHeight="1">
      <c r="A968" s="5" t="s">
        <v>4675</v>
      </c>
      <c r="B968" s="5" t="s">
        <v>20</v>
      </c>
      <c r="C968" s="3" t="s">
        <v>4676</v>
      </c>
      <c r="D968" s="6">
        <v>2025</v>
      </c>
      <c r="E968" s="3" t="s">
        <v>4677</v>
      </c>
      <c r="F968" s="3" t="s">
        <v>4678</v>
      </c>
      <c r="G968" s="5" t="s">
        <v>115</v>
      </c>
      <c r="H968" s="5" t="s">
        <v>4679</v>
      </c>
      <c r="I968" s="5"/>
      <c r="J968" s="3"/>
    </row>
    <row r="969" spans="1:10" ht="299.25" customHeight="1">
      <c r="A969" s="5" t="s">
        <v>789</v>
      </c>
      <c r="B969" s="5" t="s">
        <v>20</v>
      </c>
      <c r="C969" s="3" t="s">
        <v>790</v>
      </c>
      <c r="D969" s="6">
        <v>2025</v>
      </c>
      <c r="E969" s="3" t="s">
        <v>791</v>
      </c>
      <c r="F969" s="3" t="s">
        <v>4680</v>
      </c>
      <c r="G969" s="5" t="s">
        <v>115</v>
      </c>
      <c r="H969" s="5" t="s">
        <v>4681</v>
      </c>
      <c r="I969" s="5"/>
      <c r="J969" s="3"/>
    </row>
    <row r="970" spans="1:10" ht="342" customHeight="1">
      <c r="A970" s="5" t="s">
        <v>4682</v>
      </c>
      <c r="B970" s="5" t="s">
        <v>20</v>
      </c>
      <c r="C970" s="3" t="s">
        <v>4683</v>
      </c>
      <c r="D970" s="6">
        <v>2024</v>
      </c>
      <c r="E970" s="3" t="s">
        <v>4684</v>
      </c>
      <c r="F970" s="3" t="s">
        <v>4685</v>
      </c>
      <c r="G970" s="5" t="s">
        <v>115</v>
      </c>
      <c r="H970" s="5"/>
      <c r="I970" s="5"/>
      <c r="J970" s="3"/>
    </row>
    <row r="971" spans="1:10" ht="299.25" customHeight="1">
      <c r="A971" s="5" t="s">
        <v>1072</v>
      </c>
      <c r="B971" s="5" t="s">
        <v>20</v>
      </c>
      <c r="C971" s="3" t="s">
        <v>1073</v>
      </c>
      <c r="D971" s="6">
        <v>2024</v>
      </c>
      <c r="E971" s="3" t="s">
        <v>1074</v>
      </c>
      <c r="F971" s="3" t="s">
        <v>4686</v>
      </c>
      <c r="G971" s="5" t="s">
        <v>115</v>
      </c>
      <c r="H971" s="5" t="s">
        <v>4687</v>
      </c>
      <c r="I971" s="5"/>
      <c r="J971" s="3"/>
    </row>
    <row r="972" spans="1:10" ht="285" customHeight="1">
      <c r="A972" s="5" t="s">
        <v>4688</v>
      </c>
      <c r="B972" s="5" t="s">
        <v>20</v>
      </c>
      <c r="C972" s="3" t="s">
        <v>4689</v>
      </c>
      <c r="D972" s="6">
        <v>2024</v>
      </c>
      <c r="E972" s="3" t="s">
        <v>4690</v>
      </c>
      <c r="F972" s="3" t="s">
        <v>4691</v>
      </c>
      <c r="G972" s="5" t="s">
        <v>110</v>
      </c>
      <c r="H972" s="5" t="s">
        <v>4692</v>
      </c>
      <c r="I972" s="5"/>
      <c r="J972" s="3"/>
    </row>
    <row r="973" spans="1:10" ht="256.5" customHeight="1">
      <c r="A973" s="5" t="s">
        <v>4693</v>
      </c>
      <c r="B973" s="5" t="s">
        <v>20</v>
      </c>
      <c r="C973" s="3" t="s">
        <v>4694</v>
      </c>
      <c r="D973" s="6">
        <v>2024</v>
      </c>
      <c r="E973" s="3" t="s">
        <v>4695</v>
      </c>
      <c r="F973" s="3" t="s">
        <v>4696</v>
      </c>
      <c r="G973" s="5" t="s">
        <v>115</v>
      </c>
      <c r="H973" s="5" t="s">
        <v>4697</v>
      </c>
      <c r="I973" s="5"/>
      <c r="J973" s="3"/>
    </row>
    <row r="974" spans="1:10" ht="242.25" customHeight="1">
      <c r="A974" s="5" t="s">
        <v>4698</v>
      </c>
      <c r="B974" s="5" t="s">
        <v>20</v>
      </c>
      <c r="C974" s="3" t="s">
        <v>4699</v>
      </c>
      <c r="D974" s="6">
        <v>2025</v>
      </c>
      <c r="E974" s="3" t="s">
        <v>4700</v>
      </c>
      <c r="F974" s="3" t="s">
        <v>4701</v>
      </c>
      <c r="G974" s="5" t="s">
        <v>115</v>
      </c>
      <c r="H974" s="5" t="s">
        <v>4702</v>
      </c>
      <c r="I974" s="5"/>
      <c r="J974" s="3"/>
    </row>
    <row r="975" spans="1:10" ht="270.75" customHeight="1">
      <c r="A975" s="5" t="s">
        <v>4703</v>
      </c>
      <c r="B975" s="5" t="s">
        <v>20</v>
      </c>
      <c r="C975" s="3" t="s">
        <v>4704</v>
      </c>
      <c r="D975" s="6">
        <v>2023</v>
      </c>
      <c r="E975" s="3" t="s">
        <v>4705</v>
      </c>
      <c r="F975" s="3" t="s">
        <v>4706</v>
      </c>
      <c r="G975" s="5" t="s">
        <v>115</v>
      </c>
      <c r="H975" s="5" t="s">
        <v>4707</v>
      </c>
      <c r="I975" s="5"/>
      <c r="J975" s="3"/>
    </row>
    <row r="976" spans="1:10" ht="285" customHeight="1">
      <c r="A976" s="5" t="s">
        <v>4708</v>
      </c>
      <c r="B976" s="5" t="s">
        <v>20</v>
      </c>
      <c r="C976" s="3" t="s">
        <v>4709</v>
      </c>
      <c r="D976" s="6">
        <v>2024</v>
      </c>
      <c r="E976" s="3" t="s">
        <v>4710</v>
      </c>
      <c r="F976" s="3" t="s">
        <v>4711</v>
      </c>
      <c r="G976" s="5" t="s">
        <v>115</v>
      </c>
      <c r="H976" s="5" t="s">
        <v>4712</v>
      </c>
      <c r="I976" s="5"/>
      <c r="J976" s="3"/>
    </row>
    <row r="977" spans="1:10" ht="199.5" customHeight="1">
      <c r="A977" s="5" t="s">
        <v>4713</v>
      </c>
      <c r="B977" s="5" t="s">
        <v>20</v>
      </c>
      <c r="C977" s="3" t="s">
        <v>4714</v>
      </c>
      <c r="D977" s="6">
        <v>2025</v>
      </c>
      <c r="E977" s="3" t="s">
        <v>4715</v>
      </c>
      <c r="F977" s="3" t="s">
        <v>4716</v>
      </c>
      <c r="G977" s="5" t="s">
        <v>115</v>
      </c>
      <c r="H977" s="5" t="s">
        <v>4717</v>
      </c>
      <c r="I977" s="5"/>
      <c r="J977" s="3"/>
    </row>
    <row r="978" spans="1:10" ht="228" customHeight="1">
      <c r="A978" s="5" t="s">
        <v>4718</v>
      </c>
      <c r="B978" s="5" t="s">
        <v>20</v>
      </c>
      <c r="C978" s="3" t="s">
        <v>4719</v>
      </c>
      <c r="D978" s="6">
        <v>2023</v>
      </c>
      <c r="E978" s="3" t="s">
        <v>4720</v>
      </c>
      <c r="F978" s="3" t="s">
        <v>4721</v>
      </c>
      <c r="G978" s="5" t="s">
        <v>115</v>
      </c>
      <c r="H978" s="5" t="s">
        <v>4722</v>
      </c>
      <c r="I978" s="5"/>
      <c r="J978" s="3"/>
    </row>
    <row r="979" spans="1:10" ht="242.25" customHeight="1">
      <c r="A979" s="5" t="s">
        <v>4723</v>
      </c>
      <c r="B979" s="5" t="s">
        <v>20</v>
      </c>
      <c r="C979" s="3" t="s">
        <v>4724</v>
      </c>
      <c r="D979" s="6">
        <v>2025</v>
      </c>
      <c r="E979" s="3" t="s">
        <v>4725</v>
      </c>
      <c r="F979" s="3" t="s">
        <v>4726</v>
      </c>
      <c r="G979" s="5" t="s">
        <v>115</v>
      </c>
      <c r="H979" s="5" t="s">
        <v>4727</v>
      </c>
      <c r="I979" s="5"/>
      <c r="J979" s="3"/>
    </row>
    <row r="980" spans="1:10" ht="213.75" customHeight="1">
      <c r="A980" s="5" t="s">
        <v>4728</v>
      </c>
      <c r="B980" s="5" t="s">
        <v>20</v>
      </c>
      <c r="C980" s="3" t="s">
        <v>4729</v>
      </c>
      <c r="D980" s="6">
        <v>2025</v>
      </c>
      <c r="E980" s="3" t="s">
        <v>4730</v>
      </c>
      <c r="F980" s="3" t="s">
        <v>4731</v>
      </c>
      <c r="G980" s="5" t="s">
        <v>115</v>
      </c>
      <c r="H980" s="5" t="s">
        <v>4732</v>
      </c>
      <c r="I980" s="5"/>
      <c r="J980" s="3"/>
    </row>
    <row r="981" spans="1:10" ht="285" customHeight="1">
      <c r="A981" s="5" t="s">
        <v>4733</v>
      </c>
      <c r="B981" s="5" t="s">
        <v>20</v>
      </c>
      <c r="C981" s="3" t="s">
        <v>4734</v>
      </c>
      <c r="D981" s="6">
        <v>2023</v>
      </c>
      <c r="E981" s="3" t="s">
        <v>4735</v>
      </c>
      <c r="F981" s="3" t="s">
        <v>4736</v>
      </c>
      <c r="G981" s="5" t="s">
        <v>115</v>
      </c>
      <c r="H981" s="5" t="s">
        <v>4737</v>
      </c>
      <c r="I981" s="5"/>
      <c r="J981" s="3"/>
    </row>
    <row r="982" spans="1:10" ht="256.5" customHeight="1">
      <c r="A982" s="5" t="s">
        <v>4738</v>
      </c>
      <c r="B982" s="5" t="s">
        <v>20</v>
      </c>
      <c r="C982" s="3" t="s">
        <v>4739</v>
      </c>
      <c r="D982" s="6">
        <v>2025</v>
      </c>
      <c r="E982" s="3" t="s">
        <v>4740</v>
      </c>
      <c r="F982" s="3" t="s">
        <v>4741</v>
      </c>
      <c r="G982" s="5" t="s">
        <v>110</v>
      </c>
      <c r="H982" s="5" t="s">
        <v>4742</v>
      </c>
      <c r="I982" s="5"/>
      <c r="J982" s="3"/>
    </row>
    <row r="983" spans="1:10" ht="199.5" customHeight="1">
      <c r="A983" s="5" t="s">
        <v>4743</v>
      </c>
      <c r="B983" s="5" t="s">
        <v>20</v>
      </c>
      <c r="C983" s="3" t="s">
        <v>4744</v>
      </c>
      <c r="D983" s="6">
        <v>2024</v>
      </c>
      <c r="E983" s="3" t="s">
        <v>4745</v>
      </c>
      <c r="F983" s="3" t="s">
        <v>4746</v>
      </c>
      <c r="G983" s="5" t="s">
        <v>115</v>
      </c>
      <c r="H983" s="5"/>
      <c r="I983" s="5"/>
      <c r="J983" s="3"/>
    </row>
    <row r="984" spans="1:10" ht="270.75" customHeight="1">
      <c r="A984" s="5" t="s">
        <v>4747</v>
      </c>
      <c r="B984" s="5" t="s">
        <v>20</v>
      </c>
      <c r="C984" s="3" t="s">
        <v>4137</v>
      </c>
      <c r="D984" s="6">
        <v>2024</v>
      </c>
      <c r="E984" s="3" t="s">
        <v>4748</v>
      </c>
      <c r="F984" s="3" t="s">
        <v>4749</v>
      </c>
      <c r="G984" s="5" t="s">
        <v>115</v>
      </c>
      <c r="H984" s="5" t="s">
        <v>4750</v>
      </c>
      <c r="I984" s="5"/>
      <c r="J984" s="3"/>
    </row>
    <row r="985" spans="1:10" ht="299.25" customHeight="1">
      <c r="A985" s="5" t="s">
        <v>4751</v>
      </c>
      <c r="B985" s="5" t="s">
        <v>20</v>
      </c>
      <c r="C985" s="3" t="s">
        <v>4752</v>
      </c>
      <c r="D985" s="6">
        <v>2023</v>
      </c>
      <c r="E985" s="3" t="s">
        <v>4753</v>
      </c>
      <c r="F985" s="3" t="s">
        <v>4754</v>
      </c>
      <c r="G985" s="5" t="s">
        <v>110</v>
      </c>
      <c r="H985" s="5" t="s">
        <v>4755</v>
      </c>
      <c r="I985" s="5"/>
      <c r="J985" s="3"/>
    </row>
    <row r="986" spans="1:10" ht="256.5" customHeight="1">
      <c r="A986" s="5" t="s">
        <v>4756</v>
      </c>
      <c r="B986" s="5" t="s">
        <v>20</v>
      </c>
      <c r="C986" s="3" t="s">
        <v>4757</v>
      </c>
      <c r="D986" s="6">
        <v>2025</v>
      </c>
      <c r="E986" s="3" t="s">
        <v>4758</v>
      </c>
      <c r="F986" s="3" t="s">
        <v>4759</v>
      </c>
      <c r="G986" s="5" t="s">
        <v>115</v>
      </c>
      <c r="H986" s="5" t="s">
        <v>4760</v>
      </c>
      <c r="I986" s="5"/>
      <c r="J986" s="3"/>
    </row>
    <row r="987" spans="1:10" ht="409.5" customHeight="1">
      <c r="A987" s="5" t="s">
        <v>4761</v>
      </c>
      <c r="B987" s="5" t="s">
        <v>20</v>
      </c>
      <c r="C987" s="3" t="s">
        <v>4762</v>
      </c>
      <c r="D987" s="6">
        <v>2024</v>
      </c>
      <c r="E987" s="3" t="s">
        <v>4763</v>
      </c>
      <c r="F987" s="3" t="s">
        <v>4764</v>
      </c>
      <c r="G987" s="5" t="s">
        <v>115</v>
      </c>
      <c r="H987" s="5" t="s">
        <v>4765</v>
      </c>
      <c r="I987" s="5"/>
      <c r="J987" s="3"/>
    </row>
    <row r="988" spans="1:10" ht="356.25" customHeight="1">
      <c r="A988" s="5" t="s">
        <v>4766</v>
      </c>
      <c r="B988" s="5" t="s">
        <v>20</v>
      </c>
      <c r="C988" s="3" t="s">
        <v>4767</v>
      </c>
      <c r="D988" s="6">
        <v>2025</v>
      </c>
      <c r="E988" s="3" t="s">
        <v>4768</v>
      </c>
      <c r="F988" s="3" t="s">
        <v>4769</v>
      </c>
      <c r="G988" s="5" t="s">
        <v>115</v>
      </c>
      <c r="H988" s="5" t="s">
        <v>4770</v>
      </c>
      <c r="I988" s="5"/>
      <c r="J988" s="3"/>
    </row>
    <row r="989" spans="1:10" ht="356.25" customHeight="1">
      <c r="A989" s="5" t="s">
        <v>1066</v>
      </c>
      <c r="B989" s="5" t="s">
        <v>20</v>
      </c>
      <c r="C989" s="3" t="s">
        <v>1067</v>
      </c>
      <c r="D989" s="6">
        <v>2025</v>
      </c>
      <c r="E989" s="3" t="s">
        <v>1068</v>
      </c>
      <c r="F989" s="3" t="s">
        <v>4771</v>
      </c>
      <c r="G989" s="5" t="s">
        <v>110</v>
      </c>
      <c r="H989" s="5" t="s">
        <v>4772</v>
      </c>
      <c r="I989" s="5"/>
      <c r="J989" s="3"/>
    </row>
    <row r="990" spans="1:10" ht="270.75" customHeight="1">
      <c r="A990" s="5" t="s">
        <v>4773</v>
      </c>
      <c r="B990" s="5" t="s">
        <v>20</v>
      </c>
      <c r="C990" s="3" t="s">
        <v>4774</v>
      </c>
      <c r="D990" s="6">
        <v>2025</v>
      </c>
      <c r="E990" s="3" t="s">
        <v>4775</v>
      </c>
      <c r="F990" s="3" t="s">
        <v>4776</v>
      </c>
      <c r="G990" s="5" t="s">
        <v>115</v>
      </c>
      <c r="H990" s="5" t="s">
        <v>4777</v>
      </c>
      <c r="I990" s="5"/>
      <c r="J990" s="3"/>
    </row>
    <row r="991" spans="1:10" ht="256.5" customHeight="1">
      <c r="A991" s="5" t="s">
        <v>4778</v>
      </c>
      <c r="B991" s="5" t="s">
        <v>20</v>
      </c>
      <c r="C991" s="3" t="s">
        <v>4779</v>
      </c>
      <c r="D991" s="6">
        <v>2024</v>
      </c>
      <c r="E991" s="3" t="s">
        <v>4780</v>
      </c>
      <c r="F991" s="3" t="s">
        <v>4781</v>
      </c>
      <c r="G991" s="5" t="s">
        <v>115</v>
      </c>
      <c r="H991" s="5"/>
      <c r="I991" s="5"/>
      <c r="J991" s="3"/>
    </row>
    <row r="992" spans="1:10" ht="228" customHeight="1">
      <c r="A992" s="5" t="s">
        <v>4782</v>
      </c>
      <c r="B992" s="5" t="s">
        <v>20</v>
      </c>
      <c r="C992" s="3" t="s">
        <v>4783</v>
      </c>
      <c r="D992" s="6">
        <v>2024</v>
      </c>
      <c r="E992" s="3" t="s">
        <v>4784</v>
      </c>
      <c r="F992" s="3" t="s">
        <v>4785</v>
      </c>
      <c r="G992" s="5" t="s">
        <v>115</v>
      </c>
      <c r="H992" s="5" t="s">
        <v>4786</v>
      </c>
      <c r="I992" s="5"/>
      <c r="J992" s="3"/>
    </row>
    <row r="993" spans="1:10" ht="199.5" customHeight="1">
      <c r="A993" s="5" t="s">
        <v>4787</v>
      </c>
      <c r="B993" s="5" t="s">
        <v>20</v>
      </c>
      <c r="C993" s="3" t="s">
        <v>4788</v>
      </c>
      <c r="D993" s="6">
        <v>2025</v>
      </c>
      <c r="E993" s="3" t="s">
        <v>4789</v>
      </c>
      <c r="F993" s="3" t="s">
        <v>4790</v>
      </c>
      <c r="G993" s="5" t="s">
        <v>115</v>
      </c>
      <c r="H993" s="5" t="s">
        <v>4791</v>
      </c>
      <c r="I993" s="5"/>
      <c r="J993" s="3"/>
    </row>
    <row r="994" spans="1:10" ht="213.75" customHeight="1">
      <c r="A994" s="5" t="s">
        <v>4792</v>
      </c>
      <c r="B994" s="5" t="s">
        <v>20</v>
      </c>
      <c r="C994" s="3" t="s">
        <v>4793</v>
      </c>
      <c r="D994" s="6">
        <v>2024</v>
      </c>
      <c r="E994" s="3" t="s">
        <v>4794</v>
      </c>
      <c r="F994" s="3" t="s">
        <v>4795</v>
      </c>
      <c r="G994" s="5" t="s">
        <v>115</v>
      </c>
      <c r="H994" s="5" t="s">
        <v>4796</v>
      </c>
      <c r="I994" s="5"/>
      <c r="J994" s="3"/>
    </row>
    <row r="995" spans="1:10" ht="342" customHeight="1">
      <c r="A995" s="5" t="s">
        <v>4797</v>
      </c>
      <c r="B995" s="5" t="s">
        <v>20</v>
      </c>
      <c r="C995" s="3" t="s">
        <v>4798</v>
      </c>
      <c r="D995" s="6">
        <v>2025</v>
      </c>
      <c r="E995" s="3" t="s">
        <v>4799</v>
      </c>
      <c r="F995" s="3" t="s">
        <v>4800</v>
      </c>
      <c r="G995" s="5" t="s">
        <v>115</v>
      </c>
      <c r="H995" s="5" t="s">
        <v>4801</v>
      </c>
      <c r="I995" s="5"/>
      <c r="J995" s="3"/>
    </row>
    <row r="996" spans="1:10" ht="156.75" customHeight="1">
      <c r="A996" s="5" t="s">
        <v>4802</v>
      </c>
      <c r="B996" s="5" t="s">
        <v>20</v>
      </c>
      <c r="C996" s="3" t="s">
        <v>4803</v>
      </c>
      <c r="D996" s="6">
        <v>2025</v>
      </c>
      <c r="E996" s="3" t="s">
        <v>4804</v>
      </c>
      <c r="F996" s="3" t="s">
        <v>4805</v>
      </c>
      <c r="G996" s="5" t="s">
        <v>115</v>
      </c>
      <c r="H996" s="5" t="s">
        <v>4806</v>
      </c>
      <c r="I996" s="5"/>
      <c r="J996" s="3"/>
    </row>
    <row r="997" spans="1:10" ht="313.5" customHeight="1">
      <c r="A997" s="5" t="s">
        <v>1105</v>
      </c>
      <c r="B997" s="5" t="s">
        <v>20</v>
      </c>
      <c r="C997" s="3" t="s">
        <v>1106</v>
      </c>
      <c r="D997" s="6">
        <v>2024</v>
      </c>
      <c r="E997" s="3" t="s">
        <v>1107</v>
      </c>
      <c r="F997" s="3" t="s">
        <v>4807</v>
      </c>
      <c r="G997" s="5" t="s">
        <v>115</v>
      </c>
      <c r="H997" s="5" t="s">
        <v>4808</v>
      </c>
      <c r="I997" s="5"/>
      <c r="J997" s="3"/>
    </row>
    <row r="998" spans="1:10" ht="327.75" customHeight="1">
      <c r="A998" s="5" t="s">
        <v>1167</v>
      </c>
      <c r="B998" s="5" t="s">
        <v>20</v>
      </c>
      <c r="C998" s="3" t="s">
        <v>1168</v>
      </c>
      <c r="D998" s="6">
        <v>2024</v>
      </c>
      <c r="E998" s="3" t="s">
        <v>1169</v>
      </c>
      <c r="F998" s="3" t="s">
        <v>4809</v>
      </c>
      <c r="G998" s="5" t="s">
        <v>110</v>
      </c>
      <c r="H998" s="5"/>
      <c r="I998" s="5"/>
      <c r="J998" s="3"/>
    </row>
    <row r="999" spans="1:10" ht="256.5" customHeight="1">
      <c r="A999" s="5" t="s">
        <v>4810</v>
      </c>
      <c r="B999" s="5" t="s">
        <v>20</v>
      </c>
      <c r="C999" s="3" t="s">
        <v>4811</v>
      </c>
      <c r="D999" s="6">
        <v>2025</v>
      </c>
      <c r="E999" s="3" t="s">
        <v>4812</v>
      </c>
      <c r="F999" s="3" t="s">
        <v>4813</v>
      </c>
      <c r="G999" s="5" t="s">
        <v>115</v>
      </c>
      <c r="H999" s="5" t="s">
        <v>4814</v>
      </c>
      <c r="I999" s="5"/>
      <c r="J999" s="3"/>
    </row>
    <row r="1000" spans="1:10" ht="342" customHeight="1">
      <c r="A1000" s="5" t="s">
        <v>4815</v>
      </c>
      <c r="B1000" s="5" t="s">
        <v>20</v>
      </c>
      <c r="C1000" s="3" t="s">
        <v>4816</v>
      </c>
      <c r="D1000" s="6">
        <v>2023</v>
      </c>
      <c r="E1000" s="3" t="s">
        <v>4817</v>
      </c>
      <c r="F1000" s="3" t="s">
        <v>4818</v>
      </c>
      <c r="G1000" s="5" t="s">
        <v>110</v>
      </c>
      <c r="H1000" s="5" t="s">
        <v>4819</v>
      </c>
      <c r="I1000" s="5"/>
      <c r="J1000" s="3"/>
    </row>
    <row r="1001" spans="1:10" ht="185.25" customHeight="1">
      <c r="A1001" s="5" t="s">
        <v>4820</v>
      </c>
      <c r="B1001" s="5" t="s">
        <v>20</v>
      </c>
      <c r="C1001" s="3" t="s">
        <v>4821</v>
      </c>
      <c r="D1001" s="6">
        <v>2025</v>
      </c>
      <c r="E1001" s="3" t="s">
        <v>4822</v>
      </c>
      <c r="F1001" s="3" t="s">
        <v>4823</v>
      </c>
      <c r="G1001" s="5" t="s">
        <v>115</v>
      </c>
      <c r="H1001" s="5" t="s">
        <v>4824</v>
      </c>
      <c r="I1001" s="5"/>
      <c r="J1001" s="3"/>
    </row>
    <row r="1002" spans="1:10" ht="399" customHeight="1">
      <c r="A1002" s="5" t="s">
        <v>4825</v>
      </c>
      <c r="B1002" s="5" t="s">
        <v>20</v>
      </c>
      <c r="C1002" s="3" t="s">
        <v>4826</v>
      </c>
      <c r="D1002" s="6">
        <v>2025</v>
      </c>
      <c r="E1002" s="3" t="s">
        <v>4827</v>
      </c>
      <c r="F1002" s="3" t="s">
        <v>4828</v>
      </c>
      <c r="G1002" s="5" t="s">
        <v>110</v>
      </c>
      <c r="H1002" s="5" t="s">
        <v>4829</v>
      </c>
      <c r="I1002" s="5"/>
      <c r="J1002" s="3"/>
    </row>
    <row r="1003" spans="1:10" ht="384.75" customHeight="1">
      <c r="A1003" s="5" t="s">
        <v>4830</v>
      </c>
      <c r="B1003" s="5" t="s">
        <v>20</v>
      </c>
      <c r="C1003" s="3" t="s">
        <v>4831</v>
      </c>
      <c r="D1003" s="6">
        <v>2025</v>
      </c>
      <c r="E1003" s="3" t="s">
        <v>4832</v>
      </c>
      <c r="F1003" s="3" t="s">
        <v>4833</v>
      </c>
      <c r="G1003" s="5" t="s">
        <v>115</v>
      </c>
      <c r="H1003" s="5"/>
      <c r="I1003" s="5"/>
      <c r="J1003" s="3"/>
    </row>
    <row r="1004" spans="1:10" ht="285" customHeight="1">
      <c r="A1004" s="5" t="s">
        <v>4834</v>
      </c>
      <c r="B1004" s="5" t="s">
        <v>20</v>
      </c>
      <c r="C1004" s="3" t="s">
        <v>4835</v>
      </c>
      <c r="D1004" s="6">
        <v>2024</v>
      </c>
      <c r="E1004" s="3" t="s">
        <v>4836</v>
      </c>
      <c r="F1004" s="3" t="s">
        <v>4837</v>
      </c>
      <c r="G1004" s="5" t="s">
        <v>110</v>
      </c>
      <c r="H1004" s="5" t="s">
        <v>4838</v>
      </c>
      <c r="I1004" s="5"/>
      <c r="J1004" s="3"/>
    </row>
    <row r="1005" spans="1:10" ht="228" customHeight="1">
      <c r="A1005" s="5" t="s">
        <v>4839</v>
      </c>
      <c r="B1005" s="5" t="s">
        <v>20</v>
      </c>
      <c r="C1005" s="3" t="s">
        <v>4840</v>
      </c>
      <c r="D1005" s="6">
        <v>2024</v>
      </c>
      <c r="E1005" s="3" t="s">
        <v>4841</v>
      </c>
      <c r="F1005" s="3" t="s">
        <v>4842</v>
      </c>
      <c r="G1005" s="5" t="s">
        <v>115</v>
      </c>
      <c r="H1005" s="5" t="s">
        <v>4843</v>
      </c>
      <c r="I1005" s="5"/>
      <c r="J1005" s="3"/>
    </row>
    <row r="1006" spans="1:10" ht="156.75" customHeight="1">
      <c r="A1006" s="5" t="s">
        <v>4844</v>
      </c>
      <c r="B1006" s="5" t="s">
        <v>20</v>
      </c>
      <c r="C1006" s="3" t="s">
        <v>4845</v>
      </c>
      <c r="D1006" s="6">
        <v>2023</v>
      </c>
      <c r="E1006" s="3" t="s">
        <v>4846</v>
      </c>
      <c r="F1006" s="3" t="s">
        <v>4847</v>
      </c>
      <c r="G1006" s="5" t="s">
        <v>115</v>
      </c>
      <c r="H1006" s="5" t="s">
        <v>4848</v>
      </c>
      <c r="I1006" s="5"/>
      <c r="J1006" s="3"/>
    </row>
    <row r="1007" spans="1:10" ht="171" customHeight="1">
      <c r="A1007" s="5" t="s">
        <v>4849</v>
      </c>
      <c r="B1007" s="5" t="s">
        <v>20</v>
      </c>
      <c r="C1007" s="3" t="s">
        <v>4850</v>
      </c>
      <c r="D1007" s="6">
        <v>2024</v>
      </c>
      <c r="E1007" s="3" t="s">
        <v>4851</v>
      </c>
      <c r="F1007" s="3" t="s">
        <v>4852</v>
      </c>
      <c r="G1007" s="5" t="s">
        <v>115</v>
      </c>
      <c r="H1007" s="5"/>
      <c r="I1007" s="5"/>
      <c r="J1007" s="3"/>
    </row>
    <row r="1008" spans="1:10" ht="313.5" customHeight="1">
      <c r="A1008" s="5" t="s">
        <v>4853</v>
      </c>
      <c r="B1008" s="5" t="s">
        <v>20</v>
      </c>
      <c r="C1008" s="3" t="s">
        <v>4854</v>
      </c>
      <c r="D1008" s="6">
        <v>2025</v>
      </c>
      <c r="E1008" s="3" t="s">
        <v>4855</v>
      </c>
      <c r="F1008" s="3" t="s">
        <v>4856</v>
      </c>
      <c r="G1008" s="5" t="s">
        <v>115</v>
      </c>
      <c r="H1008" s="5" t="s">
        <v>4857</v>
      </c>
      <c r="I1008" s="5"/>
      <c r="J1008" s="3"/>
    </row>
    <row r="1009" spans="1:10" ht="242.25" customHeight="1">
      <c r="A1009" s="5" t="s">
        <v>4858</v>
      </c>
      <c r="B1009" s="5" t="s">
        <v>20</v>
      </c>
      <c r="C1009" s="3" t="s">
        <v>4859</v>
      </c>
      <c r="D1009" s="6">
        <v>2025</v>
      </c>
      <c r="E1009" s="3" t="s">
        <v>4860</v>
      </c>
      <c r="F1009" s="3" t="s">
        <v>4861</v>
      </c>
      <c r="G1009" s="5" t="s">
        <v>110</v>
      </c>
      <c r="H1009" s="5" t="s">
        <v>4862</v>
      </c>
      <c r="I1009" s="5"/>
      <c r="J1009" s="3"/>
    </row>
    <row r="1010" spans="1:10" ht="342" customHeight="1">
      <c r="A1010" s="5" t="s">
        <v>4863</v>
      </c>
      <c r="B1010" s="5" t="s">
        <v>20</v>
      </c>
      <c r="C1010" s="3" t="s">
        <v>4864</v>
      </c>
      <c r="D1010" s="6">
        <v>2025</v>
      </c>
      <c r="E1010" s="3" t="s">
        <v>4865</v>
      </c>
      <c r="F1010" s="3" t="s">
        <v>4866</v>
      </c>
      <c r="G1010" s="5" t="s">
        <v>110</v>
      </c>
      <c r="H1010" s="5" t="s">
        <v>4867</v>
      </c>
      <c r="I1010" s="5"/>
      <c r="J1010" s="3"/>
    </row>
    <row r="1011" spans="1:10" ht="213.75" customHeight="1">
      <c r="A1011" s="5" t="s">
        <v>4868</v>
      </c>
      <c r="B1011" s="5" t="s">
        <v>20</v>
      </c>
      <c r="C1011" s="3" t="s">
        <v>4869</v>
      </c>
      <c r="D1011" s="6">
        <v>2025</v>
      </c>
      <c r="E1011" s="3" t="s">
        <v>4870</v>
      </c>
      <c r="F1011" s="3" t="s">
        <v>4871</v>
      </c>
      <c r="G1011" s="5" t="s">
        <v>115</v>
      </c>
      <c r="H1011" s="5" t="s">
        <v>4872</v>
      </c>
      <c r="I1011" s="5"/>
      <c r="J1011" s="3"/>
    </row>
    <row r="1012" spans="1:10" ht="409.5" customHeight="1">
      <c r="A1012" s="5" t="s">
        <v>1051</v>
      </c>
      <c r="B1012" s="5" t="s">
        <v>20</v>
      </c>
      <c r="C1012" s="3" t="s">
        <v>1052</v>
      </c>
      <c r="D1012" s="6">
        <v>2024</v>
      </c>
      <c r="E1012" s="3" t="s">
        <v>1053</v>
      </c>
      <c r="F1012" s="3" t="s">
        <v>4873</v>
      </c>
      <c r="G1012" s="5" t="s">
        <v>110</v>
      </c>
      <c r="H1012" s="5" t="s">
        <v>4874</v>
      </c>
      <c r="I1012" s="5"/>
      <c r="J1012" s="3"/>
    </row>
    <row r="1013" spans="1:10" ht="370.5" customHeight="1">
      <c r="A1013" s="5" t="s">
        <v>4875</v>
      </c>
      <c r="B1013" s="5" t="s">
        <v>20</v>
      </c>
      <c r="C1013" s="3" t="s">
        <v>4876</v>
      </c>
      <c r="D1013" s="6">
        <v>2024</v>
      </c>
      <c r="E1013" s="3" t="s">
        <v>4877</v>
      </c>
      <c r="F1013" s="3" t="s">
        <v>4878</v>
      </c>
      <c r="G1013" s="5" t="s">
        <v>110</v>
      </c>
      <c r="H1013" s="5" t="s">
        <v>4879</v>
      </c>
      <c r="I1013" s="5"/>
      <c r="J1013" s="3"/>
    </row>
    <row r="1014" spans="1:10" ht="270.75" customHeight="1">
      <c r="A1014" s="5" t="s">
        <v>4880</v>
      </c>
      <c r="B1014" s="5" t="s">
        <v>20</v>
      </c>
      <c r="C1014" s="3" t="s">
        <v>4881</v>
      </c>
      <c r="D1014" s="6">
        <v>2025</v>
      </c>
      <c r="E1014" s="3" t="s">
        <v>4882</v>
      </c>
      <c r="F1014" s="3" t="s">
        <v>4883</v>
      </c>
      <c r="G1014" s="5" t="s">
        <v>115</v>
      </c>
      <c r="H1014" s="5" t="s">
        <v>4884</v>
      </c>
      <c r="I1014" s="5"/>
      <c r="J1014" s="3"/>
    </row>
    <row r="1015" spans="1:10" ht="228" customHeight="1">
      <c r="A1015" s="5" t="s">
        <v>4885</v>
      </c>
      <c r="B1015" s="5" t="s">
        <v>20</v>
      </c>
      <c r="C1015" s="3" t="s">
        <v>4886</v>
      </c>
      <c r="D1015" s="6">
        <v>2023</v>
      </c>
      <c r="E1015" s="3" t="s">
        <v>4887</v>
      </c>
      <c r="F1015" s="3" t="s">
        <v>4888</v>
      </c>
      <c r="G1015" s="5" t="s">
        <v>115</v>
      </c>
      <c r="H1015" s="5" t="s">
        <v>4889</v>
      </c>
      <c r="I1015" s="5"/>
      <c r="J1015" s="3"/>
    </row>
    <row r="1016" spans="1:10" ht="409.5" customHeight="1">
      <c r="A1016" s="5" t="s">
        <v>4890</v>
      </c>
      <c r="B1016" s="5" t="s">
        <v>20</v>
      </c>
      <c r="C1016" s="3" t="s">
        <v>4891</v>
      </c>
      <c r="D1016" s="6">
        <v>2025</v>
      </c>
      <c r="E1016" s="3" t="s">
        <v>4892</v>
      </c>
      <c r="F1016" s="3" t="s">
        <v>4893</v>
      </c>
      <c r="G1016" s="5" t="s">
        <v>110</v>
      </c>
      <c r="H1016" s="5" t="s">
        <v>4894</v>
      </c>
      <c r="I1016" s="5"/>
      <c r="J1016" s="3"/>
    </row>
    <row r="1017" spans="1:10" ht="327.75" customHeight="1">
      <c r="A1017" s="5" t="s">
        <v>4895</v>
      </c>
      <c r="B1017" s="5" t="s">
        <v>20</v>
      </c>
      <c r="C1017" s="3" t="s">
        <v>4896</v>
      </c>
      <c r="D1017" s="6">
        <v>2024</v>
      </c>
      <c r="E1017" s="3" t="s">
        <v>4897</v>
      </c>
      <c r="F1017" s="3" t="s">
        <v>4898</v>
      </c>
      <c r="G1017" s="5" t="s">
        <v>110</v>
      </c>
      <c r="H1017" s="5" t="s">
        <v>4899</v>
      </c>
      <c r="I1017" s="5"/>
      <c r="J1017" s="3"/>
    </row>
    <row r="1018" spans="1:10" ht="242.25" customHeight="1">
      <c r="A1018" s="5" t="s">
        <v>4900</v>
      </c>
      <c r="B1018" s="5" t="s">
        <v>20</v>
      </c>
      <c r="C1018" s="3" t="s">
        <v>4901</v>
      </c>
      <c r="D1018" s="6">
        <v>2024</v>
      </c>
      <c r="E1018" s="3" t="s">
        <v>4902</v>
      </c>
      <c r="F1018" s="3" t="s">
        <v>4903</v>
      </c>
      <c r="G1018" s="5" t="s">
        <v>115</v>
      </c>
      <c r="H1018" s="5" t="s">
        <v>4904</v>
      </c>
      <c r="I1018" s="5"/>
      <c r="J1018" s="3"/>
    </row>
    <row r="1019" spans="1:10" ht="256.5" customHeight="1">
      <c r="A1019" s="5" t="s">
        <v>4905</v>
      </c>
      <c r="B1019" s="5" t="s">
        <v>20</v>
      </c>
      <c r="C1019" s="3" t="s">
        <v>4906</v>
      </c>
      <c r="D1019" s="6">
        <v>2025</v>
      </c>
      <c r="E1019" s="3" t="s">
        <v>4907</v>
      </c>
      <c r="F1019" s="3" t="s">
        <v>4908</v>
      </c>
      <c r="G1019" s="5" t="s">
        <v>115</v>
      </c>
      <c r="H1019" s="5" t="s">
        <v>4909</v>
      </c>
      <c r="I1019" s="5"/>
      <c r="J1019" s="3"/>
    </row>
    <row r="1020" spans="1:10" ht="213.75" customHeight="1">
      <c r="A1020" s="5" t="s">
        <v>4910</v>
      </c>
      <c r="B1020" s="5" t="s">
        <v>20</v>
      </c>
      <c r="C1020" s="3" t="s">
        <v>4911</v>
      </c>
      <c r="D1020" s="6">
        <v>2025</v>
      </c>
      <c r="E1020" s="3" t="s">
        <v>4912</v>
      </c>
      <c r="F1020" s="3" t="s">
        <v>4913</v>
      </c>
      <c r="G1020" s="5" t="s">
        <v>115</v>
      </c>
      <c r="H1020" s="5" t="s">
        <v>4914</v>
      </c>
      <c r="I1020" s="5"/>
      <c r="J1020" s="3"/>
    </row>
    <row r="1021" spans="1:10" ht="185.25" customHeight="1">
      <c r="A1021" s="5" t="s">
        <v>4915</v>
      </c>
      <c r="B1021" s="5" t="s">
        <v>20</v>
      </c>
      <c r="C1021" s="3" t="s">
        <v>4916</v>
      </c>
      <c r="D1021" s="6">
        <v>2024</v>
      </c>
      <c r="E1021" s="3" t="s">
        <v>4917</v>
      </c>
      <c r="F1021" s="3" t="s">
        <v>4918</v>
      </c>
      <c r="G1021" s="5" t="s">
        <v>115</v>
      </c>
      <c r="H1021" s="5" t="s">
        <v>4919</v>
      </c>
      <c r="I1021" s="5"/>
      <c r="J1021" s="3"/>
    </row>
    <row r="1022" spans="1:10" ht="228" customHeight="1">
      <c r="A1022" s="5" t="s">
        <v>4920</v>
      </c>
      <c r="B1022" s="5" t="s">
        <v>20</v>
      </c>
      <c r="C1022" s="3" t="s">
        <v>4921</v>
      </c>
      <c r="D1022" s="6">
        <v>2023</v>
      </c>
      <c r="E1022" s="3" t="s">
        <v>4922</v>
      </c>
      <c r="F1022" s="3" t="s">
        <v>4923</v>
      </c>
      <c r="G1022" s="5" t="s">
        <v>115</v>
      </c>
      <c r="H1022" s="5"/>
      <c r="I1022" s="5"/>
      <c r="J1022" s="3"/>
    </row>
    <row r="1023" spans="1:10" ht="285" customHeight="1">
      <c r="A1023" s="5" t="s">
        <v>4924</v>
      </c>
      <c r="B1023" s="5" t="s">
        <v>20</v>
      </c>
      <c r="C1023" s="3" t="s">
        <v>4925</v>
      </c>
      <c r="D1023" s="6">
        <v>2025</v>
      </c>
      <c r="E1023" s="3" t="s">
        <v>4926</v>
      </c>
      <c r="F1023" s="3" t="s">
        <v>4927</v>
      </c>
      <c r="G1023" s="5" t="s">
        <v>110</v>
      </c>
      <c r="H1023" s="5" t="s">
        <v>4928</v>
      </c>
      <c r="I1023" s="5"/>
      <c r="J1023" s="3"/>
    </row>
    <row r="1024" spans="1:10" ht="256.5" customHeight="1">
      <c r="A1024" s="5" t="s">
        <v>4929</v>
      </c>
      <c r="B1024" s="5" t="s">
        <v>20</v>
      </c>
      <c r="C1024" s="3" t="s">
        <v>4930</v>
      </c>
      <c r="D1024" s="6">
        <v>2024</v>
      </c>
      <c r="E1024" s="3" t="s">
        <v>4931</v>
      </c>
      <c r="F1024" s="3" t="s">
        <v>4932</v>
      </c>
      <c r="G1024" s="5" t="s">
        <v>110</v>
      </c>
      <c r="H1024" s="5" t="s">
        <v>4933</v>
      </c>
      <c r="I1024" s="5"/>
      <c r="J1024" s="3"/>
    </row>
    <row r="1025" spans="1:10" ht="299.25" customHeight="1">
      <c r="A1025" s="5" t="s">
        <v>4934</v>
      </c>
      <c r="B1025" s="5" t="s">
        <v>20</v>
      </c>
      <c r="C1025" s="3" t="s">
        <v>4935</v>
      </c>
      <c r="D1025" s="6">
        <v>2025</v>
      </c>
      <c r="E1025" s="3" t="s">
        <v>4936</v>
      </c>
      <c r="F1025" s="3" t="s">
        <v>4937</v>
      </c>
      <c r="G1025" s="5" t="s">
        <v>115</v>
      </c>
      <c r="H1025" s="5" t="s">
        <v>4938</v>
      </c>
      <c r="I1025" s="5"/>
      <c r="J1025" s="3"/>
    </row>
    <row r="1026" spans="1:10" ht="213.75" customHeight="1">
      <c r="A1026" s="5" t="s">
        <v>4939</v>
      </c>
      <c r="B1026" s="5" t="s">
        <v>20</v>
      </c>
      <c r="C1026" s="3" t="s">
        <v>4940</v>
      </c>
      <c r="D1026" s="6">
        <v>2024</v>
      </c>
      <c r="E1026" s="3" t="s">
        <v>4941</v>
      </c>
      <c r="F1026" s="3" t="s">
        <v>4942</v>
      </c>
      <c r="G1026" s="5" t="s">
        <v>110</v>
      </c>
      <c r="H1026" s="5" t="s">
        <v>4943</v>
      </c>
      <c r="I1026" s="5"/>
      <c r="J1026" s="3"/>
    </row>
    <row r="1027" spans="1:10" ht="342" customHeight="1">
      <c r="A1027" s="5" t="s">
        <v>4944</v>
      </c>
      <c r="B1027" s="5" t="s">
        <v>20</v>
      </c>
      <c r="C1027" s="3" t="s">
        <v>4945</v>
      </c>
      <c r="D1027" s="6">
        <v>2025</v>
      </c>
      <c r="E1027" s="3" t="s">
        <v>4946</v>
      </c>
      <c r="F1027" s="3" t="s">
        <v>4947</v>
      </c>
      <c r="G1027" s="5" t="s">
        <v>110</v>
      </c>
      <c r="H1027" s="5" t="s">
        <v>4948</v>
      </c>
      <c r="I1027" s="5"/>
      <c r="J1027" s="3"/>
    </row>
    <row r="1028" spans="1:10" ht="299.25" customHeight="1">
      <c r="A1028" s="5" t="s">
        <v>4949</v>
      </c>
      <c r="B1028" s="5" t="s">
        <v>20</v>
      </c>
      <c r="C1028" s="3" t="s">
        <v>4950</v>
      </c>
      <c r="D1028" s="6">
        <v>2025</v>
      </c>
      <c r="E1028" s="3" t="s">
        <v>4951</v>
      </c>
      <c r="F1028" s="3" t="s">
        <v>4952</v>
      </c>
      <c r="G1028" s="5" t="s">
        <v>115</v>
      </c>
      <c r="H1028" s="5" t="s">
        <v>4953</v>
      </c>
      <c r="I1028" s="5"/>
      <c r="J1028" s="3"/>
    </row>
    <row r="1029" spans="1:10" ht="199.5" customHeight="1">
      <c r="A1029" s="5" t="s">
        <v>4954</v>
      </c>
      <c r="B1029" s="5" t="s">
        <v>20</v>
      </c>
      <c r="C1029" s="3" t="s">
        <v>4955</v>
      </c>
      <c r="D1029" s="6">
        <v>2023</v>
      </c>
      <c r="E1029" s="3" t="s">
        <v>4956</v>
      </c>
      <c r="F1029" s="3" t="s">
        <v>4957</v>
      </c>
      <c r="G1029" s="5" t="s">
        <v>115</v>
      </c>
      <c r="H1029" s="5"/>
      <c r="I1029" s="5"/>
      <c r="J1029" s="3"/>
    </row>
    <row r="1030" spans="1:10" ht="299.25" customHeight="1">
      <c r="A1030" s="5" t="s">
        <v>4958</v>
      </c>
      <c r="B1030" s="5" t="s">
        <v>20</v>
      </c>
      <c r="C1030" s="3" t="s">
        <v>4959</v>
      </c>
      <c r="D1030" s="6">
        <v>2025</v>
      </c>
      <c r="E1030" s="3" t="s">
        <v>4960</v>
      </c>
      <c r="F1030" s="3" t="s">
        <v>4961</v>
      </c>
      <c r="G1030" s="5" t="s">
        <v>115</v>
      </c>
      <c r="H1030" s="5" t="s">
        <v>4962</v>
      </c>
      <c r="I1030" s="5"/>
      <c r="J1030" s="3"/>
    </row>
    <row r="1031" spans="1:10" ht="242.25" customHeight="1">
      <c r="A1031" s="5" t="s">
        <v>4963</v>
      </c>
      <c r="B1031" s="5" t="s">
        <v>20</v>
      </c>
      <c r="C1031" s="3" t="s">
        <v>4964</v>
      </c>
      <c r="D1031" s="6">
        <v>2023</v>
      </c>
      <c r="E1031" s="3" t="s">
        <v>4965</v>
      </c>
      <c r="F1031" s="3" t="s">
        <v>4966</v>
      </c>
      <c r="G1031" s="5" t="s">
        <v>115</v>
      </c>
      <c r="H1031" s="5" t="s">
        <v>4967</v>
      </c>
      <c r="I1031" s="5"/>
      <c r="J1031" s="3"/>
    </row>
    <row r="1032" spans="1:10" ht="213.75" customHeight="1">
      <c r="A1032" s="5" t="s">
        <v>4968</v>
      </c>
      <c r="B1032" s="5" t="s">
        <v>20</v>
      </c>
      <c r="C1032" s="3" t="s">
        <v>4969</v>
      </c>
      <c r="D1032" s="6">
        <v>2025</v>
      </c>
      <c r="E1032" s="3" t="s">
        <v>4970</v>
      </c>
      <c r="F1032" s="3" t="s">
        <v>4971</v>
      </c>
      <c r="G1032" s="5" t="s">
        <v>110</v>
      </c>
      <c r="H1032" s="5" t="s">
        <v>4972</v>
      </c>
      <c r="I1032" s="5"/>
      <c r="J1032" s="3"/>
    </row>
    <row r="1033" spans="1:10" ht="213.75" customHeight="1">
      <c r="A1033" s="5" t="s">
        <v>4973</v>
      </c>
      <c r="B1033" s="5" t="s">
        <v>20</v>
      </c>
      <c r="C1033" s="3" t="s">
        <v>4974</v>
      </c>
      <c r="D1033" s="6">
        <v>2025</v>
      </c>
      <c r="E1033" s="3" t="s">
        <v>4975</v>
      </c>
      <c r="F1033" s="3" t="s">
        <v>4976</v>
      </c>
      <c r="G1033" s="5" t="s">
        <v>115</v>
      </c>
      <c r="H1033" s="5" t="s">
        <v>4977</v>
      </c>
      <c r="I1033" s="5"/>
      <c r="J1033" s="3"/>
    </row>
    <row r="1034" spans="1:10" ht="299.25" customHeight="1">
      <c r="A1034" s="5" t="s">
        <v>1021</v>
      </c>
      <c r="B1034" s="5" t="s">
        <v>20</v>
      </c>
      <c r="C1034" s="3" t="s">
        <v>1022</v>
      </c>
      <c r="D1034" s="6">
        <v>2024</v>
      </c>
      <c r="E1034" s="3" t="s">
        <v>1023</v>
      </c>
      <c r="F1034" s="3" t="s">
        <v>4978</v>
      </c>
      <c r="G1034" s="5" t="s">
        <v>110</v>
      </c>
      <c r="H1034" s="5" t="s">
        <v>4979</v>
      </c>
      <c r="I1034" s="5"/>
      <c r="J1034" s="3"/>
    </row>
    <row r="1035" spans="1:10" ht="285" customHeight="1">
      <c r="A1035" s="5" t="s">
        <v>4980</v>
      </c>
      <c r="B1035" s="5" t="s">
        <v>20</v>
      </c>
      <c r="C1035" s="3" t="s">
        <v>4981</v>
      </c>
      <c r="D1035" s="6">
        <v>2025</v>
      </c>
      <c r="E1035" s="3" t="s">
        <v>4982</v>
      </c>
      <c r="F1035" s="3" t="s">
        <v>4983</v>
      </c>
      <c r="G1035" s="5" t="s">
        <v>115</v>
      </c>
      <c r="H1035" s="5" t="s">
        <v>4984</v>
      </c>
      <c r="I1035" s="5"/>
      <c r="J1035" s="3"/>
    </row>
    <row r="1036" spans="1:10" ht="356.25" customHeight="1">
      <c r="A1036" s="5" t="s">
        <v>4985</v>
      </c>
      <c r="B1036" s="5" t="s">
        <v>20</v>
      </c>
      <c r="C1036" s="3" t="s">
        <v>4986</v>
      </c>
      <c r="D1036" s="6">
        <v>2024</v>
      </c>
      <c r="E1036" s="3" t="s">
        <v>4987</v>
      </c>
      <c r="F1036" s="3" t="s">
        <v>4988</v>
      </c>
      <c r="G1036" s="5" t="s">
        <v>115</v>
      </c>
      <c r="H1036" s="5" t="s">
        <v>4989</v>
      </c>
      <c r="I1036" s="5"/>
      <c r="J1036" s="3"/>
    </row>
    <row r="1037" spans="1:10" ht="409.5" customHeight="1">
      <c r="A1037" s="5" t="s">
        <v>792</v>
      </c>
      <c r="B1037" s="5" t="s">
        <v>20</v>
      </c>
      <c r="C1037" s="3" t="s">
        <v>793</v>
      </c>
      <c r="D1037" s="6">
        <v>2024</v>
      </c>
      <c r="E1037" s="3" t="s">
        <v>794</v>
      </c>
      <c r="F1037" s="3" t="s">
        <v>4990</v>
      </c>
      <c r="G1037" s="5" t="s">
        <v>115</v>
      </c>
      <c r="H1037" s="5"/>
      <c r="I1037" s="5"/>
      <c r="J1037" s="3"/>
    </row>
    <row r="1038" spans="1:10" ht="285" customHeight="1">
      <c r="A1038" s="5" t="s">
        <v>1099</v>
      </c>
      <c r="B1038" s="5" t="s">
        <v>20</v>
      </c>
      <c r="C1038" s="3" t="s">
        <v>1100</v>
      </c>
      <c r="D1038" s="6">
        <v>2024</v>
      </c>
      <c r="E1038" s="3" t="s">
        <v>1101</v>
      </c>
      <c r="F1038" s="3" t="s">
        <v>4991</v>
      </c>
      <c r="G1038" s="5" t="s">
        <v>115</v>
      </c>
      <c r="H1038" s="5" t="s">
        <v>4992</v>
      </c>
      <c r="I1038" s="5"/>
      <c r="J1038" s="3"/>
    </row>
    <row r="1039" spans="1:10" ht="409.5" customHeight="1">
      <c r="A1039" s="5" t="s">
        <v>4993</v>
      </c>
      <c r="B1039" s="5" t="s">
        <v>20</v>
      </c>
      <c r="C1039" s="3" t="s">
        <v>4994</v>
      </c>
      <c r="D1039" s="6">
        <v>2024</v>
      </c>
      <c r="E1039" s="3" t="s">
        <v>4995</v>
      </c>
      <c r="F1039" s="3" t="s">
        <v>4996</v>
      </c>
      <c r="G1039" s="5" t="s">
        <v>110</v>
      </c>
      <c r="H1039" s="5" t="s">
        <v>4997</v>
      </c>
      <c r="I1039" s="5"/>
      <c r="J1039" s="3"/>
    </row>
    <row r="1040" spans="1:10" ht="256.5" customHeight="1">
      <c r="A1040" s="5" t="s">
        <v>4998</v>
      </c>
      <c r="B1040" s="5" t="s">
        <v>20</v>
      </c>
      <c r="C1040" s="3" t="s">
        <v>4999</v>
      </c>
      <c r="D1040" s="6">
        <v>2025</v>
      </c>
      <c r="E1040" s="3" t="s">
        <v>5000</v>
      </c>
      <c r="F1040" s="3" t="s">
        <v>5001</v>
      </c>
      <c r="G1040" s="5" t="s">
        <v>115</v>
      </c>
      <c r="H1040" s="5" t="s">
        <v>5002</v>
      </c>
      <c r="I1040" s="5"/>
      <c r="J1040" s="3"/>
    </row>
    <row r="1041" spans="1:10" ht="299.25" customHeight="1">
      <c r="A1041" s="5" t="s">
        <v>1093</v>
      </c>
      <c r="B1041" s="5" t="s">
        <v>20</v>
      </c>
      <c r="C1041" s="3" t="s">
        <v>1094</v>
      </c>
      <c r="D1041" s="6">
        <v>2025</v>
      </c>
      <c r="E1041" s="3" t="s">
        <v>1095</v>
      </c>
      <c r="F1041" s="3" t="s">
        <v>5003</v>
      </c>
      <c r="G1041" s="5" t="s">
        <v>115</v>
      </c>
      <c r="H1041" s="5" t="s">
        <v>5004</v>
      </c>
      <c r="I1041" s="5"/>
      <c r="J1041" s="3"/>
    </row>
    <row r="1042" spans="1:10" ht="213.75" customHeight="1">
      <c r="A1042" s="5" t="s">
        <v>5005</v>
      </c>
      <c r="B1042" s="5" t="s">
        <v>20</v>
      </c>
      <c r="C1042" s="3" t="s">
        <v>5006</v>
      </c>
      <c r="D1042" s="6">
        <v>2025</v>
      </c>
      <c r="E1042" s="3" t="s">
        <v>5007</v>
      </c>
      <c r="F1042" s="3" t="s">
        <v>5008</v>
      </c>
      <c r="G1042" s="5" t="s">
        <v>115</v>
      </c>
      <c r="H1042" s="5" t="s">
        <v>5009</v>
      </c>
      <c r="I1042" s="5"/>
      <c r="J1042" s="3"/>
    </row>
    <row r="1043" spans="1:10" ht="242.25" customHeight="1">
      <c r="A1043" s="5" t="s">
        <v>5010</v>
      </c>
      <c r="B1043" s="5" t="s">
        <v>20</v>
      </c>
      <c r="C1043" s="3" t="s">
        <v>5011</v>
      </c>
      <c r="D1043" s="6">
        <v>2024</v>
      </c>
      <c r="E1043" s="3" t="s">
        <v>5012</v>
      </c>
      <c r="F1043" s="3" t="s">
        <v>5013</v>
      </c>
      <c r="G1043" s="5" t="s">
        <v>115</v>
      </c>
      <c r="H1043" s="5" t="s">
        <v>5014</v>
      </c>
      <c r="I1043" s="5"/>
      <c r="J1043" s="3"/>
    </row>
    <row r="1044" spans="1:10" ht="409.5" customHeight="1">
      <c r="A1044" s="5" t="s">
        <v>5015</v>
      </c>
      <c r="B1044" s="5" t="s">
        <v>20</v>
      </c>
      <c r="C1044" s="3" t="s">
        <v>5016</v>
      </c>
      <c r="D1044" s="6">
        <v>2025</v>
      </c>
      <c r="E1044" s="3" t="s">
        <v>5017</v>
      </c>
      <c r="F1044" s="3" t="s">
        <v>5018</v>
      </c>
      <c r="G1044" s="5" t="s">
        <v>110</v>
      </c>
      <c r="H1044" s="5" t="s">
        <v>5019</v>
      </c>
      <c r="I1044" s="5"/>
      <c r="J1044" s="3"/>
    </row>
    <row r="1045" spans="1:10" ht="327.75" customHeight="1">
      <c r="A1045" s="5" t="s">
        <v>5020</v>
      </c>
      <c r="B1045" s="5" t="s">
        <v>20</v>
      </c>
      <c r="C1045" s="3" t="s">
        <v>5021</v>
      </c>
      <c r="D1045" s="6">
        <v>2025</v>
      </c>
      <c r="E1045" s="3" t="s">
        <v>5022</v>
      </c>
      <c r="F1045" s="3" t="s">
        <v>5023</v>
      </c>
      <c r="G1045" s="5" t="s">
        <v>110</v>
      </c>
      <c r="H1045" s="5" t="s">
        <v>5024</v>
      </c>
      <c r="I1045" s="5"/>
      <c r="J1045" s="3"/>
    </row>
    <row r="1046" spans="1:10" ht="228" customHeight="1">
      <c r="A1046" s="5" t="s">
        <v>5025</v>
      </c>
      <c r="B1046" s="5" t="s">
        <v>20</v>
      </c>
      <c r="C1046" s="3" t="s">
        <v>5026</v>
      </c>
      <c r="D1046" s="6">
        <v>2025</v>
      </c>
      <c r="E1046" s="3" t="s">
        <v>5027</v>
      </c>
      <c r="F1046" s="3" t="s">
        <v>5028</v>
      </c>
      <c r="G1046" s="5" t="s">
        <v>115</v>
      </c>
      <c r="H1046" s="5" t="s">
        <v>5029</v>
      </c>
      <c r="I1046" s="5"/>
      <c r="J1046" s="3"/>
    </row>
    <row r="1047" spans="1:10" ht="199.5" customHeight="1">
      <c r="A1047" s="5" t="s">
        <v>5030</v>
      </c>
      <c r="B1047" s="5" t="s">
        <v>20</v>
      </c>
      <c r="C1047" s="3" t="s">
        <v>5031</v>
      </c>
      <c r="D1047" s="6">
        <v>2025</v>
      </c>
      <c r="E1047" s="3" t="s">
        <v>5032</v>
      </c>
      <c r="F1047" s="3" t="s">
        <v>5033</v>
      </c>
      <c r="G1047" s="5" t="s">
        <v>110</v>
      </c>
      <c r="H1047" s="5" t="s">
        <v>5034</v>
      </c>
      <c r="I1047" s="5"/>
      <c r="J1047" s="3"/>
    </row>
    <row r="1048" spans="1:10" ht="356.25" customHeight="1">
      <c r="A1048" s="5" t="s">
        <v>5035</v>
      </c>
      <c r="B1048" s="5" t="s">
        <v>20</v>
      </c>
      <c r="C1048" s="3" t="s">
        <v>5036</v>
      </c>
      <c r="D1048" s="6">
        <v>2024</v>
      </c>
      <c r="E1048" s="3" t="s">
        <v>5037</v>
      </c>
      <c r="F1048" s="3" t="s">
        <v>5038</v>
      </c>
      <c r="G1048" s="5" t="s">
        <v>110</v>
      </c>
      <c r="H1048" s="5" t="s">
        <v>5039</v>
      </c>
      <c r="I1048" s="5"/>
      <c r="J1048" s="3"/>
    </row>
    <row r="1049" spans="1:10" ht="213.75" customHeight="1">
      <c r="A1049" s="5" t="s">
        <v>5040</v>
      </c>
      <c r="B1049" s="5" t="s">
        <v>20</v>
      </c>
      <c r="C1049" s="3" t="s">
        <v>5041</v>
      </c>
      <c r="D1049" s="6">
        <v>2025</v>
      </c>
      <c r="E1049" s="3" t="s">
        <v>5042</v>
      </c>
      <c r="F1049" s="3" t="s">
        <v>5043</v>
      </c>
      <c r="G1049" s="5" t="s">
        <v>115</v>
      </c>
      <c r="H1049" s="5"/>
      <c r="I1049" s="5"/>
      <c r="J1049" s="3"/>
    </row>
    <row r="1050" spans="1:10" ht="285" customHeight="1">
      <c r="A1050" s="5" t="s">
        <v>5044</v>
      </c>
      <c r="B1050" s="5" t="s">
        <v>20</v>
      </c>
      <c r="C1050" s="3" t="s">
        <v>5045</v>
      </c>
      <c r="D1050" s="6">
        <v>2025</v>
      </c>
      <c r="E1050" s="3" t="s">
        <v>5046</v>
      </c>
      <c r="F1050" s="3" t="s">
        <v>5047</v>
      </c>
      <c r="G1050" s="5" t="s">
        <v>115</v>
      </c>
      <c r="H1050" s="5" t="s">
        <v>5048</v>
      </c>
      <c r="I1050" s="5"/>
      <c r="J1050" s="3"/>
    </row>
    <row r="1051" spans="1:10" ht="409.5" customHeight="1">
      <c r="A1051" s="5" t="s">
        <v>5049</v>
      </c>
      <c r="B1051" s="5" t="s">
        <v>20</v>
      </c>
      <c r="C1051" s="3" t="s">
        <v>5050</v>
      </c>
      <c r="D1051" s="6">
        <v>2025</v>
      </c>
      <c r="E1051" s="3" t="s">
        <v>5051</v>
      </c>
      <c r="F1051" s="3" t="s">
        <v>5052</v>
      </c>
      <c r="G1051" s="5" t="s">
        <v>110</v>
      </c>
      <c r="H1051" s="5" t="s">
        <v>5053</v>
      </c>
      <c r="I1051" s="5"/>
      <c r="J1051" s="3"/>
    </row>
    <row r="1052" spans="1:10" ht="185.25" customHeight="1">
      <c r="A1052" s="5" t="s">
        <v>5054</v>
      </c>
      <c r="B1052" s="5" t="s">
        <v>20</v>
      </c>
      <c r="C1052" s="3" t="s">
        <v>5055</v>
      </c>
      <c r="D1052" s="6">
        <v>2024</v>
      </c>
      <c r="E1052" s="3" t="s">
        <v>5056</v>
      </c>
      <c r="F1052" s="3" t="s">
        <v>5057</v>
      </c>
      <c r="G1052" s="5" t="s">
        <v>115</v>
      </c>
      <c r="H1052" s="5" t="s">
        <v>5058</v>
      </c>
      <c r="I1052" s="5"/>
      <c r="J1052" s="3"/>
    </row>
    <row r="1053" spans="1:10" ht="270.75" customHeight="1">
      <c r="A1053" s="5" t="s">
        <v>5059</v>
      </c>
      <c r="B1053" s="5" t="s">
        <v>20</v>
      </c>
      <c r="C1053" s="3" t="s">
        <v>5060</v>
      </c>
      <c r="D1053" s="6">
        <v>2025</v>
      </c>
      <c r="E1053" s="3" t="s">
        <v>5061</v>
      </c>
      <c r="F1053" s="3" t="s">
        <v>5062</v>
      </c>
      <c r="G1053" s="5" t="s">
        <v>115</v>
      </c>
      <c r="H1053" s="5" t="s">
        <v>5063</v>
      </c>
      <c r="I1053" s="5"/>
      <c r="J1053" s="3"/>
    </row>
    <row r="1054" spans="1:10" ht="285" customHeight="1">
      <c r="A1054" s="5" t="s">
        <v>5064</v>
      </c>
      <c r="B1054" s="5" t="s">
        <v>20</v>
      </c>
      <c r="C1054" s="3" t="s">
        <v>5065</v>
      </c>
      <c r="D1054" s="6">
        <v>2024</v>
      </c>
      <c r="E1054" s="3" t="s">
        <v>5066</v>
      </c>
      <c r="F1054" s="3" t="s">
        <v>5067</v>
      </c>
      <c r="G1054" s="5" t="s">
        <v>110</v>
      </c>
      <c r="H1054" s="5" t="s">
        <v>5068</v>
      </c>
      <c r="I1054" s="5"/>
      <c r="J1054" s="3"/>
    </row>
    <row r="1055" spans="1:10" ht="409.5" customHeight="1">
      <c r="A1055" s="5" t="s">
        <v>5069</v>
      </c>
      <c r="B1055" s="5" t="s">
        <v>20</v>
      </c>
      <c r="C1055" s="3" t="s">
        <v>5070</v>
      </c>
      <c r="D1055" s="6">
        <v>2025</v>
      </c>
      <c r="E1055" s="3" t="s">
        <v>5071</v>
      </c>
      <c r="F1055" s="3" t="s">
        <v>5072</v>
      </c>
      <c r="G1055" s="5" t="s">
        <v>110</v>
      </c>
      <c r="H1055" s="5" t="s">
        <v>5073</v>
      </c>
      <c r="I1055" s="5"/>
      <c r="J1055" s="3"/>
    </row>
    <row r="1056" spans="1:10" ht="256.5" customHeight="1">
      <c r="A1056" s="5" t="s">
        <v>5074</v>
      </c>
      <c r="B1056" s="5" t="s">
        <v>20</v>
      </c>
      <c r="C1056" s="3" t="s">
        <v>5075</v>
      </c>
      <c r="D1056" s="6">
        <v>2025</v>
      </c>
      <c r="E1056" s="3" t="s">
        <v>5076</v>
      </c>
      <c r="F1056" s="3" t="s">
        <v>5077</v>
      </c>
      <c r="G1056" s="5" t="s">
        <v>115</v>
      </c>
      <c r="H1056" s="5" t="s">
        <v>5078</v>
      </c>
      <c r="I1056" s="5"/>
      <c r="J1056" s="3"/>
    </row>
    <row r="1057" spans="1:10" ht="242.25" customHeight="1">
      <c r="A1057" s="5" t="s">
        <v>5079</v>
      </c>
      <c r="B1057" s="5" t="s">
        <v>20</v>
      </c>
      <c r="C1057" s="3" t="s">
        <v>5080</v>
      </c>
      <c r="D1057" s="6">
        <v>2023</v>
      </c>
      <c r="E1057" s="3" t="s">
        <v>5081</v>
      </c>
      <c r="F1057" s="3" t="s">
        <v>5082</v>
      </c>
      <c r="G1057" s="5" t="s">
        <v>115</v>
      </c>
      <c r="H1057" s="5" t="s">
        <v>5083</v>
      </c>
      <c r="I1057" s="5"/>
      <c r="J1057" s="3"/>
    </row>
    <row r="1058" spans="1:10" ht="270.75" customHeight="1">
      <c r="A1058" s="5" t="s">
        <v>735</v>
      </c>
      <c r="B1058" s="5" t="s">
        <v>20</v>
      </c>
      <c r="C1058" s="3" t="s">
        <v>736</v>
      </c>
      <c r="D1058" s="6">
        <v>2025</v>
      </c>
      <c r="E1058" s="3" t="s">
        <v>737</v>
      </c>
      <c r="F1058" s="3" t="s">
        <v>5084</v>
      </c>
      <c r="G1058" s="5" t="s">
        <v>115</v>
      </c>
      <c r="H1058" s="5"/>
      <c r="I1058" s="5"/>
      <c r="J1058" s="3"/>
    </row>
    <row r="1059" spans="1:10" ht="199.5" customHeight="1">
      <c r="A1059" s="5" t="s">
        <v>5085</v>
      </c>
      <c r="B1059" s="5" t="s">
        <v>20</v>
      </c>
      <c r="C1059" s="3" t="s">
        <v>5086</v>
      </c>
      <c r="D1059" s="6">
        <v>2024</v>
      </c>
      <c r="E1059" s="3" t="s">
        <v>5087</v>
      </c>
      <c r="F1059" s="3" t="s">
        <v>5088</v>
      </c>
      <c r="G1059" s="5" t="s">
        <v>115</v>
      </c>
      <c r="H1059" s="5" t="s">
        <v>5089</v>
      </c>
      <c r="I1059" s="5"/>
      <c r="J1059" s="3"/>
    </row>
    <row r="1060" spans="1:10" ht="299.25" customHeight="1">
      <c r="A1060" s="5" t="s">
        <v>5090</v>
      </c>
      <c r="B1060" s="5" t="s">
        <v>20</v>
      </c>
      <c r="C1060" s="3" t="s">
        <v>5091</v>
      </c>
      <c r="D1060" s="6">
        <v>2024</v>
      </c>
      <c r="E1060" s="3" t="s">
        <v>5092</v>
      </c>
      <c r="F1060" s="3" t="s">
        <v>5093</v>
      </c>
      <c r="G1060" s="5" t="s">
        <v>110</v>
      </c>
      <c r="H1060" s="5" t="s">
        <v>5094</v>
      </c>
      <c r="I1060" s="5"/>
      <c r="J1060" s="3"/>
    </row>
    <row r="1061" spans="1:10" ht="213.75" customHeight="1">
      <c r="A1061" s="5" t="s">
        <v>5095</v>
      </c>
      <c r="B1061" s="5" t="s">
        <v>20</v>
      </c>
      <c r="C1061" s="3" t="s">
        <v>5096</v>
      </c>
      <c r="D1061" s="6">
        <v>2024</v>
      </c>
      <c r="E1061" s="3" t="s">
        <v>5097</v>
      </c>
      <c r="F1061" s="3" t="s">
        <v>5098</v>
      </c>
      <c r="G1061" s="5" t="s">
        <v>115</v>
      </c>
      <c r="H1061" s="5"/>
      <c r="I1061" s="5"/>
      <c r="J1061" s="3"/>
    </row>
    <row r="1062" spans="1:10" ht="313.5" customHeight="1">
      <c r="A1062" s="5" t="s">
        <v>1036</v>
      </c>
      <c r="B1062" s="5" t="s">
        <v>20</v>
      </c>
      <c r="C1062" s="3" t="s">
        <v>1037</v>
      </c>
      <c r="D1062" s="6">
        <v>2025</v>
      </c>
      <c r="E1062" s="3" t="s">
        <v>1038</v>
      </c>
      <c r="F1062" s="3" t="s">
        <v>5099</v>
      </c>
      <c r="G1062" s="5" t="s">
        <v>115</v>
      </c>
      <c r="H1062" s="5" t="s">
        <v>5100</v>
      </c>
      <c r="I1062" s="5"/>
      <c r="J1062" s="3"/>
    </row>
    <row r="1063" spans="1:10" ht="285" customHeight="1">
      <c r="A1063" s="5" t="s">
        <v>5101</v>
      </c>
      <c r="B1063" s="5" t="s">
        <v>20</v>
      </c>
      <c r="C1063" s="3" t="s">
        <v>5102</v>
      </c>
      <c r="D1063" s="6">
        <v>2024</v>
      </c>
      <c r="E1063" s="3" t="s">
        <v>5103</v>
      </c>
      <c r="F1063" s="3" t="s">
        <v>5104</v>
      </c>
      <c r="G1063" s="5" t="s">
        <v>115</v>
      </c>
      <c r="H1063" s="5" t="s">
        <v>5105</v>
      </c>
      <c r="I1063" s="5"/>
      <c r="J1063" s="3"/>
    </row>
    <row r="1064" spans="1:10" ht="156.75" customHeight="1">
      <c r="A1064" s="5" t="s">
        <v>5106</v>
      </c>
      <c r="B1064" s="5" t="s">
        <v>20</v>
      </c>
      <c r="C1064" s="3" t="s">
        <v>5107</v>
      </c>
      <c r="D1064" s="6">
        <v>2023</v>
      </c>
      <c r="E1064" s="3" t="s">
        <v>5108</v>
      </c>
      <c r="F1064" s="3" t="s">
        <v>5109</v>
      </c>
      <c r="G1064" s="5" t="s">
        <v>115</v>
      </c>
      <c r="H1064" s="5" t="s">
        <v>5110</v>
      </c>
      <c r="I1064" s="5"/>
      <c r="J1064" s="3"/>
    </row>
    <row r="1065" spans="1:10" ht="313.5" customHeight="1">
      <c r="A1065" s="5" t="s">
        <v>5111</v>
      </c>
      <c r="B1065" s="5" t="s">
        <v>20</v>
      </c>
      <c r="C1065" s="3" t="s">
        <v>5112</v>
      </c>
      <c r="D1065" s="6">
        <v>2025</v>
      </c>
      <c r="E1065" s="3" t="s">
        <v>5113</v>
      </c>
      <c r="F1065" s="3" t="s">
        <v>5114</v>
      </c>
      <c r="G1065" s="5" t="s">
        <v>115</v>
      </c>
      <c r="H1065" s="5" t="s">
        <v>5115</v>
      </c>
      <c r="I1065" s="5"/>
      <c r="J1065" s="3"/>
    </row>
    <row r="1066" spans="1:10" ht="256.5" customHeight="1">
      <c r="A1066" s="5" t="s">
        <v>5116</v>
      </c>
      <c r="B1066" s="5" t="s">
        <v>20</v>
      </c>
      <c r="C1066" s="3" t="s">
        <v>5117</v>
      </c>
      <c r="D1066" s="6">
        <v>2023</v>
      </c>
      <c r="E1066" s="3" t="s">
        <v>5118</v>
      </c>
      <c r="F1066" s="3" t="s">
        <v>5119</v>
      </c>
      <c r="G1066" s="5" t="s">
        <v>110</v>
      </c>
      <c r="H1066" s="5" t="s">
        <v>5120</v>
      </c>
      <c r="I1066" s="5"/>
      <c r="J1066" s="3"/>
    </row>
    <row r="1067" spans="1:10" ht="242.25" customHeight="1">
      <c r="A1067" s="5" t="s">
        <v>5121</v>
      </c>
      <c r="B1067" s="5" t="s">
        <v>20</v>
      </c>
      <c r="C1067" s="3" t="s">
        <v>5122</v>
      </c>
      <c r="D1067" s="6">
        <v>2025</v>
      </c>
      <c r="E1067" s="3" t="s">
        <v>5123</v>
      </c>
      <c r="F1067" s="3" t="s">
        <v>5124</v>
      </c>
      <c r="G1067" s="5" t="s">
        <v>115</v>
      </c>
      <c r="H1067" s="5" t="s">
        <v>5125</v>
      </c>
      <c r="I1067" s="5"/>
      <c r="J1067" s="3"/>
    </row>
    <row r="1068" spans="1:10" ht="128.25" customHeight="1">
      <c r="A1068" s="5" t="s">
        <v>5126</v>
      </c>
      <c r="B1068" s="5" t="s">
        <v>20</v>
      </c>
      <c r="C1068" s="3" t="s">
        <v>5127</v>
      </c>
      <c r="D1068" s="6">
        <v>2025</v>
      </c>
      <c r="E1068" s="3" t="s">
        <v>5128</v>
      </c>
      <c r="F1068" s="3" t="s">
        <v>5129</v>
      </c>
      <c r="G1068" s="5" t="s">
        <v>115</v>
      </c>
      <c r="H1068" s="5" t="s">
        <v>5130</v>
      </c>
      <c r="I1068" s="5"/>
      <c r="J1068" s="3"/>
    </row>
    <row r="1069" spans="1:10" ht="256.5" customHeight="1">
      <c r="A1069" s="5" t="s">
        <v>5131</v>
      </c>
      <c r="B1069" s="5" t="s">
        <v>20</v>
      </c>
      <c r="C1069" s="3" t="s">
        <v>5132</v>
      </c>
      <c r="D1069" s="6">
        <v>2025</v>
      </c>
      <c r="E1069" s="3" t="s">
        <v>5133</v>
      </c>
      <c r="F1069" s="3" t="s">
        <v>5134</v>
      </c>
      <c r="G1069" s="5" t="s">
        <v>115</v>
      </c>
      <c r="H1069" s="5" t="s">
        <v>5135</v>
      </c>
      <c r="I1069" s="5"/>
      <c r="J1069" s="3"/>
    </row>
    <row r="1070" spans="1:10" ht="285" customHeight="1">
      <c r="A1070" s="5" t="s">
        <v>5136</v>
      </c>
      <c r="B1070" s="5" t="s">
        <v>20</v>
      </c>
      <c r="C1070" s="3" t="s">
        <v>5137</v>
      </c>
      <c r="D1070" s="6">
        <v>2025</v>
      </c>
      <c r="E1070" s="3" t="s">
        <v>5138</v>
      </c>
      <c r="F1070" s="3" t="s">
        <v>5139</v>
      </c>
      <c r="G1070" s="5" t="s">
        <v>110</v>
      </c>
      <c r="H1070" s="5" t="s">
        <v>5140</v>
      </c>
      <c r="I1070" s="5"/>
      <c r="J1070" s="3"/>
    </row>
    <row r="1071" spans="1:10" ht="256.5" customHeight="1">
      <c r="A1071" s="5" t="s">
        <v>5141</v>
      </c>
      <c r="B1071" s="5" t="s">
        <v>20</v>
      </c>
      <c r="C1071" s="3" t="s">
        <v>5142</v>
      </c>
      <c r="D1071" s="6">
        <v>2023</v>
      </c>
      <c r="E1071" s="3" t="s">
        <v>5143</v>
      </c>
      <c r="F1071" s="3" t="s">
        <v>5144</v>
      </c>
      <c r="G1071" s="5" t="s">
        <v>110</v>
      </c>
      <c r="H1071" s="5" t="s">
        <v>5145</v>
      </c>
      <c r="I1071" s="5"/>
      <c r="J1071" s="3"/>
    </row>
    <row r="1072" spans="1:10" ht="409.5" customHeight="1">
      <c r="A1072" s="5" t="s">
        <v>5146</v>
      </c>
      <c r="B1072" s="5" t="s">
        <v>20</v>
      </c>
      <c r="C1072" s="3" t="s">
        <v>5147</v>
      </c>
      <c r="D1072" s="6">
        <v>2025</v>
      </c>
      <c r="E1072" s="3" t="s">
        <v>5148</v>
      </c>
      <c r="F1072" s="3" t="s">
        <v>5149</v>
      </c>
      <c r="G1072" s="5" t="s">
        <v>110</v>
      </c>
      <c r="H1072" s="5" t="s">
        <v>5150</v>
      </c>
      <c r="I1072" s="5"/>
      <c r="J1072" s="3"/>
    </row>
    <row r="1073" spans="1:10" ht="213.75" customHeight="1">
      <c r="A1073" s="5" t="s">
        <v>5151</v>
      </c>
      <c r="B1073" s="5" t="s">
        <v>20</v>
      </c>
      <c r="C1073" s="3" t="s">
        <v>5152</v>
      </c>
      <c r="D1073" s="6">
        <v>2023</v>
      </c>
      <c r="E1073" s="3" t="s">
        <v>5153</v>
      </c>
      <c r="F1073" s="3" t="s">
        <v>5154</v>
      </c>
      <c r="G1073" s="5" t="s">
        <v>115</v>
      </c>
      <c r="H1073" s="5" t="s">
        <v>5155</v>
      </c>
      <c r="I1073" s="5"/>
      <c r="J1073" s="3"/>
    </row>
    <row r="1074" spans="1:10" ht="256.5" customHeight="1">
      <c r="A1074" s="5" t="s">
        <v>5156</v>
      </c>
      <c r="B1074" s="5" t="s">
        <v>20</v>
      </c>
      <c r="C1074" s="3" t="s">
        <v>5157</v>
      </c>
      <c r="D1074" s="6">
        <v>2023</v>
      </c>
      <c r="E1074" s="3" t="s">
        <v>5158</v>
      </c>
      <c r="F1074" s="3" t="s">
        <v>5159</v>
      </c>
      <c r="G1074" s="5" t="s">
        <v>115</v>
      </c>
      <c r="H1074" s="5" t="s">
        <v>5160</v>
      </c>
      <c r="I1074" s="5"/>
      <c r="J1074" s="3"/>
    </row>
    <row r="1075" spans="1:10" ht="256.5" customHeight="1">
      <c r="A1075" s="5" t="s">
        <v>5161</v>
      </c>
      <c r="B1075" s="5" t="s">
        <v>20</v>
      </c>
      <c r="C1075" s="3" t="s">
        <v>5162</v>
      </c>
      <c r="D1075" s="6">
        <v>2023</v>
      </c>
      <c r="E1075" s="3" t="s">
        <v>5163</v>
      </c>
      <c r="F1075" s="3" t="s">
        <v>5164</v>
      </c>
      <c r="G1075" s="5" t="s">
        <v>115</v>
      </c>
      <c r="H1075" s="5" t="s">
        <v>5165</v>
      </c>
      <c r="I1075" s="5"/>
      <c r="J1075" s="3"/>
    </row>
    <row r="1076" spans="1:10" ht="199.5" customHeight="1">
      <c r="A1076" s="5" t="s">
        <v>5166</v>
      </c>
      <c r="B1076" s="5" t="s">
        <v>20</v>
      </c>
      <c r="C1076" s="3" t="s">
        <v>5167</v>
      </c>
      <c r="D1076" s="6">
        <v>2025</v>
      </c>
      <c r="E1076" s="3" t="s">
        <v>5168</v>
      </c>
      <c r="F1076" s="3" t="s">
        <v>5169</v>
      </c>
      <c r="G1076" s="5" t="s">
        <v>115</v>
      </c>
      <c r="H1076" s="5" t="s">
        <v>5170</v>
      </c>
      <c r="I1076" s="5"/>
      <c r="J1076" s="3"/>
    </row>
    <row r="1077" spans="1:10" ht="409.5" customHeight="1">
      <c r="A1077" s="5" t="s">
        <v>5171</v>
      </c>
      <c r="B1077" s="5" t="s">
        <v>20</v>
      </c>
      <c r="C1077" s="3" t="s">
        <v>5172</v>
      </c>
      <c r="D1077" s="6">
        <v>2024</v>
      </c>
      <c r="E1077" s="3" t="s">
        <v>5173</v>
      </c>
      <c r="F1077" s="3" t="s">
        <v>5174</v>
      </c>
      <c r="G1077" s="5" t="s">
        <v>110</v>
      </c>
      <c r="H1077" s="5" t="s">
        <v>5175</v>
      </c>
      <c r="I1077" s="5"/>
      <c r="J1077" s="3"/>
    </row>
    <row r="1078" spans="1:10" ht="342" customHeight="1">
      <c r="A1078" s="5" t="s">
        <v>1057</v>
      </c>
      <c r="B1078" s="5" t="s">
        <v>20</v>
      </c>
      <c r="C1078" s="3" t="s">
        <v>1058</v>
      </c>
      <c r="D1078" s="6">
        <v>2025</v>
      </c>
      <c r="E1078" s="3" t="s">
        <v>1059</v>
      </c>
      <c r="F1078" s="3" t="s">
        <v>5176</v>
      </c>
      <c r="G1078" s="5" t="s">
        <v>115</v>
      </c>
      <c r="H1078" s="5" t="s">
        <v>5177</v>
      </c>
      <c r="I1078" s="5"/>
      <c r="J1078" s="3"/>
    </row>
    <row r="1079" spans="1:10" ht="370.5" customHeight="1">
      <c r="A1079" s="5" t="s">
        <v>5178</v>
      </c>
      <c r="B1079" s="5" t="s">
        <v>20</v>
      </c>
      <c r="C1079" s="3" t="s">
        <v>5179</v>
      </c>
      <c r="D1079" s="6">
        <v>2024</v>
      </c>
      <c r="E1079" s="3" t="s">
        <v>5180</v>
      </c>
      <c r="F1079" s="3" t="s">
        <v>5181</v>
      </c>
      <c r="G1079" s="5" t="s">
        <v>115</v>
      </c>
      <c r="H1079" s="5" t="s">
        <v>5182</v>
      </c>
      <c r="I1079" s="5"/>
      <c r="J1079" s="3"/>
    </row>
    <row r="1080" spans="1:10" ht="285" customHeight="1">
      <c r="A1080" s="5" t="s">
        <v>1149</v>
      </c>
      <c r="B1080" s="5" t="s">
        <v>20</v>
      </c>
      <c r="C1080" s="3" t="s">
        <v>1150</v>
      </c>
      <c r="D1080" s="6">
        <v>2025</v>
      </c>
      <c r="E1080" s="3" t="s">
        <v>1151</v>
      </c>
      <c r="F1080" s="3" t="s">
        <v>5183</v>
      </c>
      <c r="G1080" s="5" t="s">
        <v>110</v>
      </c>
      <c r="H1080" s="5" t="s">
        <v>5184</v>
      </c>
      <c r="I1080" s="5"/>
      <c r="J1080" s="3"/>
    </row>
    <row r="1081" spans="1:10" ht="270.75" customHeight="1">
      <c r="A1081" s="5" t="s">
        <v>5185</v>
      </c>
      <c r="B1081" s="5" t="s">
        <v>20</v>
      </c>
      <c r="C1081" s="3" t="s">
        <v>5186</v>
      </c>
      <c r="D1081" s="6">
        <v>2025</v>
      </c>
      <c r="E1081" s="3" t="s">
        <v>5187</v>
      </c>
      <c r="F1081" s="3" t="s">
        <v>5188</v>
      </c>
      <c r="G1081" s="5" t="s">
        <v>110</v>
      </c>
      <c r="H1081" s="5" t="s">
        <v>5189</v>
      </c>
      <c r="I1081" s="5"/>
      <c r="J1081" s="3"/>
    </row>
    <row r="1082" spans="1:10" ht="327.75" customHeight="1">
      <c r="A1082" s="5" t="s">
        <v>5190</v>
      </c>
      <c r="B1082" s="5" t="s">
        <v>20</v>
      </c>
      <c r="C1082" s="3" t="s">
        <v>5191</v>
      </c>
      <c r="D1082" s="6">
        <v>2024</v>
      </c>
      <c r="E1082" s="3" t="s">
        <v>5192</v>
      </c>
      <c r="F1082" s="3" t="s">
        <v>5193</v>
      </c>
      <c r="G1082" s="5" t="s">
        <v>110</v>
      </c>
      <c r="H1082" s="5" t="s">
        <v>5194</v>
      </c>
      <c r="I1082" s="5"/>
      <c r="J1082" s="3"/>
    </row>
    <row r="1083" spans="1:10" ht="185.25" customHeight="1">
      <c r="A1083" s="5" t="s">
        <v>5195</v>
      </c>
      <c r="B1083" s="5" t="s">
        <v>20</v>
      </c>
      <c r="C1083" s="3" t="s">
        <v>5196</v>
      </c>
      <c r="D1083" s="6">
        <v>2024</v>
      </c>
      <c r="E1083" s="3" t="s">
        <v>5197</v>
      </c>
      <c r="F1083" s="3" t="s">
        <v>5198</v>
      </c>
      <c r="G1083" s="5" t="s">
        <v>115</v>
      </c>
      <c r="H1083" s="5" t="s">
        <v>5199</v>
      </c>
      <c r="I1083" s="5"/>
      <c r="J1083" s="3"/>
    </row>
    <row r="1084" spans="1:10" ht="409.5" customHeight="1">
      <c r="A1084" s="5" t="s">
        <v>5200</v>
      </c>
      <c r="B1084" s="5" t="s">
        <v>20</v>
      </c>
      <c r="C1084" s="3" t="s">
        <v>5201</v>
      </c>
      <c r="D1084" s="6">
        <v>2025</v>
      </c>
      <c r="E1084" s="3" t="s">
        <v>5202</v>
      </c>
      <c r="F1084" s="3" t="s">
        <v>5203</v>
      </c>
      <c r="G1084" s="5" t="s">
        <v>115</v>
      </c>
      <c r="H1084" s="5" t="s">
        <v>5204</v>
      </c>
      <c r="I1084" s="5"/>
      <c r="J1084" s="3"/>
    </row>
    <row r="1085" spans="1:10" ht="409.5" customHeight="1">
      <c r="A1085" s="5" t="s">
        <v>5205</v>
      </c>
      <c r="B1085" s="5" t="s">
        <v>20</v>
      </c>
      <c r="C1085" s="3" t="s">
        <v>5206</v>
      </c>
      <c r="D1085" s="6">
        <v>2025</v>
      </c>
      <c r="E1085" s="3" t="s">
        <v>5207</v>
      </c>
      <c r="F1085" s="3" t="s">
        <v>5208</v>
      </c>
      <c r="G1085" s="5" t="s">
        <v>110</v>
      </c>
      <c r="H1085" s="5" t="s">
        <v>5209</v>
      </c>
      <c r="I1085" s="5"/>
      <c r="J1085" s="3"/>
    </row>
    <row r="1086" spans="1:10" ht="342" customHeight="1">
      <c r="A1086" s="5" t="s">
        <v>5210</v>
      </c>
      <c r="B1086" s="5" t="s">
        <v>20</v>
      </c>
      <c r="C1086" s="3" t="s">
        <v>5211</v>
      </c>
      <c r="D1086" s="6">
        <v>2024</v>
      </c>
      <c r="E1086" s="3" t="s">
        <v>5212</v>
      </c>
      <c r="F1086" s="3" t="s">
        <v>5213</v>
      </c>
      <c r="G1086" s="5" t="s">
        <v>110</v>
      </c>
      <c r="H1086" s="5" t="s">
        <v>5214</v>
      </c>
      <c r="I1086" s="5"/>
      <c r="J1086" s="3"/>
    </row>
    <row r="1087" spans="1:10" ht="299.25" customHeight="1">
      <c r="A1087" s="5" t="s">
        <v>5215</v>
      </c>
      <c r="B1087" s="5" t="s">
        <v>20</v>
      </c>
      <c r="C1087" s="3" t="s">
        <v>5216</v>
      </c>
      <c r="D1087" s="6">
        <v>2025</v>
      </c>
      <c r="E1087" s="3" t="s">
        <v>5217</v>
      </c>
      <c r="F1087" s="3" t="s">
        <v>5218</v>
      </c>
      <c r="G1087" s="5" t="s">
        <v>115</v>
      </c>
      <c r="H1087" s="5" t="s">
        <v>5219</v>
      </c>
      <c r="I1087" s="5"/>
      <c r="J1087" s="3"/>
    </row>
    <row r="1088" spans="1:10" ht="270.75" customHeight="1">
      <c r="A1088" s="5" t="s">
        <v>5220</v>
      </c>
      <c r="B1088" s="5" t="s">
        <v>20</v>
      </c>
      <c r="C1088" s="3" t="s">
        <v>5221</v>
      </c>
      <c r="D1088" s="6">
        <v>2023</v>
      </c>
      <c r="E1088" s="3" t="s">
        <v>5222</v>
      </c>
      <c r="F1088" s="3" t="s">
        <v>5223</v>
      </c>
      <c r="G1088" s="5" t="s">
        <v>115</v>
      </c>
      <c r="H1088" s="5" t="s">
        <v>5224</v>
      </c>
      <c r="I1088" s="5"/>
      <c r="J1088" s="3"/>
    </row>
    <row r="1089" spans="1:10" ht="299.25" customHeight="1">
      <c r="A1089" s="5" t="s">
        <v>5225</v>
      </c>
      <c r="B1089" s="5" t="s">
        <v>20</v>
      </c>
      <c r="C1089" s="3" t="s">
        <v>5226</v>
      </c>
      <c r="D1089" s="6">
        <v>2024</v>
      </c>
      <c r="E1089" s="3" t="s">
        <v>5227</v>
      </c>
      <c r="F1089" s="3" t="s">
        <v>5228</v>
      </c>
      <c r="G1089" s="5" t="s">
        <v>110</v>
      </c>
      <c r="H1089" s="5" t="s">
        <v>5229</v>
      </c>
      <c r="I1089" s="5"/>
      <c r="J1089" s="3"/>
    </row>
    <row r="1090" spans="1:10" ht="285" customHeight="1">
      <c r="A1090" s="5" t="s">
        <v>5230</v>
      </c>
      <c r="B1090" s="5" t="s">
        <v>20</v>
      </c>
      <c r="C1090" s="3" t="s">
        <v>5231</v>
      </c>
      <c r="D1090" s="6">
        <v>2024</v>
      </c>
      <c r="E1090" s="3" t="s">
        <v>5232</v>
      </c>
      <c r="F1090" s="3" t="s">
        <v>5233</v>
      </c>
      <c r="G1090" s="5" t="s">
        <v>115</v>
      </c>
      <c r="H1090" s="5"/>
      <c r="I1090" s="5"/>
      <c r="J1090" s="3"/>
    </row>
    <row r="1091" spans="1:10" ht="213.75" customHeight="1">
      <c r="A1091" s="5" t="s">
        <v>747</v>
      </c>
      <c r="B1091" s="5" t="s">
        <v>20</v>
      </c>
      <c r="C1091" s="3" t="s">
        <v>748</v>
      </c>
      <c r="D1091" s="6">
        <v>2023</v>
      </c>
      <c r="E1091" s="3" t="s">
        <v>749</v>
      </c>
      <c r="F1091" s="3" t="s">
        <v>5234</v>
      </c>
      <c r="G1091" s="5" t="s">
        <v>115</v>
      </c>
      <c r="H1091" s="5"/>
      <c r="I1091" s="5"/>
      <c r="J1091" s="3"/>
    </row>
    <row r="1092" spans="1:10" ht="356.25" customHeight="1">
      <c r="A1092" s="5" t="s">
        <v>5235</v>
      </c>
      <c r="B1092" s="5" t="s">
        <v>20</v>
      </c>
      <c r="C1092" s="3" t="s">
        <v>5236</v>
      </c>
      <c r="D1092" s="6">
        <v>2024</v>
      </c>
      <c r="E1092" s="3" t="s">
        <v>5237</v>
      </c>
      <c r="F1092" s="3" t="s">
        <v>5238</v>
      </c>
      <c r="G1092" s="5" t="s">
        <v>110</v>
      </c>
      <c r="H1092" s="5" t="s">
        <v>5239</v>
      </c>
      <c r="I1092" s="5"/>
      <c r="J1092" s="3"/>
    </row>
    <row r="1093" spans="1:10" ht="242.25" customHeight="1">
      <c r="A1093" s="5" t="s">
        <v>5240</v>
      </c>
      <c r="B1093" s="5" t="s">
        <v>20</v>
      </c>
      <c r="C1093" s="3" t="s">
        <v>5241</v>
      </c>
      <c r="D1093" s="6">
        <v>2024</v>
      </c>
      <c r="E1093" s="3" t="s">
        <v>5242</v>
      </c>
      <c r="F1093" s="3" t="s">
        <v>5243</v>
      </c>
      <c r="G1093" s="5" t="s">
        <v>115</v>
      </c>
      <c r="H1093" s="5" t="s">
        <v>5244</v>
      </c>
      <c r="I1093" s="5"/>
      <c r="J1093" s="3"/>
    </row>
    <row r="1094" spans="1:10" ht="242.25" customHeight="1">
      <c r="A1094" s="5" t="s">
        <v>5245</v>
      </c>
      <c r="B1094" s="5" t="s">
        <v>20</v>
      </c>
      <c r="C1094" s="3" t="s">
        <v>5246</v>
      </c>
      <c r="D1094" s="6">
        <v>2023</v>
      </c>
      <c r="E1094" s="3" t="s">
        <v>5247</v>
      </c>
      <c r="F1094" s="3" t="s">
        <v>5248</v>
      </c>
      <c r="G1094" s="5" t="s">
        <v>110</v>
      </c>
      <c r="H1094" s="5" t="s">
        <v>5249</v>
      </c>
      <c r="I1094" s="5"/>
      <c r="J1094" s="3"/>
    </row>
    <row r="1095" spans="1:10" ht="342" customHeight="1">
      <c r="A1095" s="5" t="s">
        <v>5250</v>
      </c>
      <c r="B1095" s="5" t="s">
        <v>20</v>
      </c>
      <c r="C1095" s="3" t="s">
        <v>5251</v>
      </c>
      <c r="D1095" s="6">
        <v>2025</v>
      </c>
      <c r="E1095" s="3" t="s">
        <v>5252</v>
      </c>
      <c r="F1095" s="3" t="s">
        <v>5253</v>
      </c>
      <c r="G1095" s="5" t="s">
        <v>115</v>
      </c>
      <c r="H1095" s="5" t="s">
        <v>5254</v>
      </c>
      <c r="I1095" s="5"/>
      <c r="J1095" s="3"/>
    </row>
    <row r="1096" spans="1:10" ht="356.25" customHeight="1">
      <c r="A1096" s="5" t="s">
        <v>1117</v>
      </c>
      <c r="B1096" s="5" t="s">
        <v>20</v>
      </c>
      <c r="C1096" s="3" t="s">
        <v>1118</v>
      </c>
      <c r="D1096" s="6">
        <v>2023</v>
      </c>
      <c r="E1096" s="3" t="s">
        <v>1119</v>
      </c>
      <c r="F1096" s="3" t="s">
        <v>5255</v>
      </c>
      <c r="G1096" s="5" t="s">
        <v>110</v>
      </c>
      <c r="H1096" s="5" t="s">
        <v>5256</v>
      </c>
      <c r="I1096" s="5"/>
      <c r="J1096" s="3"/>
    </row>
    <row r="1097" spans="1:10" ht="285" customHeight="1">
      <c r="A1097" s="5" t="s">
        <v>5257</v>
      </c>
      <c r="B1097" s="5" t="s">
        <v>20</v>
      </c>
      <c r="C1097" s="3" t="s">
        <v>5258</v>
      </c>
      <c r="D1097" s="6">
        <v>2024</v>
      </c>
      <c r="E1097" s="3" t="s">
        <v>5259</v>
      </c>
      <c r="F1097" s="3" t="s">
        <v>5260</v>
      </c>
      <c r="G1097" s="5" t="s">
        <v>110</v>
      </c>
      <c r="H1097" s="5" t="s">
        <v>5261</v>
      </c>
      <c r="I1097" s="5"/>
      <c r="J1097" s="3"/>
    </row>
    <row r="1098" spans="1:10" ht="228" customHeight="1">
      <c r="A1098" s="5" t="s">
        <v>5262</v>
      </c>
      <c r="B1098" s="5" t="s">
        <v>20</v>
      </c>
      <c r="C1098" s="3" t="s">
        <v>3203</v>
      </c>
      <c r="D1098" s="6">
        <v>2024</v>
      </c>
      <c r="E1098" s="3" t="s">
        <v>5263</v>
      </c>
      <c r="F1098" s="3" t="s">
        <v>5264</v>
      </c>
      <c r="G1098" s="5" t="s">
        <v>115</v>
      </c>
      <c r="H1098" s="5" t="s">
        <v>5265</v>
      </c>
      <c r="I1098" s="5"/>
      <c r="J1098" s="3"/>
    </row>
    <row r="1099" spans="1:10" ht="384.75" customHeight="1">
      <c r="A1099" s="5" t="s">
        <v>5266</v>
      </c>
      <c r="B1099" s="5" t="s">
        <v>20</v>
      </c>
      <c r="C1099" s="3" t="s">
        <v>5267</v>
      </c>
      <c r="D1099" s="6">
        <v>2025</v>
      </c>
      <c r="E1099" s="3" t="s">
        <v>5268</v>
      </c>
      <c r="F1099" s="3" t="s">
        <v>5269</v>
      </c>
      <c r="G1099" s="5" t="s">
        <v>110</v>
      </c>
      <c r="H1099" s="5" t="s">
        <v>5270</v>
      </c>
      <c r="I1099" s="5"/>
      <c r="J1099" s="3"/>
    </row>
    <row r="1100" spans="1:10" ht="142.5" customHeight="1">
      <c r="A1100" s="5" t="s">
        <v>774</v>
      </c>
      <c r="B1100" s="5" t="s">
        <v>20</v>
      </c>
      <c r="C1100" s="3" t="s">
        <v>775</v>
      </c>
      <c r="D1100" s="6">
        <v>2024</v>
      </c>
      <c r="E1100" s="3" t="s">
        <v>776</v>
      </c>
      <c r="F1100" s="3" t="s">
        <v>5271</v>
      </c>
      <c r="G1100" s="5" t="s">
        <v>115</v>
      </c>
      <c r="H1100" s="5"/>
      <c r="I1100" s="5"/>
      <c r="J1100" s="3"/>
    </row>
    <row r="1101" spans="1:10" ht="327.75" customHeight="1">
      <c r="A1101" s="5" t="s">
        <v>5272</v>
      </c>
      <c r="B1101" s="5" t="s">
        <v>20</v>
      </c>
      <c r="C1101" s="3" t="s">
        <v>5273</v>
      </c>
      <c r="D1101" s="6">
        <v>2024</v>
      </c>
      <c r="E1101" s="3" t="s">
        <v>5274</v>
      </c>
      <c r="F1101" s="3" t="s">
        <v>5275</v>
      </c>
      <c r="G1101" s="5" t="s">
        <v>110</v>
      </c>
      <c r="H1101" s="5" t="s">
        <v>5276</v>
      </c>
      <c r="I1101" s="5"/>
      <c r="J1101" s="3"/>
    </row>
    <row r="1102" spans="1:10" ht="185.25" customHeight="1">
      <c r="A1102" s="5" t="s">
        <v>5277</v>
      </c>
      <c r="B1102" s="5" t="s">
        <v>20</v>
      </c>
      <c r="C1102" s="3" t="s">
        <v>5278</v>
      </c>
      <c r="D1102" s="6">
        <v>2024</v>
      </c>
      <c r="E1102" s="3" t="s">
        <v>5279</v>
      </c>
      <c r="F1102" s="3" t="s">
        <v>5280</v>
      </c>
      <c r="G1102" s="5" t="s">
        <v>110</v>
      </c>
      <c r="H1102" s="5" t="s">
        <v>5281</v>
      </c>
      <c r="I1102" s="5"/>
      <c r="J1102" s="3"/>
    </row>
    <row r="1103" spans="1:10" ht="242.25" customHeight="1">
      <c r="A1103" s="5" t="s">
        <v>5282</v>
      </c>
      <c r="B1103" s="5" t="s">
        <v>20</v>
      </c>
      <c r="C1103" s="3" t="s">
        <v>5283</v>
      </c>
      <c r="D1103" s="6">
        <v>2025</v>
      </c>
      <c r="E1103" s="3" t="s">
        <v>5284</v>
      </c>
      <c r="F1103" s="3" t="s">
        <v>5285</v>
      </c>
      <c r="G1103" s="5" t="s">
        <v>115</v>
      </c>
      <c r="H1103" s="5" t="s">
        <v>5286</v>
      </c>
      <c r="I1103" s="5"/>
      <c r="J1103" s="3"/>
    </row>
    <row r="1104" spans="1:10" ht="256.5" customHeight="1">
      <c r="A1104" s="5" t="s">
        <v>5287</v>
      </c>
      <c r="B1104" s="5" t="s">
        <v>20</v>
      </c>
      <c r="C1104" s="3" t="s">
        <v>5288</v>
      </c>
      <c r="D1104" s="6">
        <v>2024</v>
      </c>
      <c r="E1104" s="3" t="s">
        <v>5289</v>
      </c>
      <c r="F1104" s="3" t="s">
        <v>5290</v>
      </c>
      <c r="G1104" s="5" t="s">
        <v>115</v>
      </c>
      <c r="H1104" s="5"/>
      <c r="I1104" s="5"/>
      <c r="J1104" s="3"/>
    </row>
    <row r="1105" spans="1:10" ht="299.25" customHeight="1">
      <c r="A1105" s="5" t="s">
        <v>5291</v>
      </c>
      <c r="B1105" s="5" t="s">
        <v>20</v>
      </c>
      <c r="C1105" s="3" t="s">
        <v>5292</v>
      </c>
      <c r="D1105" s="6">
        <v>2024</v>
      </c>
      <c r="E1105" s="3" t="s">
        <v>5293</v>
      </c>
      <c r="F1105" s="3" t="s">
        <v>5294</v>
      </c>
      <c r="G1105" s="5" t="s">
        <v>115</v>
      </c>
      <c r="H1105" s="5" t="s">
        <v>5295</v>
      </c>
      <c r="I1105" s="5"/>
      <c r="J1105" s="3"/>
    </row>
    <row r="1106" spans="1:10" ht="242.25" customHeight="1">
      <c r="A1106" s="5" t="s">
        <v>5296</v>
      </c>
      <c r="B1106" s="5" t="s">
        <v>20</v>
      </c>
      <c r="C1106" s="3" t="s">
        <v>5297</v>
      </c>
      <c r="D1106" s="6">
        <v>2024</v>
      </c>
      <c r="E1106" s="3" t="s">
        <v>5298</v>
      </c>
      <c r="F1106" s="3" t="s">
        <v>5299</v>
      </c>
      <c r="G1106" s="5" t="s">
        <v>110</v>
      </c>
      <c r="H1106" s="5" t="s">
        <v>5300</v>
      </c>
      <c r="I1106" s="5"/>
      <c r="J1106" s="3"/>
    </row>
    <row r="1107" spans="1:10" ht="270.75" customHeight="1">
      <c r="A1107" s="5" t="s">
        <v>5301</v>
      </c>
      <c r="B1107" s="5" t="s">
        <v>20</v>
      </c>
      <c r="C1107" s="3" t="s">
        <v>5041</v>
      </c>
      <c r="D1107" s="6">
        <v>2025</v>
      </c>
      <c r="E1107" s="3" t="s">
        <v>5302</v>
      </c>
      <c r="F1107" s="3" t="s">
        <v>5303</v>
      </c>
      <c r="G1107" s="5" t="s">
        <v>115</v>
      </c>
      <c r="H1107" s="5"/>
      <c r="I1107" s="5"/>
      <c r="J1107" s="3"/>
    </row>
    <row r="1108" spans="1:10" ht="327.75" customHeight="1">
      <c r="A1108" s="5" t="s">
        <v>5304</v>
      </c>
      <c r="B1108" s="5" t="s">
        <v>20</v>
      </c>
      <c r="C1108" s="3" t="s">
        <v>5305</v>
      </c>
      <c r="D1108" s="6">
        <v>2025</v>
      </c>
      <c r="E1108" s="3" t="s">
        <v>5306</v>
      </c>
      <c r="F1108" s="3" t="s">
        <v>5307</v>
      </c>
      <c r="G1108" s="5" t="s">
        <v>115</v>
      </c>
      <c r="H1108" s="5" t="s">
        <v>5308</v>
      </c>
      <c r="I1108" s="5"/>
      <c r="J1108" s="3"/>
    </row>
    <row r="1109" spans="1:10" ht="256.5" customHeight="1">
      <c r="A1109" s="5" t="s">
        <v>1140</v>
      </c>
      <c r="B1109" s="5" t="s">
        <v>20</v>
      </c>
      <c r="C1109" s="3" t="s">
        <v>1141</v>
      </c>
      <c r="D1109" s="6">
        <v>2025</v>
      </c>
      <c r="E1109" s="3" t="s">
        <v>1142</v>
      </c>
      <c r="F1109" s="3" t="s">
        <v>5309</v>
      </c>
      <c r="G1109" s="5" t="s">
        <v>115</v>
      </c>
      <c r="H1109" s="5" t="s">
        <v>5310</v>
      </c>
      <c r="I1109" s="5"/>
      <c r="J1109" s="3"/>
    </row>
    <row r="1110" spans="1:10" ht="299.25" customHeight="1">
      <c r="A1110" s="5" t="s">
        <v>5311</v>
      </c>
      <c r="B1110" s="5" t="s">
        <v>20</v>
      </c>
      <c r="C1110" s="3" t="s">
        <v>5312</v>
      </c>
      <c r="D1110" s="6">
        <v>2025</v>
      </c>
      <c r="E1110" s="3" t="s">
        <v>5313</v>
      </c>
      <c r="F1110" s="3" t="s">
        <v>5314</v>
      </c>
      <c r="G1110" s="5" t="s">
        <v>115</v>
      </c>
      <c r="H1110" s="5" t="s">
        <v>5315</v>
      </c>
      <c r="I1110" s="5"/>
      <c r="J1110" s="3"/>
    </row>
    <row r="1111" spans="1:10" ht="228" customHeight="1">
      <c r="A1111" s="5" t="s">
        <v>5316</v>
      </c>
      <c r="B1111" s="5" t="s">
        <v>20</v>
      </c>
      <c r="C1111" s="3" t="s">
        <v>5317</v>
      </c>
      <c r="D1111" s="6">
        <v>2025</v>
      </c>
      <c r="E1111" s="3" t="s">
        <v>5318</v>
      </c>
      <c r="F1111" s="3" t="s">
        <v>5319</v>
      </c>
      <c r="G1111" s="5" t="s">
        <v>115</v>
      </c>
      <c r="H1111" s="5"/>
      <c r="I1111" s="5"/>
      <c r="J1111" s="3"/>
    </row>
    <row r="1112" spans="1:10" ht="270.75" customHeight="1">
      <c r="A1112" s="5" t="s">
        <v>5320</v>
      </c>
      <c r="B1112" s="5" t="s">
        <v>20</v>
      </c>
      <c r="C1112" s="3" t="s">
        <v>5321</v>
      </c>
      <c r="D1112" s="6">
        <v>2025</v>
      </c>
      <c r="E1112" s="3" t="s">
        <v>5322</v>
      </c>
      <c r="F1112" s="3" t="s">
        <v>5323</v>
      </c>
      <c r="G1112" s="5" t="s">
        <v>115</v>
      </c>
      <c r="H1112" s="5" t="s">
        <v>5324</v>
      </c>
      <c r="I1112" s="5"/>
      <c r="J1112" s="3"/>
    </row>
    <row r="1113" spans="1:10" ht="256.5" customHeight="1">
      <c r="A1113" s="5" t="s">
        <v>5325</v>
      </c>
      <c r="B1113" s="5" t="s">
        <v>20</v>
      </c>
      <c r="C1113" s="3" t="s">
        <v>5326</v>
      </c>
      <c r="D1113" s="6">
        <v>2024</v>
      </c>
      <c r="E1113" s="3" t="s">
        <v>5327</v>
      </c>
      <c r="F1113" s="3" t="s">
        <v>5328</v>
      </c>
      <c r="G1113" s="5" t="s">
        <v>115</v>
      </c>
      <c r="H1113" s="5" t="s">
        <v>5329</v>
      </c>
      <c r="I1113" s="5"/>
      <c r="J1113" s="3"/>
    </row>
    <row r="1114" spans="1:10" ht="409.5" customHeight="1">
      <c r="A1114" s="5" t="s">
        <v>5330</v>
      </c>
      <c r="B1114" s="5" t="s">
        <v>20</v>
      </c>
      <c r="C1114" s="3" t="s">
        <v>5331</v>
      </c>
      <c r="D1114" s="6">
        <v>2024</v>
      </c>
      <c r="E1114" s="3" t="s">
        <v>5332</v>
      </c>
      <c r="F1114" s="3" t="s">
        <v>5333</v>
      </c>
      <c r="G1114" s="5" t="s">
        <v>110</v>
      </c>
      <c r="H1114" s="5" t="s">
        <v>5334</v>
      </c>
      <c r="I1114" s="5"/>
      <c r="J1114" s="3"/>
    </row>
    <row r="1115" spans="1:10" ht="213.75" customHeight="1">
      <c r="A1115" s="5" t="s">
        <v>1173</v>
      </c>
      <c r="B1115" s="5" t="s">
        <v>20</v>
      </c>
      <c r="C1115" s="3" t="s">
        <v>1174</v>
      </c>
      <c r="D1115" s="6">
        <v>2025</v>
      </c>
      <c r="E1115" s="3" t="s">
        <v>1175</v>
      </c>
      <c r="F1115" s="3" t="s">
        <v>5335</v>
      </c>
      <c r="G1115" s="5" t="s">
        <v>115</v>
      </c>
      <c r="H1115" s="5" t="s">
        <v>5336</v>
      </c>
      <c r="I1115" s="5"/>
      <c r="J1115" s="3"/>
    </row>
    <row r="1116" spans="1:10" ht="285" customHeight="1">
      <c r="A1116" s="5" t="s">
        <v>5337</v>
      </c>
      <c r="B1116" s="5" t="s">
        <v>20</v>
      </c>
      <c r="C1116" s="3" t="s">
        <v>5338</v>
      </c>
      <c r="D1116" s="6">
        <v>2025</v>
      </c>
      <c r="E1116" s="3" t="s">
        <v>5339</v>
      </c>
      <c r="F1116" s="3" t="s">
        <v>5340</v>
      </c>
      <c r="G1116" s="5" t="s">
        <v>115</v>
      </c>
      <c r="H1116" s="5" t="s">
        <v>5341</v>
      </c>
      <c r="I1116" s="5"/>
      <c r="J1116" s="3"/>
    </row>
    <row r="1117" spans="1:10" ht="242.25" customHeight="1">
      <c r="A1117" s="5" t="s">
        <v>5342</v>
      </c>
      <c r="B1117" s="5" t="s">
        <v>20</v>
      </c>
      <c r="C1117" s="3" t="s">
        <v>5343</v>
      </c>
      <c r="D1117" s="6">
        <v>2024</v>
      </c>
      <c r="E1117" s="3" t="s">
        <v>5344</v>
      </c>
      <c r="F1117" s="3" t="s">
        <v>5345</v>
      </c>
      <c r="G1117" s="5" t="s">
        <v>110</v>
      </c>
      <c r="H1117" s="5" t="s">
        <v>5346</v>
      </c>
      <c r="I1117" s="5"/>
      <c r="J1117" s="3"/>
    </row>
    <row r="1118" spans="1:10" ht="409.5" customHeight="1">
      <c r="A1118" s="5" t="s">
        <v>5347</v>
      </c>
      <c r="B1118" s="5" t="s">
        <v>20</v>
      </c>
      <c r="C1118" s="3" t="s">
        <v>5348</v>
      </c>
      <c r="D1118" s="6">
        <v>2024</v>
      </c>
      <c r="E1118" s="3" t="s">
        <v>5349</v>
      </c>
      <c r="F1118" s="3" t="s">
        <v>5350</v>
      </c>
      <c r="G1118" s="5" t="s">
        <v>110</v>
      </c>
      <c r="H1118" s="5" t="s">
        <v>5351</v>
      </c>
      <c r="I1118" s="5"/>
      <c r="J1118" s="3"/>
    </row>
    <row r="1119" spans="1:10" ht="156.75" customHeight="1">
      <c r="A1119" s="5" t="s">
        <v>5352</v>
      </c>
      <c r="B1119" s="5" t="s">
        <v>20</v>
      </c>
      <c r="C1119" s="3" t="s">
        <v>5353</v>
      </c>
      <c r="D1119" s="6">
        <v>2025</v>
      </c>
      <c r="E1119" s="3" t="s">
        <v>5354</v>
      </c>
      <c r="F1119" s="3" t="s">
        <v>5355</v>
      </c>
      <c r="G1119" s="5" t="s">
        <v>115</v>
      </c>
      <c r="H1119" s="5" t="s">
        <v>5356</v>
      </c>
      <c r="I1119" s="5"/>
      <c r="J1119" s="3"/>
    </row>
    <row r="1120" spans="1:10" ht="327.75" customHeight="1">
      <c r="A1120" s="5" t="s">
        <v>5357</v>
      </c>
      <c r="B1120" s="5" t="s">
        <v>20</v>
      </c>
      <c r="C1120" s="3" t="s">
        <v>5358</v>
      </c>
      <c r="D1120" s="6">
        <v>2025</v>
      </c>
      <c r="E1120" s="3" t="s">
        <v>5359</v>
      </c>
      <c r="F1120" s="3" t="s">
        <v>5360</v>
      </c>
      <c r="G1120" s="5" t="s">
        <v>115</v>
      </c>
      <c r="H1120" s="5"/>
      <c r="I1120" s="5"/>
      <c r="J1120" s="3"/>
    </row>
    <row r="1121" spans="1:10" ht="313.5" customHeight="1">
      <c r="A1121" s="5" t="s">
        <v>5361</v>
      </c>
      <c r="B1121" s="5" t="s">
        <v>20</v>
      </c>
      <c r="C1121" s="3" t="s">
        <v>5362</v>
      </c>
      <c r="D1121" s="6">
        <v>2025</v>
      </c>
      <c r="E1121" s="3" t="s">
        <v>5363</v>
      </c>
      <c r="F1121" s="3" t="s">
        <v>5364</v>
      </c>
      <c r="G1121" s="5" t="s">
        <v>115</v>
      </c>
      <c r="H1121" s="5" t="s">
        <v>5365</v>
      </c>
      <c r="I1121" s="5"/>
      <c r="J1121" s="3"/>
    </row>
    <row r="1122" spans="1:10" ht="270.75" customHeight="1">
      <c r="A1122" s="5" t="s">
        <v>5366</v>
      </c>
      <c r="B1122" s="5" t="s">
        <v>20</v>
      </c>
      <c r="C1122" s="3" t="s">
        <v>5162</v>
      </c>
      <c r="D1122" s="6">
        <v>2024</v>
      </c>
      <c r="E1122" s="3" t="s">
        <v>5367</v>
      </c>
      <c r="F1122" s="3" t="s">
        <v>5368</v>
      </c>
      <c r="G1122" s="5" t="s">
        <v>110</v>
      </c>
      <c r="H1122" s="5" t="s">
        <v>5369</v>
      </c>
      <c r="I1122" s="5"/>
      <c r="J1122" s="3"/>
    </row>
    <row r="1123" spans="1:10" ht="256.5" customHeight="1">
      <c r="A1123" s="5" t="s">
        <v>5370</v>
      </c>
      <c r="B1123" s="5" t="s">
        <v>20</v>
      </c>
      <c r="C1123" s="3" t="s">
        <v>5371</v>
      </c>
      <c r="D1123" s="6">
        <v>2024</v>
      </c>
      <c r="E1123" s="3" t="s">
        <v>5372</v>
      </c>
      <c r="F1123" s="3" t="s">
        <v>5373</v>
      </c>
      <c r="G1123" s="5" t="s">
        <v>115</v>
      </c>
      <c r="H1123" s="5" t="s">
        <v>5374</v>
      </c>
      <c r="I1123" s="5"/>
      <c r="J1123" s="3"/>
    </row>
    <row r="1124" spans="1:10" ht="256.5" customHeight="1">
      <c r="A1124" s="5" t="s">
        <v>5375</v>
      </c>
      <c r="B1124" s="5" t="s">
        <v>20</v>
      </c>
      <c r="C1124" s="3" t="s">
        <v>5376</v>
      </c>
      <c r="D1124" s="6">
        <v>2024</v>
      </c>
      <c r="E1124" s="3" t="s">
        <v>5377</v>
      </c>
      <c r="F1124" s="3" t="s">
        <v>5378</v>
      </c>
      <c r="G1124" s="5" t="s">
        <v>110</v>
      </c>
      <c r="H1124" s="5" t="s">
        <v>5379</v>
      </c>
      <c r="I1124" s="5"/>
      <c r="J1124" s="3"/>
    </row>
    <row r="1125" spans="1:10" ht="199.5" customHeight="1">
      <c r="A1125" s="5" t="s">
        <v>5380</v>
      </c>
      <c r="B1125" s="5" t="s">
        <v>20</v>
      </c>
      <c r="C1125" s="3" t="s">
        <v>5381</v>
      </c>
      <c r="D1125" s="6">
        <v>2023</v>
      </c>
      <c r="E1125" s="3" t="s">
        <v>5382</v>
      </c>
      <c r="F1125" s="3" t="s">
        <v>5383</v>
      </c>
      <c r="G1125" s="5" t="s">
        <v>115</v>
      </c>
      <c r="H1125" s="5"/>
      <c r="I1125" s="5"/>
      <c r="J1125" s="3"/>
    </row>
    <row r="1126" spans="1:10" ht="199.5" customHeight="1">
      <c r="A1126" s="5" t="s">
        <v>5384</v>
      </c>
      <c r="B1126" s="5" t="s">
        <v>20</v>
      </c>
      <c r="C1126" s="3" t="s">
        <v>5385</v>
      </c>
      <c r="D1126" s="6">
        <v>2024</v>
      </c>
      <c r="E1126" s="3" t="s">
        <v>5386</v>
      </c>
      <c r="F1126" s="3" t="s">
        <v>5387</v>
      </c>
      <c r="G1126" s="5" t="s">
        <v>115</v>
      </c>
      <c r="H1126" s="5" t="s">
        <v>5388</v>
      </c>
      <c r="I1126" s="5"/>
      <c r="J1126" s="3"/>
    </row>
    <row r="1127" spans="1:10" ht="213.75" customHeight="1">
      <c r="A1127" s="5" t="s">
        <v>5389</v>
      </c>
      <c r="B1127" s="5" t="s">
        <v>20</v>
      </c>
      <c r="C1127" s="3" t="s">
        <v>5390</v>
      </c>
      <c r="D1127" s="6">
        <v>2024</v>
      </c>
      <c r="E1127" s="3" t="s">
        <v>5391</v>
      </c>
      <c r="F1127" s="3" t="s">
        <v>5392</v>
      </c>
      <c r="G1127" s="5" t="s">
        <v>115</v>
      </c>
      <c r="H1127" s="5"/>
      <c r="I1127" s="5"/>
      <c r="J1127" s="3"/>
    </row>
    <row r="1128" spans="1:10" ht="228" customHeight="1">
      <c r="A1128" s="5" t="s">
        <v>5393</v>
      </c>
      <c r="B1128" s="5" t="s">
        <v>20</v>
      </c>
      <c r="C1128" s="3" t="s">
        <v>5394</v>
      </c>
      <c r="D1128" s="6">
        <v>2024</v>
      </c>
      <c r="E1128" s="3" t="s">
        <v>5395</v>
      </c>
      <c r="F1128" s="3" t="s">
        <v>5396</v>
      </c>
      <c r="G1128" s="5" t="s">
        <v>115</v>
      </c>
      <c r="H1128" s="5" t="s">
        <v>5397</v>
      </c>
      <c r="I1128" s="5"/>
      <c r="J1128" s="3"/>
    </row>
    <row r="1129" spans="1:10" ht="313.5" customHeight="1">
      <c r="A1129" s="5" t="s">
        <v>5398</v>
      </c>
      <c r="B1129" s="5" t="s">
        <v>20</v>
      </c>
      <c r="C1129" s="3" t="s">
        <v>5399</v>
      </c>
      <c r="D1129" s="6">
        <v>2024</v>
      </c>
      <c r="E1129" s="3" t="s">
        <v>5400</v>
      </c>
      <c r="F1129" s="3" t="s">
        <v>5401</v>
      </c>
      <c r="G1129" s="5" t="s">
        <v>110</v>
      </c>
      <c r="H1129" s="5" t="s">
        <v>5402</v>
      </c>
      <c r="I1129" s="5"/>
      <c r="J1129" s="3"/>
    </row>
    <row r="1130" spans="1:10" ht="409.5" customHeight="1">
      <c r="A1130" s="5" t="s">
        <v>5403</v>
      </c>
      <c r="B1130" s="5" t="s">
        <v>20</v>
      </c>
      <c r="C1130" s="3" t="s">
        <v>5404</v>
      </c>
      <c r="D1130" s="6">
        <v>2024</v>
      </c>
      <c r="E1130" s="3" t="s">
        <v>5405</v>
      </c>
      <c r="F1130" s="3" t="s">
        <v>5406</v>
      </c>
      <c r="G1130" s="5" t="s">
        <v>110</v>
      </c>
      <c r="H1130" s="5" t="s">
        <v>5407</v>
      </c>
      <c r="I1130" s="5"/>
      <c r="J1130" s="3"/>
    </row>
    <row r="1131" spans="1:10" ht="313.5" customHeight="1">
      <c r="A1131" s="5" t="s">
        <v>5408</v>
      </c>
      <c r="B1131" s="5" t="s">
        <v>20</v>
      </c>
      <c r="C1131" s="3" t="s">
        <v>5409</v>
      </c>
      <c r="D1131" s="6">
        <v>2025</v>
      </c>
      <c r="E1131" s="3" t="s">
        <v>5410</v>
      </c>
      <c r="F1131" s="3" t="s">
        <v>5411</v>
      </c>
      <c r="G1131" s="5" t="s">
        <v>110</v>
      </c>
      <c r="H1131" s="5" t="s">
        <v>5412</v>
      </c>
      <c r="I1131" s="5"/>
      <c r="J1131" s="3"/>
    </row>
    <row r="1132" spans="1:10" ht="242.25" customHeight="1">
      <c r="A1132" s="5" t="s">
        <v>5413</v>
      </c>
      <c r="B1132" s="5" t="s">
        <v>20</v>
      </c>
      <c r="C1132" s="3" t="s">
        <v>5414</v>
      </c>
      <c r="D1132" s="6">
        <v>2024</v>
      </c>
      <c r="E1132" s="3" t="s">
        <v>5415</v>
      </c>
      <c r="F1132" s="3" t="s">
        <v>5416</v>
      </c>
      <c r="G1132" s="5" t="s">
        <v>115</v>
      </c>
      <c r="H1132" s="5" t="s">
        <v>5417</v>
      </c>
      <c r="I1132" s="5"/>
      <c r="J1132" s="3"/>
    </row>
    <row r="1133" spans="1:10" ht="327.75" customHeight="1">
      <c r="A1133" s="5" t="s">
        <v>5418</v>
      </c>
      <c r="B1133" s="5" t="s">
        <v>20</v>
      </c>
      <c r="C1133" s="3" t="s">
        <v>5419</v>
      </c>
      <c r="D1133" s="6">
        <v>2024</v>
      </c>
      <c r="E1133" s="3" t="s">
        <v>5420</v>
      </c>
      <c r="F1133" s="3" t="s">
        <v>5421</v>
      </c>
      <c r="G1133" s="5" t="s">
        <v>115</v>
      </c>
      <c r="H1133" s="5" t="s">
        <v>5422</v>
      </c>
      <c r="I1133" s="5"/>
      <c r="J1133" s="3"/>
    </row>
    <row r="1134" spans="1:10" ht="242.25" customHeight="1">
      <c r="A1134" s="5" t="s">
        <v>5423</v>
      </c>
      <c r="B1134" s="5" t="s">
        <v>20</v>
      </c>
      <c r="C1134" s="3" t="s">
        <v>5424</v>
      </c>
      <c r="D1134" s="6">
        <v>2024</v>
      </c>
      <c r="E1134" s="3" t="s">
        <v>5425</v>
      </c>
      <c r="F1134" s="3" t="s">
        <v>5426</v>
      </c>
      <c r="G1134" s="5" t="s">
        <v>115</v>
      </c>
      <c r="H1134" s="5"/>
      <c r="I1134" s="5"/>
      <c r="J1134" s="3"/>
    </row>
    <row r="1135" spans="1:10" ht="270.75" customHeight="1">
      <c r="A1135" s="5" t="s">
        <v>5427</v>
      </c>
      <c r="B1135" s="5" t="s">
        <v>20</v>
      </c>
      <c r="C1135" s="3" t="s">
        <v>5428</v>
      </c>
      <c r="D1135" s="6">
        <v>2025</v>
      </c>
      <c r="E1135" s="3" t="s">
        <v>5429</v>
      </c>
      <c r="F1135" s="3" t="s">
        <v>5430</v>
      </c>
      <c r="G1135" s="5" t="s">
        <v>115</v>
      </c>
      <c r="H1135" s="5" t="s">
        <v>5431</v>
      </c>
      <c r="I1135" s="5"/>
      <c r="J1135" s="3"/>
    </row>
    <row r="1136" spans="1:10" ht="242.25" customHeight="1">
      <c r="A1136" s="5" t="s">
        <v>5432</v>
      </c>
      <c r="B1136" s="5" t="s">
        <v>20</v>
      </c>
      <c r="C1136" s="3" t="s">
        <v>5433</v>
      </c>
      <c r="D1136" s="6">
        <v>2023</v>
      </c>
      <c r="E1136" s="3" t="s">
        <v>5434</v>
      </c>
      <c r="F1136" s="3" t="s">
        <v>5435</v>
      </c>
      <c r="G1136" s="5" t="s">
        <v>115</v>
      </c>
      <c r="H1136" s="5"/>
      <c r="I1136" s="5"/>
      <c r="J1136" s="3"/>
    </row>
    <row r="1137" spans="1:10" ht="270.75" customHeight="1">
      <c r="A1137" s="5" t="s">
        <v>5436</v>
      </c>
      <c r="B1137" s="5" t="s">
        <v>20</v>
      </c>
      <c r="C1137" s="3" t="s">
        <v>5437</v>
      </c>
      <c r="D1137" s="6">
        <v>2025</v>
      </c>
      <c r="E1137" s="3" t="s">
        <v>5438</v>
      </c>
      <c r="F1137" s="3" t="s">
        <v>5439</v>
      </c>
      <c r="G1137" s="5" t="s">
        <v>115</v>
      </c>
      <c r="H1137" s="5" t="s">
        <v>5440</v>
      </c>
      <c r="I1137" s="5"/>
      <c r="J1137" s="3"/>
    </row>
    <row r="1138" spans="1:10" ht="409.5" customHeight="1">
      <c r="A1138" s="5" t="s">
        <v>5441</v>
      </c>
      <c r="B1138" s="5" t="s">
        <v>20</v>
      </c>
      <c r="C1138" s="3" t="s">
        <v>5442</v>
      </c>
      <c r="D1138" s="6">
        <v>2025</v>
      </c>
      <c r="E1138" s="3" t="s">
        <v>5443</v>
      </c>
      <c r="F1138" s="3" t="s">
        <v>5444</v>
      </c>
      <c r="G1138" s="5" t="s">
        <v>110</v>
      </c>
      <c r="H1138" s="5" t="s">
        <v>5445</v>
      </c>
      <c r="I1138" s="5"/>
      <c r="J1138" s="3"/>
    </row>
    <row r="1139" spans="1:10" ht="285" customHeight="1">
      <c r="A1139" s="5" t="s">
        <v>5446</v>
      </c>
      <c r="B1139" s="5" t="s">
        <v>20</v>
      </c>
      <c r="C1139" s="3" t="s">
        <v>5447</v>
      </c>
      <c r="D1139" s="6">
        <v>2025</v>
      </c>
      <c r="E1139" s="3" t="s">
        <v>5448</v>
      </c>
      <c r="F1139" s="3" t="s">
        <v>5449</v>
      </c>
      <c r="G1139" s="5" t="s">
        <v>115</v>
      </c>
      <c r="H1139" s="5" t="s">
        <v>5450</v>
      </c>
      <c r="I1139" s="5"/>
      <c r="J1139" s="3"/>
    </row>
    <row r="1140" spans="1:10" ht="285" customHeight="1">
      <c r="A1140" s="5" t="s">
        <v>1123</v>
      </c>
      <c r="B1140" s="5" t="s">
        <v>20</v>
      </c>
      <c r="C1140" s="3" t="s">
        <v>1109</v>
      </c>
      <c r="D1140" s="6">
        <v>2025</v>
      </c>
      <c r="E1140" s="3" t="s">
        <v>1124</v>
      </c>
      <c r="F1140" s="3" t="s">
        <v>5451</v>
      </c>
      <c r="G1140" s="5" t="s">
        <v>110</v>
      </c>
      <c r="H1140" s="5" t="s">
        <v>5452</v>
      </c>
      <c r="I1140" s="5"/>
      <c r="J1140" s="3"/>
    </row>
    <row r="1141" spans="1:10" ht="228" customHeight="1">
      <c r="A1141" s="5" t="s">
        <v>1158</v>
      </c>
      <c r="B1141" s="5" t="s">
        <v>20</v>
      </c>
      <c r="C1141" s="3" t="s">
        <v>1159</v>
      </c>
      <c r="D1141" s="6">
        <v>2023</v>
      </c>
      <c r="E1141" s="3" t="s">
        <v>1160</v>
      </c>
      <c r="F1141" s="3" t="s">
        <v>5453</v>
      </c>
      <c r="G1141" s="5" t="s">
        <v>115</v>
      </c>
      <c r="H1141" s="5"/>
      <c r="I1141" s="5"/>
      <c r="J1141" s="3"/>
    </row>
    <row r="1142" spans="1:10" ht="285" customHeight="1">
      <c r="A1142" s="5" t="s">
        <v>5454</v>
      </c>
      <c r="B1142" s="5" t="s">
        <v>20</v>
      </c>
      <c r="C1142" s="3" t="s">
        <v>5455</v>
      </c>
      <c r="D1142" s="6">
        <v>2024</v>
      </c>
      <c r="E1142" s="3" t="s">
        <v>5456</v>
      </c>
      <c r="F1142" s="3" t="s">
        <v>5457</v>
      </c>
      <c r="G1142" s="5" t="s">
        <v>115</v>
      </c>
      <c r="H1142" s="5" t="s">
        <v>5458</v>
      </c>
      <c r="I1142" s="5"/>
      <c r="J1142" s="3"/>
    </row>
    <row r="1143" spans="1:10" ht="285" customHeight="1">
      <c r="A1143" s="5" t="s">
        <v>5459</v>
      </c>
      <c r="B1143" s="5" t="s">
        <v>20</v>
      </c>
      <c r="C1143" s="3" t="s">
        <v>5460</v>
      </c>
      <c r="D1143" s="6">
        <v>2024</v>
      </c>
      <c r="E1143" s="3" t="s">
        <v>5461</v>
      </c>
      <c r="F1143" s="3" t="s">
        <v>5462</v>
      </c>
      <c r="G1143" s="5" t="s">
        <v>110</v>
      </c>
      <c r="H1143" s="5" t="s">
        <v>5463</v>
      </c>
      <c r="I1143" s="5"/>
      <c r="J1143" s="3"/>
    </row>
    <row r="1144" spans="1:10" ht="327.75" customHeight="1">
      <c r="A1144" s="5" t="s">
        <v>5464</v>
      </c>
      <c r="B1144" s="5" t="s">
        <v>20</v>
      </c>
      <c r="C1144" s="3" t="s">
        <v>5465</v>
      </c>
      <c r="D1144" s="6">
        <v>2024</v>
      </c>
      <c r="E1144" s="3" t="s">
        <v>5466</v>
      </c>
      <c r="F1144" s="3" t="s">
        <v>5467</v>
      </c>
      <c r="G1144" s="5" t="s">
        <v>110</v>
      </c>
      <c r="H1144" s="5" t="s">
        <v>5468</v>
      </c>
      <c r="I1144" s="5"/>
      <c r="J1144" s="3"/>
    </row>
    <row r="1145" spans="1:10" ht="256.5" customHeight="1">
      <c r="A1145" s="5" t="s">
        <v>5469</v>
      </c>
      <c r="B1145" s="5" t="s">
        <v>20</v>
      </c>
      <c r="C1145" s="3" t="s">
        <v>5470</v>
      </c>
      <c r="D1145" s="6">
        <v>2021</v>
      </c>
      <c r="E1145" s="3" t="s">
        <v>5471</v>
      </c>
      <c r="F1145" s="3" t="s">
        <v>5472</v>
      </c>
      <c r="G1145" s="5" t="s">
        <v>110</v>
      </c>
      <c r="H1145" s="5" t="s">
        <v>5473</v>
      </c>
      <c r="I1145" s="5"/>
      <c r="J1145" s="3"/>
    </row>
    <row r="1146" spans="1:10" ht="156.75" customHeight="1">
      <c r="A1146" s="5" t="s">
        <v>5474</v>
      </c>
      <c r="B1146" s="5" t="s">
        <v>20</v>
      </c>
      <c r="C1146" s="3" t="s">
        <v>5475</v>
      </c>
      <c r="D1146" s="6">
        <v>2021</v>
      </c>
      <c r="E1146" s="3" t="s">
        <v>5476</v>
      </c>
      <c r="F1146" s="3" t="s">
        <v>5477</v>
      </c>
      <c r="G1146" s="5" t="s">
        <v>115</v>
      </c>
      <c r="H1146" s="5"/>
      <c r="I1146" s="5"/>
      <c r="J1146" s="3"/>
    </row>
    <row r="1147" spans="1:10" ht="409.5" customHeight="1">
      <c r="A1147" s="5" t="s">
        <v>5478</v>
      </c>
      <c r="B1147" s="5" t="s">
        <v>20</v>
      </c>
      <c r="C1147" s="3" t="s">
        <v>5479</v>
      </c>
      <c r="D1147" s="6">
        <v>2022</v>
      </c>
      <c r="E1147" s="3" t="s">
        <v>5480</v>
      </c>
      <c r="F1147" s="3" t="s">
        <v>5481</v>
      </c>
      <c r="G1147" s="5" t="s">
        <v>110</v>
      </c>
      <c r="H1147" s="5" t="s">
        <v>5482</v>
      </c>
      <c r="I1147" s="5"/>
      <c r="J1147" s="3"/>
    </row>
    <row r="1148" spans="1:10" ht="285" customHeight="1">
      <c r="A1148" s="5" t="s">
        <v>5483</v>
      </c>
      <c r="B1148" s="5" t="s">
        <v>20</v>
      </c>
      <c r="C1148" s="3" t="s">
        <v>5484</v>
      </c>
      <c r="D1148" s="6">
        <v>2021</v>
      </c>
      <c r="E1148" s="3" t="s">
        <v>5485</v>
      </c>
      <c r="F1148" s="3" t="s">
        <v>5486</v>
      </c>
      <c r="G1148" s="5" t="s">
        <v>115</v>
      </c>
      <c r="H1148" s="5" t="s">
        <v>5487</v>
      </c>
      <c r="I1148" s="5"/>
      <c r="J1148" s="3"/>
    </row>
    <row r="1149" spans="1:10" ht="285" customHeight="1">
      <c r="A1149" s="5" t="s">
        <v>5488</v>
      </c>
      <c r="B1149" s="5" t="s">
        <v>20</v>
      </c>
      <c r="C1149" s="3" t="s">
        <v>5489</v>
      </c>
      <c r="D1149" s="6">
        <v>2023</v>
      </c>
      <c r="E1149" s="3" t="s">
        <v>5490</v>
      </c>
      <c r="F1149" s="3" t="s">
        <v>5491</v>
      </c>
      <c r="G1149" s="5" t="s">
        <v>115</v>
      </c>
      <c r="H1149" s="5" t="s">
        <v>5492</v>
      </c>
      <c r="I1149" s="5"/>
      <c r="J1149" s="3"/>
    </row>
    <row r="1150" spans="1:10" ht="128.25" customHeight="1">
      <c r="A1150" s="5" t="s">
        <v>5493</v>
      </c>
      <c r="B1150" s="5" t="s">
        <v>20</v>
      </c>
      <c r="C1150" s="3" t="s">
        <v>5494</v>
      </c>
      <c r="D1150" s="6">
        <v>2022</v>
      </c>
      <c r="E1150" s="3" t="s">
        <v>5495</v>
      </c>
      <c r="F1150" s="3" t="s">
        <v>5496</v>
      </c>
      <c r="G1150" s="5" t="s">
        <v>115</v>
      </c>
      <c r="H1150" s="5"/>
      <c r="I1150" s="5"/>
      <c r="J1150" s="3"/>
    </row>
    <row r="1151" spans="1:10" ht="228" customHeight="1">
      <c r="A1151" s="5" t="s">
        <v>5497</v>
      </c>
      <c r="B1151" s="5" t="s">
        <v>20</v>
      </c>
      <c r="C1151" s="3" t="s">
        <v>5498</v>
      </c>
      <c r="D1151" s="6">
        <v>2023</v>
      </c>
      <c r="E1151" s="3" t="s">
        <v>5499</v>
      </c>
      <c r="F1151" s="3" t="s">
        <v>5500</v>
      </c>
      <c r="G1151" s="5" t="s">
        <v>115</v>
      </c>
      <c r="H1151" s="5" t="s">
        <v>5501</v>
      </c>
      <c r="I1151" s="5"/>
      <c r="J1151" s="3"/>
    </row>
    <row r="1152" spans="1:10" ht="270.75" customHeight="1">
      <c r="A1152" s="5" t="s">
        <v>5502</v>
      </c>
      <c r="B1152" s="5" t="s">
        <v>20</v>
      </c>
      <c r="C1152" s="3" t="s">
        <v>5503</v>
      </c>
      <c r="D1152" s="6">
        <v>2023</v>
      </c>
      <c r="E1152" s="3" t="s">
        <v>5504</v>
      </c>
      <c r="F1152" s="3" t="s">
        <v>5505</v>
      </c>
      <c r="G1152" s="5" t="s">
        <v>115</v>
      </c>
      <c r="H1152" s="5"/>
      <c r="I1152" s="5"/>
      <c r="J1152" s="3"/>
    </row>
    <row r="1153" spans="1:10" ht="213.75" customHeight="1">
      <c r="A1153" s="5" t="s">
        <v>5506</v>
      </c>
      <c r="B1153" s="5" t="s">
        <v>20</v>
      </c>
      <c r="C1153" s="3" t="s">
        <v>5507</v>
      </c>
      <c r="D1153" s="6">
        <v>2021</v>
      </c>
      <c r="E1153" s="3" t="s">
        <v>5508</v>
      </c>
      <c r="F1153" s="3" t="s">
        <v>5509</v>
      </c>
      <c r="G1153" s="5" t="s">
        <v>115</v>
      </c>
      <c r="H1153" s="5" t="s">
        <v>5510</v>
      </c>
      <c r="I1153" s="5"/>
      <c r="J1153" s="3"/>
    </row>
    <row r="1154" spans="1:10" ht="285" customHeight="1">
      <c r="A1154" s="5" t="s">
        <v>1161</v>
      </c>
      <c r="B1154" s="5" t="s">
        <v>20</v>
      </c>
      <c r="C1154" s="3" t="s">
        <v>1162</v>
      </c>
      <c r="D1154" s="6">
        <v>2022</v>
      </c>
      <c r="E1154" s="3" t="s">
        <v>1163</v>
      </c>
      <c r="F1154" s="3" t="s">
        <v>5511</v>
      </c>
      <c r="G1154" s="5" t="s">
        <v>115</v>
      </c>
      <c r="H1154" s="5" t="s">
        <v>5512</v>
      </c>
      <c r="I1154" s="5"/>
      <c r="J1154" s="3"/>
    </row>
    <row r="1155" spans="1:10" ht="285" customHeight="1">
      <c r="A1155" s="5" t="s">
        <v>5513</v>
      </c>
      <c r="B1155" s="5" t="s">
        <v>20</v>
      </c>
      <c r="C1155" s="3" t="s">
        <v>5514</v>
      </c>
      <c r="D1155" s="6">
        <v>2022</v>
      </c>
      <c r="E1155" s="3" t="s">
        <v>5515</v>
      </c>
      <c r="F1155" s="3" t="s">
        <v>5516</v>
      </c>
      <c r="G1155" s="5" t="s">
        <v>115</v>
      </c>
      <c r="H1155" s="5" t="s">
        <v>5517</v>
      </c>
      <c r="I1155" s="5"/>
      <c r="J1155" s="3"/>
    </row>
    <row r="1156" spans="1:10" ht="242.25" customHeight="1">
      <c r="A1156" s="5" t="s">
        <v>5518</v>
      </c>
      <c r="B1156" s="5" t="s">
        <v>20</v>
      </c>
      <c r="C1156" s="3" t="s">
        <v>5519</v>
      </c>
      <c r="D1156" s="6">
        <v>2021</v>
      </c>
      <c r="E1156" s="3" t="s">
        <v>5520</v>
      </c>
      <c r="F1156" s="3" t="s">
        <v>5521</v>
      </c>
      <c r="G1156" s="5" t="s">
        <v>115</v>
      </c>
      <c r="H1156" s="5" t="s">
        <v>5522</v>
      </c>
      <c r="I1156" s="5"/>
      <c r="J1156" s="3"/>
    </row>
    <row r="1157" spans="1:10" ht="299.25" customHeight="1">
      <c r="A1157" s="5" t="s">
        <v>5523</v>
      </c>
      <c r="B1157" s="5" t="s">
        <v>20</v>
      </c>
      <c r="C1157" s="3" t="s">
        <v>4296</v>
      </c>
      <c r="D1157" s="6">
        <v>2023</v>
      </c>
      <c r="E1157" s="3" t="s">
        <v>5524</v>
      </c>
      <c r="F1157" s="3" t="s">
        <v>5525</v>
      </c>
      <c r="G1157" s="5" t="s">
        <v>115</v>
      </c>
      <c r="H1157" s="5" t="s">
        <v>5526</v>
      </c>
      <c r="I1157" s="5"/>
      <c r="J1157" s="3"/>
    </row>
    <row r="1158" spans="1:10" ht="270.75" customHeight="1">
      <c r="A1158" s="5" t="s">
        <v>5527</v>
      </c>
      <c r="B1158" s="5" t="s">
        <v>20</v>
      </c>
      <c r="C1158" s="3" t="s">
        <v>5528</v>
      </c>
      <c r="D1158" s="6">
        <v>2022</v>
      </c>
      <c r="E1158" s="3" t="s">
        <v>5529</v>
      </c>
      <c r="F1158" s="3" t="s">
        <v>5530</v>
      </c>
      <c r="G1158" s="5" t="s">
        <v>115</v>
      </c>
      <c r="H1158" s="5" t="s">
        <v>5531</v>
      </c>
      <c r="I1158" s="5"/>
      <c r="J1158" s="3"/>
    </row>
    <row r="1159" spans="1:10" ht="242.25" customHeight="1">
      <c r="A1159" s="5" t="s">
        <v>5532</v>
      </c>
      <c r="B1159" s="5" t="s">
        <v>20</v>
      </c>
      <c r="C1159" s="3" t="s">
        <v>5533</v>
      </c>
      <c r="D1159" s="6">
        <v>2022</v>
      </c>
      <c r="E1159" s="3" t="s">
        <v>5534</v>
      </c>
      <c r="F1159" s="3" t="s">
        <v>5535</v>
      </c>
      <c r="G1159" s="5" t="s">
        <v>115</v>
      </c>
      <c r="H1159" s="5" t="s">
        <v>5536</v>
      </c>
      <c r="I1159" s="5"/>
      <c r="J1159" s="3"/>
    </row>
    <row r="1160" spans="1:10" ht="199.5" customHeight="1">
      <c r="A1160" s="5" t="s">
        <v>5537</v>
      </c>
      <c r="B1160" s="5" t="s">
        <v>20</v>
      </c>
      <c r="C1160" s="3" t="s">
        <v>5538</v>
      </c>
      <c r="D1160" s="6">
        <v>2022</v>
      </c>
      <c r="E1160" s="3" t="s">
        <v>5539</v>
      </c>
      <c r="F1160" s="3" t="s">
        <v>5540</v>
      </c>
      <c r="G1160" s="5" t="s">
        <v>115</v>
      </c>
      <c r="H1160" s="5" t="s">
        <v>5541</v>
      </c>
      <c r="I1160" s="5"/>
      <c r="J1160" s="3"/>
    </row>
    <row r="1161" spans="1:10" ht="270.75" customHeight="1">
      <c r="A1161" s="5" t="s">
        <v>5542</v>
      </c>
      <c r="B1161" s="5" t="s">
        <v>20</v>
      </c>
      <c r="C1161" s="3" t="s">
        <v>5543</v>
      </c>
      <c r="D1161" s="6">
        <v>2023</v>
      </c>
      <c r="E1161" s="3" t="s">
        <v>5544</v>
      </c>
      <c r="F1161" s="3" t="s">
        <v>5545</v>
      </c>
      <c r="G1161" s="5" t="s">
        <v>115</v>
      </c>
      <c r="H1161" s="5" t="s">
        <v>5546</v>
      </c>
      <c r="I1161" s="5"/>
      <c r="J1161" s="3"/>
    </row>
    <row r="1162" spans="1:10" ht="242.25" customHeight="1">
      <c r="A1162" s="5" t="s">
        <v>1081</v>
      </c>
      <c r="B1162" s="5" t="s">
        <v>20</v>
      </c>
      <c r="C1162" s="3" t="s">
        <v>1082</v>
      </c>
      <c r="D1162" s="6">
        <v>2023</v>
      </c>
      <c r="E1162" s="3" t="s">
        <v>1083</v>
      </c>
      <c r="F1162" s="3" t="s">
        <v>5547</v>
      </c>
      <c r="G1162" s="5" t="s">
        <v>115</v>
      </c>
      <c r="H1162" s="5"/>
      <c r="I1162" s="5"/>
      <c r="J1162" s="3"/>
    </row>
    <row r="1163" spans="1:10" ht="285" customHeight="1">
      <c r="A1163" s="5" t="s">
        <v>5548</v>
      </c>
      <c r="B1163" s="5" t="s">
        <v>20</v>
      </c>
      <c r="C1163" s="3" t="s">
        <v>5549</v>
      </c>
      <c r="D1163" s="6">
        <v>2022</v>
      </c>
      <c r="E1163" s="3" t="s">
        <v>5550</v>
      </c>
      <c r="F1163" s="3" t="s">
        <v>5551</v>
      </c>
      <c r="G1163" s="5" t="s">
        <v>115</v>
      </c>
      <c r="H1163" s="5" t="s">
        <v>5552</v>
      </c>
      <c r="I1163" s="5"/>
      <c r="J1163" s="3"/>
    </row>
    <row r="1164" spans="1:10" ht="256.5" customHeight="1">
      <c r="A1164" s="5" t="s">
        <v>5553</v>
      </c>
      <c r="B1164" s="5" t="s">
        <v>20</v>
      </c>
      <c r="C1164" s="3" t="s">
        <v>5554</v>
      </c>
      <c r="D1164" s="6">
        <v>2023</v>
      </c>
      <c r="E1164" s="3" t="s">
        <v>5555</v>
      </c>
      <c r="F1164" s="3" t="s">
        <v>5556</v>
      </c>
      <c r="G1164" s="5" t="s">
        <v>115</v>
      </c>
      <c r="H1164" s="5" t="s">
        <v>5557</v>
      </c>
      <c r="I1164" s="5"/>
      <c r="J1164" s="3"/>
    </row>
    <row r="1165" spans="1:10" ht="299.25" customHeight="1">
      <c r="A1165" s="5" t="s">
        <v>5558</v>
      </c>
      <c r="B1165" s="5" t="s">
        <v>20</v>
      </c>
      <c r="C1165" s="3" t="s">
        <v>5559</v>
      </c>
      <c r="D1165" s="6">
        <v>2021</v>
      </c>
      <c r="E1165" s="3" t="s">
        <v>5560</v>
      </c>
      <c r="F1165" s="3" t="s">
        <v>5561</v>
      </c>
      <c r="G1165" s="5" t="s">
        <v>110</v>
      </c>
      <c r="H1165" s="5" t="s">
        <v>5562</v>
      </c>
      <c r="I1165" s="5"/>
      <c r="J1165" s="3"/>
    </row>
    <row r="1166" spans="1:10" ht="213.75" customHeight="1">
      <c r="A1166" s="5" t="s">
        <v>5563</v>
      </c>
      <c r="B1166" s="5" t="s">
        <v>20</v>
      </c>
      <c r="C1166" s="3" t="s">
        <v>5564</v>
      </c>
      <c r="D1166" s="6">
        <v>2023</v>
      </c>
      <c r="E1166" s="3" t="s">
        <v>5565</v>
      </c>
      <c r="F1166" s="3" t="s">
        <v>5566</v>
      </c>
      <c r="G1166" s="5" t="s">
        <v>115</v>
      </c>
      <c r="H1166" s="5" t="s">
        <v>5567</v>
      </c>
      <c r="I1166" s="5"/>
      <c r="J1166" s="3"/>
    </row>
    <row r="1167" spans="1:10" ht="228" customHeight="1">
      <c r="A1167" s="5" t="s">
        <v>5568</v>
      </c>
      <c r="B1167" s="5" t="s">
        <v>20</v>
      </c>
      <c r="C1167" s="3" t="s">
        <v>5569</v>
      </c>
      <c r="D1167" s="6">
        <v>2022</v>
      </c>
      <c r="E1167" s="3" t="s">
        <v>5570</v>
      </c>
      <c r="F1167" s="3" t="s">
        <v>5571</v>
      </c>
      <c r="G1167" s="5" t="s">
        <v>115</v>
      </c>
      <c r="H1167" s="5" t="s">
        <v>5572</v>
      </c>
      <c r="I1167" s="5"/>
      <c r="J1167" s="3"/>
    </row>
    <row r="1168" spans="1:10" ht="270.75" customHeight="1">
      <c r="A1168" s="5" t="s">
        <v>5573</v>
      </c>
      <c r="B1168" s="5" t="s">
        <v>20</v>
      </c>
      <c r="C1168" s="3" t="s">
        <v>5574</v>
      </c>
      <c r="D1168" s="6">
        <v>2021</v>
      </c>
      <c r="E1168" s="3" t="s">
        <v>5575</v>
      </c>
      <c r="F1168" s="3" t="s">
        <v>5576</v>
      </c>
      <c r="G1168" s="5" t="s">
        <v>115</v>
      </c>
      <c r="H1168" s="5" t="s">
        <v>5577</v>
      </c>
      <c r="I1168" s="5"/>
      <c r="J1168" s="3"/>
    </row>
    <row r="1169" spans="1:10" ht="213.75" customHeight="1">
      <c r="A1169" s="5" t="s">
        <v>5578</v>
      </c>
      <c r="B1169" s="5" t="s">
        <v>20</v>
      </c>
      <c r="C1169" s="3" t="s">
        <v>5579</v>
      </c>
      <c r="D1169" s="6">
        <v>2023</v>
      </c>
      <c r="E1169" s="3" t="s">
        <v>5580</v>
      </c>
      <c r="F1169" s="3" t="s">
        <v>5581</v>
      </c>
      <c r="G1169" s="5" t="s">
        <v>115</v>
      </c>
      <c r="H1169" s="5"/>
      <c r="I1169" s="5"/>
      <c r="J1169" s="3"/>
    </row>
    <row r="1170" spans="1:10" ht="270.75" customHeight="1">
      <c r="A1170" s="5" t="s">
        <v>5582</v>
      </c>
      <c r="B1170" s="5" t="s">
        <v>20</v>
      </c>
      <c r="C1170" s="3" t="s">
        <v>5583</v>
      </c>
      <c r="D1170" s="6">
        <v>2023</v>
      </c>
      <c r="E1170" s="3" t="s">
        <v>5584</v>
      </c>
      <c r="F1170" s="3" t="s">
        <v>5585</v>
      </c>
      <c r="G1170" s="5" t="s">
        <v>115</v>
      </c>
      <c r="H1170" s="5" t="s">
        <v>5586</v>
      </c>
      <c r="I1170" s="5"/>
      <c r="J1170" s="3"/>
    </row>
    <row r="1171" spans="1:10" ht="213.75" customHeight="1">
      <c r="A1171" s="5" t="s">
        <v>5587</v>
      </c>
      <c r="B1171" s="5" t="s">
        <v>20</v>
      </c>
      <c r="C1171" s="3" t="s">
        <v>5588</v>
      </c>
      <c r="D1171" s="6">
        <v>2020</v>
      </c>
      <c r="E1171" s="3" t="s">
        <v>5589</v>
      </c>
      <c r="F1171" s="3" t="s">
        <v>5590</v>
      </c>
      <c r="G1171" s="5" t="s">
        <v>115</v>
      </c>
      <c r="H1171" s="5" t="s">
        <v>5591</v>
      </c>
      <c r="I1171" s="5"/>
      <c r="J1171" s="3"/>
    </row>
    <row r="1172" spans="1:10" ht="256.5" customHeight="1">
      <c r="A1172" s="5" t="s">
        <v>5592</v>
      </c>
      <c r="B1172" s="5" t="s">
        <v>20</v>
      </c>
      <c r="C1172" s="3" t="s">
        <v>5593</v>
      </c>
      <c r="D1172" s="6">
        <v>2022</v>
      </c>
      <c r="E1172" s="3" t="s">
        <v>5594</v>
      </c>
      <c r="F1172" s="3" t="s">
        <v>5595</v>
      </c>
      <c r="G1172" s="5" t="s">
        <v>115</v>
      </c>
      <c r="H1172" s="5"/>
      <c r="I1172" s="5"/>
      <c r="J1172" s="3"/>
    </row>
    <row r="1173" spans="1:10" ht="270.75" customHeight="1">
      <c r="A1173" s="5" t="s">
        <v>5596</v>
      </c>
      <c r="B1173" s="5" t="s">
        <v>20</v>
      </c>
      <c r="C1173" s="3" t="s">
        <v>5597</v>
      </c>
      <c r="D1173" s="6">
        <v>2022</v>
      </c>
      <c r="E1173" s="3" t="s">
        <v>5598</v>
      </c>
      <c r="F1173" s="3" t="s">
        <v>5599</v>
      </c>
      <c r="G1173" s="5" t="s">
        <v>115</v>
      </c>
      <c r="H1173" s="5" t="s">
        <v>5600</v>
      </c>
      <c r="I1173" s="5"/>
      <c r="J1173" s="3"/>
    </row>
    <row r="1174" spans="1:10" ht="242.25" customHeight="1">
      <c r="A1174" s="5" t="s">
        <v>5601</v>
      </c>
      <c r="B1174" s="5" t="s">
        <v>20</v>
      </c>
      <c r="C1174" s="3" t="s">
        <v>5602</v>
      </c>
      <c r="D1174" s="6">
        <v>2022</v>
      </c>
      <c r="E1174" s="3" t="s">
        <v>5603</v>
      </c>
      <c r="F1174" s="3" t="s">
        <v>5604</v>
      </c>
      <c r="G1174" s="5" t="s">
        <v>115</v>
      </c>
      <c r="H1174" s="5" t="s">
        <v>5605</v>
      </c>
      <c r="I1174" s="5"/>
      <c r="J1174" s="3"/>
    </row>
    <row r="1175" spans="1:10" ht="185.25" customHeight="1">
      <c r="A1175" s="5" t="s">
        <v>5606</v>
      </c>
      <c r="B1175" s="5" t="s">
        <v>20</v>
      </c>
      <c r="C1175" s="3" t="s">
        <v>5607</v>
      </c>
      <c r="D1175" s="6">
        <v>2022</v>
      </c>
      <c r="E1175" s="3" t="s">
        <v>5608</v>
      </c>
      <c r="F1175" s="3" t="s">
        <v>5609</v>
      </c>
      <c r="G1175" s="5" t="s">
        <v>115</v>
      </c>
      <c r="H1175" s="5" t="s">
        <v>5610</v>
      </c>
      <c r="I1175" s="5"/>
      <c r="J1175" s="3"/>
    </row>
    <row r="1176" spans="1:10" ht="213.75" customHeight="1">
      <c r="A1176" s="5" t="s">
        <v>5611</v>
      </c>
      <c r="B1176" s="5" t="s">
        <v>20</v>
      </c>
      <c r="C1176" s="3" t="s">
        <v>5612</v>
      </c>
      <c r="D1176" s="6">
        <v>2022</v>
      </c>
      <c r="E1176" s="3" t="s">
        <v>5613</v>
      </c>
      <c r="F1176" s="3" t="s">
        <v>5614</v>
      </c>
      <c r="G1176" s="5" t="s">
        <v>115</v>
      </c>
      <c r="H1176" s="5" t="s">
        <v>5615</v>
      </c>
      <c r="I1176" s="5"/>
      <c r="J1176" s="3"/>
    </row>
    <row r="1177" spans="1:10" ht="256.5" customHeight="1">
      <c r="A1177" s="5" t="s">
        <v>5616</v>
      </c>
      <c r="B1177" s="5" t="s">
        <v>20</v>
      </c>
      <c r="C1177" s="3" t="s">
        <v>5617</v>
      </c>
      <c r="D1177" s="6">
        <v>2021</v>
      </c>
      <c r="E1177" s="3" t="s">
        <v>5618</v>
      </c>
      <c r="F1177" s="3" t="s">
        <v>5619</v>
      </c>
      <c r="G1177" s="5" t="s">
        <v>115</v>
      </c>
      <c r="H1177" s="5" t="s">
        <v>5620</v>
      </c>
      <c r="I1177" s="5"/>
      <c r="J1177" s="3"/>
    </row>
    <row r="1178" spans="1:10" ht="228" customHeight="1">
      <c r="A1178" s="5" t="s">
        <v>5621</v>
      </c>
      <c r="B1178" s="5" t="s">
        <v>20</v>
      </c>
      <c r="C1178" s="3" t="s">
        <v>5622</v>
      </c>
      <c r="D1178" s="6">
        <v>2023</v>
      </c>
      <c r="E1178" s="3" t="s">
        <v>5623</v>
      </c>
      <c r="F1178" s="3" t="s">
        <v>5624</v>
      </c>
      <c r="G1178" s="5" t="s">
        <v>115</v>
      </c>
      <c r="H1178" s="5" t="s">
        <v>5625</v>
      </c>
      <c r="I1178" s="5"/>
      <c r="J1178" s="3"/>
    </row>
    <row r="1179" spans="1:10" ht="356.25" customHeight="1">
      <c r="A1179" s="5" t="s">
        <v>5626</v>
      </c>
      <c r="B1179" s="5" t="s">
        <v>20</v>
      </c>
      <c r="C1179" s="3" t="s">
        <v>5627</v>
      </c>
      <c r="D1179" s="6">
        <v>2023</v>
      </c>
      <c r="E1179" s="3" t="s">
        <v>5628</v>
      </c>
      <c r="F1179" s="3" t="s">
        <v>5629</v>
      </c>
      <c r="G1179" s="5" t="s">
        <v>110</v>
      </c>
      <c r="H1179" s="5" t="s">
        <v>5630</v>
      </c>
      <c r="I1179" s="5"/>
      <c r="J1179" s="3"/>
    </row>
    <row r="1180" spans="1:10" ht="356.25" customHeight="1">
      <c r="A1180" s="5" t="s">
        <v>5631</v>
      </c>
      <c r="B1180" s="5" t="s">
        <v>20</v>
      </c>
      <c r="C1180" s="3" t="s">
        <v>5632</v>
      </c>
      <c r="D1180" s="6">
        <v>2023</v>
      </c>
      <c r="E1180" s="3" t="s">
        <v>5633</v>
      </c>
      <c r="F1180" s="3" t="s">
        <v>5634</v>
      </c>
      <c r="G1180" s="5" t="s">
        <v>110</v>
      </c>
      <c r="H1180" s="5" t="s">
        <v>5635</v>
      </c>
      <c r="I1180" s="5"/>
      <c r="J1180" s="3"/>
    </row>
    <row r="1181" spans="1:10" ht="228" customHeight="1">
      <c r="A1181" s="5" t="s">
        <v>5636</v>
      </c>
      <c r="B1181" s="5" t="s">
        <v>20</v>
      </c>
      <c r="C1181" s="3" t="s">
        <v>5637</v>
      </c>
      <c r="D1181" s="6">
        <v>2023</v>
      </c>
      <c r="E1181" s="3" t="s">
        <v>5638</v>
      </c>
      <c r="F1181" s="3" t="s">
        <v>5639</v>
      </c>
      <c r="G1181" s="5" t="s">
        <v>115</v>
      </c>
      <c r="H1181" s="5"/>
      <c r="I1181" s="5"/>
      <c r="J1181" s="3"/>
    </row>
    <row r="1182" spans="1:10" ht="370.5" customHeight="1">
      <c r="A1182" s="5" t="s">
        <v>5640</v>
      </c>
      <c r="B1182" s="5" t="s">
        <v>20</v>
      </c>
      <c r="C1182" s="3" t="s">
        <v>5641</v>
      </c>
      <c r="D1182" s="6">
        <v>2023</v>
      </c>
      <c r="E1182" s="3" t="s">
        <v>5642</v>
      </c>
      <c r="F1182" s="3" t="s">
        <v>5643</v>
      </c>
      <c r="G1182" s="5" t="s">
        <v>110</v>
      </c>
      <c r="H1182" s="5" t="s">
        <v>5644</v>
      </c>
      <c r="I1182" s="5"/>
      <c r="J1182" s="3"/>
    </row>
    <row r="1183" spans="1:10" ht="285" customHeight="1">
      <c r="A1183" s="5" t="s">
        <v>5645</v>
      </c>
      <c r="B1183" s="5" t="s">
        <v>20</v>
      </c>
      <c r="C1183" s="3" t="s">
        <v>5646</v>
      </c>
      <c r="D1183" s="6">
        <v>2022</v>
      </c>
      <c r="E1183" s="3" t="s">
        <v>5647</v>
      </c>
      <c r="F1183" s="3" t="s">
        <v>5648</v>
      </c>
      <c r="G1183" s="5" t="s">
        <v>110</v>
      </c>
      <c r="H1183" s="5" t="s">
        <v>5649</v>
      </c>
      <c r="I1183" s="5"/>
      <c r="J1183" s="3"/>
    </row>
    <row r="1184" spans="1:10" ht="409.5" customHeight="1">
      <c r="A1184" s="5" t="s">
        <v>5650</v>
      </c>
      <c r="B1184" s="5" t="s">
        <v>20</v>
      </c>
      <c r="C1184" s="3" t="s">
        <v>5651</v>
      </c>
      <c r="D1184" s="6">
        <v>2022</v>
      </c>
      <c r="E1184" s="3" t="s">
        <v>5652</v>
      </c>
      <c r="F1184" s="3" t="s">
        <v>5653</v>
      </c>
      <c r="G1184" s="5" t="s">
        <v>110</v>
      </c>
      <c r="H1184" s="5" t="s">
        <v>5654</v>
      </c>
      <c r="I1184" s="5"/>
      <c r="J1184" s="3"/>
    </row>
    <row r="1185" spans="1:10" ht="213.75" customHeight="1">
      <c r="A1185" s="5" t="s">
        <v>5655</v>
      </c>
      <c r="B1185" s="5" t="s">
        <v>20</v>
      </c>
      <c r="C1185" s="3" t="s">
        <v>5656</v>
      </c>
      <c r="D1185" s="6">
        <v>2020</v>
      </c>
      <c r="E1185" s="3" t="s">
        <v>5657</v>
      </c>
      <c r="F1185" s="3" t="s">
        <v>5658</v>
      </c>
      <c r="G1185" s="5" t="s">
        <v>115</v>
      </c>
      <c r="H1185" s="5" t="s">
        <v>5659</v>
      </c>
      <c r="I1185" s="5"/>
      <c r="J1185" s="3"/>
    </row>
    <row r="1186" spans="1:10" ht="228" customHeight="1">
      <c r="A1186" s="5" t="s">
        <v>5660</v>
      </c>
      <c r="B1186" s="5" t="s">
        <v>20</v>
      </c>
      <c r="C1186" s="3" t="s">
        <v>5661</v>
      </c>
      <c r="D1186" s="6">
        <v>2022</v>
      </c>
      <c r="E1186" s="3" t="s">
        <v>5662</v>
      </c>
      <c r="F1186" s="3" t="s">
        <v>5663</v>
      </c>
      <c r="G1186" s="5" t="s">
        <v>115</v>
      </c>
      <c r="H1186" s="5"/>
      <c r="I1186" s="5"/>
      <c r="J1186" s="3"/>
    </row>
    <row r="1187" spans="1:10" ht="370.5" customHeight="1">
      <c r="A1187" s="5" t="s">
        <v>5664</v>
      </c>
      <c r="B1187" s="5" t="s">
        <v>20</v>
      </c>
      <c r="C1187" s="3" t="s">
        <v>5665</v>
      </c>
      <c r="D1187" s="6">
        <v>2021</v>
      </c>
      <c r="E1187" s="3" t="s">
        <v>5666</v>
      </c>
      <c r="F1187" s="3" t="s">
        <v>5667</v>
      </c>
      <c r="G1187" s="5" t="s">
        <v>110</v>
      </c>
      <c r="H1187" s="5" t="s">
        <v>5668</v>
      </c>
      <c r="I1187" s="5"/>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3"/>
  <sheetViews>
    <sheetView topLeftCell="A21" workbookViewId="0">
      <selection activeCell="A31" sqref="A31:C43"/>
    </sheetView>
  </sheetViews>
  <sheetFormatPr defaultRowHeight="14.25"/>
  <cols>
    <col min="1" max="1" width="44.875" customWidth="1"/>
    <col min="2" max="2" width="10.75" bestFit="1" customWidth="1"/>
    <col min="3" max="3" width="95.125" style="2" customWidth="1"/>
  </cols>
  <sheetData>
    <row r="1" spans="1:3" ht="15" customHeight="1">
      <c r="A1" t="s">
        <v>5669</v>
      </c>
      <c r="B1" t="s">
        <v>5670</v>
      </c>
      <c r="C1" s="2" t="s">
        <v>10</v>
      </c>
    </row>
    <row r="2" spans="1:3">
      <c r="A2" s="2" t="s">
        <v>5671</v>
      </c>
      <c r="B2" s="2">
        <v>2355</v>
      </c>
      <c r="C2" s="2" t="s">
        <v>5672</v>
      </c>
    </row>
    <row r="3" spans="1:3">
      <c r="A3" s="2" t="s">
        <v>5673</v>
      </c>
      <c r="B3" s="2">
        <v>163</v>
      </c>
      <c r="C3" s="2" t="s">
        <v>5674</v>
      </c>
    </row>
    <row r="4" spans="1:3">
      <c r="A4" s="2" t="s">
        <v>5675</v>
      </c>
      <c r="B4" s="2">
        <v>2192</v>
      </c>
      <c r="C4" s="2" t="s">
        <v>5676</v>
      </c>
    </row>
    <row r="5" spans="1:3" ht="71.25" customHeight="1">
      <c r="A5" s="2" t="s">
        <v>5677</v>
      </c>
      <c r="B5" s="2"/>
      <c r="C5" s="2" t="s">
        <v>52</v>
      </c>
    </row>
    <row r="6" spans="1:3">
      <c r="A6" s="2" t="s">
        <v>5678</v>
      </c>
      <c r="B6" s="2">
        <v>2192</v>
      </c>
      <c r="C6" s="2" t="s">
        <v>5679</v>
      </c>
    </row>
    <row r="7" spans="1:3" ht="28.5" customHeight="1">
      <c r="A7" s="2" t="s">
        <v>5680</v>
      </c>
      <c r="B7" s="2">
        <v>1008</v>
      </c>
      <c r="C7" s="2" t="s">
        <v>5681</v>
      </c>
    </row>
    <row r="8" spans="1:3" ht="28.5" customHeight="1">
      <c r="A8" s="2" t="s">
        <v>5682</v>
      </c>
      <c r="B8" s="2">
        <v>1184</v>
      </c>
      <c r="C8" s="2" t="s">
        <v>5683</v>
      </c>
    </row>
    <row r="9" spans="1:3" ht="71.25" customHeight="1">
      <c r="A9" s="2" t="s">
        <v>5684</v>
      </c>
      <c r="B9" s="2"/>
      <c r="C9" s="2" t="s">
        <v>5685</v>
      </c>
    </row>
    <row r="10" spans="1:3" ht="114" customHeight="1">
      <c r="A10" s="2" t="s">
        <v>5686</v>
      </c>
      <c r="B10" s="2"/>
      <c r="C10" s="2" t="s">
        <v>5687</v>
      </c>
    </row>
    <row r="11" spans="1:3" ht="28.5" customHeight="1">
      <c r="A11" s="2" t="s">
        <v>5688</v>
      </c>
      <c r="B11" s="2">
        <v>1184</v>
      </c>
      <c r="C11" s="2" t="s">
        <v>5689</v>
      </c>
    </row>
    <row r="12" spans="1:3" ht="28.5" customHeight="1">
      <c r="A12" s="2" t="s">
        <v>5690</v>
      </c>
      <c r="B12" s="2">
        <v>352</v>
      </c>
      <c r="C12" s="2" t="s">
        <v>5691</v>
      </c>
    </row>
    <row r="13" spans="1:3" ht="42.75" customHeight="1">
      <c r="A13" s="2" t="s">
        <v>5692</v>
      </c>
      <c r="B13" s="2">
        <v>820</v>
      </c>
      <c r="C13" s="2" t="s">
        <v>5693</v>
      </c>
    </row>
    <row r="14" spans="1:3" ht="28.5" customHeight="1">
      <c r="A14" s="2" t="s">
        <v>5694</v>
      </c>
      <c r="B14" s="2">
        <v>364</v>
      </c>
      <c r="C14" s="2" t="s">
        <v>5695</v>
      </c>
    </row>
    <row r="15" spans="1:3" ht="28.5" customHeight="1">
      <c r="A15" s="2" t="s">
        <v>5696</v>
      </c>
      <c r="B15" s="2">
        <v>353</v>
      </c>
      <c r="C15" s="2" t="s">
        <v>5697</v>
      </c>
    </row>
    <row r="16" spans="1:3" ht="28.5" customHeight="1">
      <c r="A16" s="2" t="s">
        <v>5698</v>
      </c>
      <c r="B16" s="2">
        <v>11</v>
      </c>
      <c r="C16" s="2" t="s">
        <v>5699</v>
      </c>
    </row>
    <row r="17" spans="1:3" ht="42.75" customHeight="1">
      <c r="A17" s="2" t="s">
        <v>5700</v>
      </c>
      <c r="B17" s="2" t="s">
        <v>5701</v>
      </c>
      <c r="C17" s="2" t="s">
        <v>5702</v>
      </c>
    </row>
    <row r="18" spans="1:3">
      <c r="A18" s="2" t="s">
        <v>5703</v>
      </c>
      <c r="B18" s="2">
        <v>783</v>
      </c>
      <c r="C18" s="2" t="s">
        <v>5704</v>
      </c>
    </row>
    <row r="19" spans="1:3">
      <c r="A19" s="2" t="s">
        <v>5705</v>
      </c>
      <c r="B19" s="2">
        <v>28</v>
      </c>
      <c r="C19" s="2" t="s">
        <v>5706</v>
      </c>
    </row>
    <row r="20" spans="1:3">
      <c r="A20" s="2" t="s">
        <v>5707</v>
      </c>
      <c r="B20" s="2">
        <v>6</v>
      </c>
      <c r="C20" s="2" t="s">
        <v>5708</v>
      </c>
    </row>
    <row r="21" spans="1:3">
      <c r="A21" s="2" t="s">
        <v>5709</v>
      </c>
      <c r="B21" s="2">
        <v>3</v>
      </c>
      <c r="C21" s="2" t="s">
        <v>5710</v>
      </c>
    </row>
    <row r="22" spans="1:3">
      <c r="A22" s="2" t="s">
        <v>5711</v>
      </c>
      <c r="B22" s="2">
        <v>209</v>
      </c>
      <c r="C22" s="2" t="s">
        <v>5712</v>
      </c>
    </row>
    <row r="23" spans="1:3">
      <c r="A23" s="2" t="s">
        <v>5713</v>
      </c>
      <c r="B23" s="2">
        <v>83</v>
      </c>
      <c r="C23" s="2" t="s">
        <v>5714</v>
      </c>
    </row>
    <row r="24" spans="1:3">
      <c r="A24" s="2" t="s">
        <v>5715</v>
      </c>
      <c r="B24" s="2">
        <v>72</v>
      </c>
      <c r="C24" s="2" t="s">
        <v>5716</v>
      </c>
    </row>
    <row r="25" spans="1:3">
      <c r="A25" s="2" t="s">
        <v>5717</v>
      </c>
      <c r="B25" s="2">
        <v>77</v>
      </c>
      <c r="C25" s="2" t="s">
        <v>5718</v>
      </c>
    </row>
    <row r="26" spans="1:3">
      <c r="A26" s="2" t="s">
        <v>5719</v>
      </c>
      <c r="B26" s="2">
        <v>7</v>
      </c>
      <c r="C26" s="2" t="s">
        <v>5720</v>
      </c>
    </row>
    <row r="27" spans="1:3">
      <c r="A27" s="2" t="s">
        <v>5721</v>
      </c>
      <c r="B27" s="2">
        <v>70</v>
      </c>
      <c r="C27" s="2" t="s">
        <v>5722</v>
      </c>
    </row>
    <row r="28" spans="1:3">
      <c r="A28" s="2" t="s">
        <v>5723</v>
      </c>
      <c r="B28" s="2">
        <v>27</v>
      </c>
      <c r="C28" s="2" t="s">
        <v>5724</v>
      </c>
    </row>
    <row r="29" spans="1:3" ht="28.5" customHeight="1">
      <c r="A29" s="2" t="s">
        <v>5725</v>
      </c>
      <c r="B29" s="2">
        <v>5</v>
      </c>
      <c r="C29" s="2" t="s">
        <v>5726</v>
      </c>
    </row>
    <row r="30" spans="1:3" ht="28.5" customHeight="1">
      <c r="A30" s="2" t="s">
        <v>5727</v>
      </c>
      <c r="B30" s="2">
        <v>38</v>
      </c>
      <c r="C30" s="2" t="s">
        <v>5728</v>
      </c>
    </row>
    <row r="31" spans="1:3" ht="28.5">
      <c r="A31" s="2" t="s">
        <v>7051</v>
      </c>
      <c r="B31" s="2">
        <v>1</v>
      </c>
      <c r="C31" s="2" t="s">
        <v>7052</v>
      </c>
    </row>
    <row r="32" spans="1:3">
      <c r="A32" s="2" t="s">
        <v>7053</v>
      </c>
      <c r="B32" s="2">
        <v>403</v>
      </c>
      <c r="C32" s="2" t="s">
        <v>7054</v>
      </c>
    </row>
    <row r="33" spans="1:3">
      <c r="A33" s="2" t="s">
        <v>7055</v>
      </c>
      <c r="B33" s="2">
        <v>4</v>
      </c>
      <c r="C33" s="2" t="s">
        <v>7056</v>
      </c>
    </row>
    <row r="34" spans="1:3">
      <c r="A34" s="2" t="s">
        <v>7057</v>
      </c>
      <c r="B34" s="2">
        <v>399</v>
      </c>
      <c r="C34" s="2" t="s">
        <v>7058</v>
      </c>
    </row>
    <row r="35" spans="1:3">
      <c r="A35" s="2" t="s">
        <v>7059</v>
      </c>
      <c r="B35" s="2">
        <v>1</v>
      </c>
      <c r="C35" s="2" t="s">
        <v>7060</v>
      </c>
    </row>
    <row r="36" spans="1:3" ht="28.5">
      <c r="A36" s="2" t="s">
        <v>7061</v>
      </c>
      <c r="B36" s="2">
        <v>28</v>
      </c>
      <c r="C36" s="2" t="s">
        <v>7062</v>
      </c>
    </row>
    <row r="37" spans="1:3">
      <c r="A37" s="2" t="s">
        <v>7063</v>
      </c>
      <c r="B37" s="2">
        <v>2</v>
      </c>
      <c r="C37" s="2" t="s">
        <v>7064</v>
      </c>
    </row>
    <row r="38" spans="1:3">
      <c r="A38" s="2" t="s">
        <v>7065</v>
      </c>
      <c r="B38" s="2">
        <v>1</v>
      </c>
      <c r="C38" s="2" t="s">
        <v>7066</v>
      </c>
    </row>
    <row r="39" spans="1:3">
      <c r="A39" s="2" t="s">
        <v>7067</v>
      </c>
      <c r="B39" s="2">
        <v>32</v>
      </c>
      <c r="C39" s="2" t="s">
        <v>7068</v>
      </c>
    </row>
    <row r="40" spans="1:3">
      <c r="A40" s="2" t="s">
        <v>7069</v>
      </c>
      <c r="B40" s="2">
        <v>367</v>
      </c>
      <c r="C40" s="2" t="s">
        <v>7070</v>
      </c>
    </row>
    <row r="41" spans="1:3">
      <c r="A41" s="2" t="s">
        <v>7071</v>
      </c>
      <c r="B41" s="2">
        <v>205</v>
      </c>
      <c r="C41" s="2" t="s">
        <v>7072</v>
      </c>
    </row>
    <row r="42" spans="1:3" ht="28.5">
      <c r="A42" s="2" t="s">
        <v>7073</v>
      </c>
      <c r="B42" s="2">
        <v>58</v>
      </c>
      <c r="C42" s="2" t="s">
        <v>7074</v>
      </c>
    </row>
    <row r="43" spans="1:3">
      <c r="A43" s="2" t="s">
        <v>7075</v>
      </c>
      <c r="B43" s="2">
        <v>104</v>
      </c>
      <c r="C43" s="2" t="s">
        <v>7076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3"/>
  <sheetViews>
    <sheetView topLeftCell="A2" workbookViewId="0">
      <selection sqref="A1:F1"/>
    </sheetView>
  </sheetViews>
  <sheetFormatPr defaultRowHeight="14.25"/>
  <cols>
    <col min="1" max="1" width="22" customWidth="1"/>
    <col min="2" max="2" width="70" customWidth="1"/>
    <col min="3" max="6" width="36" customWidth="1"/>
  </cols>
  <sheetData>
    <row r="1" spans="1:6" ht="27.95" customHeight="1">
      <c r="A1" s="19" t="s">
        <v>5729</v>
      </c>
      <c r="B1" s="18"/>
      <c r="C1" s="18"/>
      <c r="D1" s="18"/>
      <c r="E1" s="18"/>
      <c r="F1" s="18"/>
    </row>
    <row r="2" spans="1:6" ht="30" customHeight="1">
      <c r="A2" s="17" t="s">
        <v>5730</v>
      </c>
      <c r="B2" s="18"/>
      <c r="C2" s="18"/>
      <c r="D2" s="18"/>
      <c r="E2" s="18"/>
      <c r="F2" s="18"/>
    </row>
    <row r="4" spans="1:6" ht="15">
      <c r="A4" s="8" t="s">
        <v>5731</v>
      </c>
      <c r="B4" s="8" t="s">
        <v>5732</v>
      </c>
    </row>
    <row r="5" spans="1:6">
      <c r="A5" s="2" t="s">
        <v>5733</v>
      </c>
      <c r="B5" s="2" t="s">
        <v>5734</v>
      </c>
    </row>
    <row r="6" spans="1:6" ht="42.75">
      <c r="A6" s="2" t="s">
        <v>5735</v>
      </c>
      <c r="B6" s="2" t="s">
        <v>5736</v>
      </c>
    </row>
    <row r="7" spans="1:6" ht="28.5">
      <c r="A7" s="2" t="s">
        <v>5737</v>
      </c>
      <c r="B7" s="2" t="s">
        <v>5738</v>
      </c>
    </row>
    <row r="8" spans="1:6">
      <c r="A8" s="2" t="s">
        <v>5739</v>
      </c>
      <c r="B8" s="2" t="s">
        <v>5740</v>
      </c>
    </row>
    <row r="9" spans="1:6">
      <c r="A9" s="2" t="s">
        <v>5741</v>
      </c>
      <c r="B9" s="2" t="s">
        <v>5742</v>
      </c>
    </row>
    <row r="10" spans="1:6">
      <c r="A10" s="2" t="s">
        <v>5743</v>
      </c>
      <c r="B10" s="2" t="s">
        <v>5744</v>
      </c>
    </row>
    <row r="11" spans="1:6">
      <c r="A11" s="2" t="s">
        <v>5745</v>
      </c>
      <c r="B11" s="2" t="s">
        <v>5746</v>
      </c>
    </row>
    <row r="12" spans="1:6" ht="28.5">
      <c r="A12" s="2" t="s">
        <v>5747</v>
      </c>
      <c r="B12" s="2" t="s">
        <v>5748</v>
      </c>
    </row>
    <row r="14" spans="1:6" ht="15">
      <c r="A14" s="9" t="s">
        <v>5749</v>
      </c>
      <c r="B14" s="9" t="s">
        <v>5750</v>
      </c>
    </row>
    <row r="15" spans="1:6" ht="28.5">
      <c r="A15" s="2" t="s">
        <v>5751</v>
      </c>
      <c r="B15" s="2" t="s">
        <v>5752</v>
      </c>
    </row>
    <row r="16" spans="1:6">
      <c r="A16" s="2" t="s">
        <v>5753</v>
      </c>
      <c r="B16" s="2" t="s">
        <v>5754</v>
      </c>
    </row>
    <row r="17" spans="1:2">
      <c r="A17" s="2" t="s">
        <v>20</v>
      </c>
      <c r="B17" s="2" t="s">
        <v>5755</v>
      </c>
    </row>
    <row r="18" spans="1:2">
      <c r="A18" s="2" t="s">
        <v>24</v>
      </c>
      <c r="B18" s="2" t="s">
        <v>5756</v>
      </c>
    </row>
    <row r="20" spans="1:2" ht="15">
      <c r="A20" s="8" t="s">
        <v>5757</v>
      </c>
      <c r="B20" s="8" t="s">
        <v>5758</v>
      </c>
    </row>
    <row r="21" spans="1:2">
      <c r="A21" s="2" t="s">
        <v>5759</v>
      </c>
      <c r="B21" s="2" t="s">
        <v>5760</v>
      </c>
    </row>
    <row r="22" spans="1:2">
      <c r="A22" s="2" t="s">
        <v>5761</v>
      </c>
      <c r="B22" s="2" t="s">
        <v>5762</v>
      </c>
    </row>
    <row r="23" spans="1:2">
      <c r="A23" s="2" t="s">
        <v>5763</v>
      </c>
      <c r="B23" s="2" t="s">
        <v>5764</v>
      </c>
    </row>
    <row r="24" spans="1:2">
      <c r="A24" s="2" t="s">
        <v>5765</v>
      </c>
      <c r="B24" s="2" t="s">
        <v>5766</v>
      </c>
    </row>
    <row r="25" spans="1:2">
      <c r="A25" s="2" t="s">
        <v>5767</v>
      </c>
      <c r="B25" s="2" t="s">
        <v>5768</v>
      </c>
    </row>
    <row r="26" spans="1:2">
      <c r="A26" s="2" t="s">
        <v>5769</v>
      </c>
      <c r="B26" s="2" t="s">
        <v>5770</v>
      </c>
    </row>
    <row r="27" spans="1:2">
      <c r="A27" s="2" t="s">
        <v>5771</v>
      </c>
      <c r="B27" s="2" t="s">
        <v>5772</v>
      </c>
    </row>
    <row r="28" spans="1:2">
      <c r="A28" s="2" t="s">
        <v>5773</v>
      </c>
      <c r="B28" s="2" t="s">
        <v>5774</v>
      </c>
    </row>
    <row r="29" spans="1:2">
      <c r="A29" s="2" t="s">
        <v>5775</v>
      </c>
      <c r="B29" s="2" t="s">
        <v>5776</v>
      </c>
    </row>
    <row r="30" spans="1:2">
      <c r="A30" s="2" t="s">
        <v>5777</v>
      </c>
      <c r="B30" s="2" t="s">
        <v>5778</v>
      </c>
    </row>
    <row r="31" spans="1:2">
      <c r="A31" s="2" t="s">
        <v>5779</v>
      </c>
      <c r="B31" s="2" t="s">
        <v>5780</v>
      </c>
    </row>
    <row r="32" spans="1:2">
      <c r="A32" s="2" t="s">
        <v>5781</v>
      </c>
      <c r="B32" s="2" t="s">
        <v>5782</v>
      </c>
    </row>
    <row r="33" spans="1:6">
      <c r="A33" s="2" t="s">
        <v>5783</v>
      </c>
      <c r="B33" s="2" t="s">
        <v>5784</v>
      </c>
    </row>
    <row r="34" spans="1:6" ht="28.5">
      <c r="A34" s="2" t="s">
        <v>5785</v>
      </c>
      <c r="B34" s="2" t="s">
        <v>5786</v>
      </c>
    </row>
    <row r="36" spans="1:6" ht="15">
      <c r="A36" s="8" t="s">
        <v>1</v>
      </c>
      <c r="B36" s="8" t="s">
        <v>95</v>
      </c>
      <c r="C36" s="8" t="s">
        <v>96</v>
      </c>
      <c r="D36" s="8" t="s">
        <v>104</v>
      </c>
      <c r="E36" s="8" t="s">
        <v>105</v>
      </c>
      <c r="F36" s="8" t="s">
        <v>106</v>
      </c>
    </row>
    <row r="37" spans="1:6" ht="42.75">
      <c r="A37" s="2" t="s">
        <v>11</v>
      </c>
      <c r="B37" s="2" t="s">
        <v>5787</v>
      </c>
      <c r="C37" s="2" t="s">
        <v>5788</v>
      </c>
      <c r="D37" s="2" t="s">
        <v>5789</v>
      </c>
      <c r="E37" s="2" t="s">
        <v>5790</v>
      </c>
      <c r="F37" s="2" t="s">
        <v>5791</v>
      </c>
    </row>
    <row r="38" spans="1:6" ht="28.5">
      <c r="A38" s="2" t="s">
        <v>20</v>
      </c>
      <c r="B38" s="2" t="s">
        <v>5792</v>
      </c>
      <c r="C38" s="2" t="s">
        <v>5793</v>
      </c>
      <c r="D38" s="2" t="s">
        <v>5794</v>
      </c>
      <c r="E38" s="2" t="s">
        <v>5795</v>
      </c>
      <c r="F38" s="2" t="s">
        <v>5796</v>
      </c>
    </row>
    <row r="39" spans="1:6">
      <c r="A39" s="2" t="s">
        <v>24</v>
      </c>
      <c r="B39" s="2" t="s">
        <v>5797</v>
      </c>
      <c r="C39" s="2" t="s">
        <v>5798</v>
      </c>
      <c r="D39" s="2" t="s">
        <v>5799</v>
      </c>
      <c r="E39" s="2" t="s">
        <v>5800</v>
      </c>
      <c r="F39" s="2" t="s">
        <v>5801</v>
      </c>
    </row>
    <row r="40" spans="1:6" ht="28.5">
      <c r="A40" s="2" t="s">
        <v>5785</v>
      </c>
      <c r="B40" s="2" t="s">
        <v>5802</v>
      </c>
    </row>
    <row r="42" spans="1:6" ht="15">
      <c r="A42" s="8" t="s">
        <v>100</v>
      </c>
      <c r="B42" s="8" t="s">
        <v>5803</v>
      </c>
    </row>
    <row r="43" spans="1:6">
      <c r="A43" s="2"/>
      <c r="B43" s="2" t="s">
        <v>5804</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workbookViewId="0"/>
  </sheetViews>
  <sheetFormatPr defaultRowHeight="14.25"/>
  <cols>
    <col min="1" max="1" width="7" customWidth="1"/>
    <col min="2" max="2" width="12" customWidth="1"/>
    <col min="3" max="3" width="9" customWidth="1"/>
    <col min="4" max="4" width="60" customWidth="1"/>
    <col min="5" max="5" width="80" customWidth="1"/>
    <col min="6" max="6" width="40" customWidth="1"/>
  </cols>
  <sheetData>
    <row r="1" spans="1:6" ht="15">
      <c r="A1" s="8" t="s">
        <v>5805</v>
      </c>
      <c r="B1" s="8" t="s">
        <v>3</v>
      </c>
      <c r="C1" s="8" t="s">
        <v>1</v>
      </c>
      <c r="D1" s="8" t="s">
        <v>5806</v>
      </c>
      <c r="E1" s="8" t="s">
        <v>5807</v>
      </c>
      <c r="F1" s="8" t="s">
        <v>5808</v>
      </c>
    </row>
    <row r="2" spans="1:6" ht="57">
      <c r="A2" s="2" t="s">
        <v>5809</v>
      </c>
      <c r="B2" s="13">
        <v>46300</v>
      </c>
      <c r="C2" s="2" t="s">
        <v>49</v>
      </c>
      <c r="D2" s="2" t="s">
        <v>5810</v>
      </c>
      <c r="E2" s="2" t="s">
        <v>5811</v>
      </c>
      <c r="F2" s="2"/>
    </row>
    <row r="3" spans="1:6" ht="28.5">
      <c r="A3" s="2" t="s">
        <v>5812</v>
      </c>
      <c r="B3" s="13">
        <v>46300</v>
      </c>
      <c r="C3" s="2" t="s">
        <v>11</v>
      </c>
      <c r="D3" s="2" t="s">
        <v>5813</v>
      </c>
      <c r="E3" s="2" t="s">
        <v>5814</v>
      </c>
      <c r="F3" s="2"/>
    </row>
    <row r="4" spans="1:6" ht="28.5">
      <c r="A4" s="2" t="s">
        <v>5815</v>
      </c>
      <c r="B4" s="13">
        <v>46300</v>
      </c>
      <c r="C4" s="2" t="s">
        <v>11</v>
      </c>
      <c r="D4" s="2" t="s">
        <v>5816</v>
      </c>
      <c r="E4" s="2" t="s">
        <v>5817</v>
      </c>
      <c r="F4" s="2"/>
    </row>
    <row r="5" spans="1:6">
      <c r="A5" s="2" t="s">
        <v>5818</v>
      </c>
      <c r="B5" s="13">
        <v>46300</v>
      </c>
      <c r="C5" s="2" t="s">
        <v>11</v>
      </c>
      <c r="D5" s="2" t="s">
        <v>5819</v>
      </c>
      <c r="E5" s="2" t="s">
        <v>5820</v>
      </c>
      <c r="F5" s="2"/>
    </row>
    <row r="6" spans="1:6" ht="28.5">
      <c r="A6" s="2" t="s">
        <v>5821</v>
      </c>
      <c r="B6" s="13">
        <v>46300</v>
      </c>
      <c r="C6" s="2" t="s">
        <v>20</v>
      </c>
      <c r="D6" s="2" t="s">
        <v>5822</v>
      </c>
      <c r="E6" s="2" t="s">
        <v>5823</v>
      </c>
      <c r="F6" s="2"/>
    </row>
    <row r="7" spans="1:6" ht="28.5">
      <c r="A7" s="2" t="s">
        <v>5824</v>
      </c>
      <c r="B7" s="13">
        <v>46300</v>
      </c>
      <c r="C7" s="2" t="s">
        <v>20</v>
      </c>
      <c r="D7" s="2" t="s">
        <v>5825</v>
      </c>
      <c r="E7" s="2" t="s">
        <v>5826</v>
      </c>
      <c r="F7" s="2"/>
    </row>
    <row r="8" spans="1:6" ht="28.5">
      <c r="A8" s="2" t="s">
        <v>5827</v>
      </c>
      <c r="B8" s="13">
        <v>46300</v>
      </c>
      <c r="C8" s="2" t="s">
        <v>20</v>
      </c>
      <c r="D8" s="2" t="s">
        <v>5828</v>
      </c>
      <c r="E8" s="2" t="s">
        <v>5829</v>
      </c>
      <c r="F8" s="2"/>
    </row>
    <row r="9" spans="1:6" ht="28.5">
      <c r="A9" s="2" t="s">
        <v>5830</v>
      </c>
      <c r="B9" s="13">
        <v>46300</v>
      </c>
      <c r="C9" s="2" t="s">
        <v>20</v>
      </c>
      <c r="D9" s="2" t="s">
        <v>5831</v>
      </c>
      <c r="E9" s="2" t="s">
        <v>5832</v>
      </c>
      <c r="F9" s="2"/>
    </row>
    <row r="10" spans="1:6" ht="42.75">
      <c r="A10" s="2" t="s">
        <v>5833</v>
      </c>
      <c r="B10" s="13">
        <v>46300</v>
      </c>
      <c r="C10" s="2" t="s">
        <v>20</v>
      </c>
      <c r="D10" s="2" t="s">
        <v>5834</v>
      </c>
      <c r="E10" s="2" t="s">
        <v>5835</v>
      </c>
      <c r="F10" s="2"/>
    </row>
    <row r="11" spans="1:6" ht="28.5">
      <c r="A11" s="2" t="s">
        <v>5836</v>
      </c>
      <c r="B11" s="13">
        <v>46300</v>
      </c>
      <c r="C11" s="2" t="s">
        <v>24</v>
      </c>
      <c r="D11" s="2" t="s">
        <v>5837</v>
      </c>
      <c r="E11" s="2" t="s">
        <v>5838</v>
      </c>
      <c r="F11" s="2"/>
    </row>
    <row r="12" spans="1:6" ht="42.75">
      <c r="A12" s="2" t="s">
        <v>5839</v>
      </c>
      <c r="B12" s="13">
        <v>46300</v>
      </c>
      <c r="C12" s="2" t="s">
        <v>24</v>
      </c>
      <c r="D12" s="2" t="s">
        <v>5840</v>
      </c>
      <c r="E12" s="2" t="s">
        <v>5841</v>
      </c>
      <c r="F12" s="2"/>
    </row>
    <row r="13" spans="1:6">
      <c r="A13" s="2" t="s">
        <v>5842</v>
      </c>
      <c r="B13" s="13">
        <v>46300</v>
      </c>
      <c r="C13" s="2" t="s">
        <v>24</v>
      </c>
      <c r="D13" s="2" t="s">
        <v>5843</v>
      </c>
      <c r="E13" s="2" t="s">
        <v>5844</v>
      </c>
      <c r="F13" s="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7"/>
  <sheetViews>
    <sheetView tabSelected="1" topLeftCell="A2" workbookViewId="0">
      <selection activeCell="A18" sqref="A18"/>
    </sheetView>
  </sheetViews>
  <sheetFormatPr defaultRowHeight="14.25"/>
  <cols>
    <col min="1" max="1" width="34" customWidth="1"/>
    <col min="2" max="2" width="12" customWidth="1"/>
    <col min="3" max="3" width="14" customWidth="1"/>
    <col min="4" max="4" width="12" customWidth="1"/>
    <col min="5" max="5" width="30" customWidth="1"/>
    <col min="6" max="6" width="60" customWidth="1"/>
  </cols>
  <sheetData>
    <row r="1" spans="1:6" ht="27.95" customHeight="1">
      <c r="A1" s="19" t="s">
        <v>5845</v>
      </c>
      <c r="B1" s="18"/>
      <c r="C1" s="18"/>
      <c r="D1" s="18"/>
      <c r="E1" s="18"/>
      <c r="F1" s="18"/>
    </row>
    <row r="2" spans="1:6" ht="30" customHeight="1">
      <c r="A2" s="17" t="s">
        <v>5846</v>
      </c>
      <c r="B2" s="18"/>
      <c r="C2" s="18"/>
      <c r="D2" s="18"/>
      <c r="E2" s="18"/>
      <c r="F2" s="18"/>
    </row>
    <row r="4" spans="1:6" ht="15">
      <c r="A4" s="8"/>
      <c r="B4" s="8" t="s">
        <v>11</v>
      </c>
      <c r="C4" s="8" t="s">
        <v>20</v>
      </c>
      <c r="D4" s="8" t="s">
        <v>24</v>
      </c>
      <c r="E4" s="8" t="s">
        <v>5847</v>
      </c>
    </row>
    <row r="5" spans="1:6">
      <c r="A5" s="2" t="s">
        <v>5848</v>
      </c>
      <c r="B5" s="2">
        <f>COUNTIF('Screening Log'!$B$5:$B$407,"A")</f>
        <v>209</v>
      </c>
      <c r="C5" s="2">
        <f>COUNTIF('Screening Log'!$B$5:$B$407,"B-i")</f>
        <v>84</v>
      </c>
      <c r="D5" s="2">
        <f>COUNTIF('Screening Log'!$B$5:$B$407,"B-ii")</f>
        <v>110</v>
      </c>
      <c r="E5" s="2">
        <f>SUM(B5:D5)</f>
        <v>403</v>
      </c>
    </row>
    <row r="6" spans="1:6">
      <c r="A6" s="2" t="s">
        <v>5849</v>
      </c>
      <c r="B6" s="2">
        <f>COUNTIFS('Screening Log'!$B$5:$B$407,"A",'Screening Log'!$H$5:$H$407,"INCLUDE")</f>
        <v>205</v>
      </c>
      <c r="C6" s="2">
        <f>COUNTIFS('Screening Log'!$B$5:$B$407,"B-i",'Screening Log'!$H$5:$H$407,"INCLUDE")</f>
        <v>58</v>
      </c>
      <c r="D6" s="2">
        <f>COUNTIFS('Screening Log'!$B$5:$B$407,"B-ii",'Screening Log'!$H$5:$H$407,"INCLUDE")</f>
        <v>104</v>
      </c>
      <c r="E6" s="2">
        <f>SUM(B6:D6)</f>
        <v>367</v>
      </c>
    </row>
    <row r="7" spans="1:6">
      <c r="A7" s="2" t="s">
        <v>5850</v>
      </c>
      <c r="B7" s="2">
        <f>COUNTIFS('Screening Log'!$B$5:$B$407,"A",'Screening Log'!$H$5:$H$407,"EXCLUDE")</f>
        <v>4</v>
      </c>
      <c r="C7" s="2">
        <f>COUNTIFS('Screening Log'!$B$5:$B$407,"B-i",'Screening Log'!$H$5:$H$407,"EXCLUDE")</f>
        <v>26</v>
      </c>
      <c r="D7" s="2">
        <f>COUNTIFS('Screening Log'!$B$5:$B$407,"B-ii",'Screening Log'!$H$5:$H$407,"EXCLUDE")</f>
        <v>6</v>
      </c>
      <c r="E7" s="2">
        <f>SUM(B7:D7)</f>
        <v>36</v>
      </c>
    </row>
    <row r="8" spans="1:6">
      <c r="A8" s="2" t="s">
        <v>5851</v>
      </c>
      <c r="B8" s="2">
        <f>B6+B7</f>
        <v>209</v>
      </c>
      <c r="C8" s="2">
        <f>C6+C7</f>
        <v>84</v>
      </c>
      <c r="D8" s="2">
        <f>D6+D7</f>
        <v>110</v>
      </c>
      <c r="E8" s="2">
        <f>SUM(B8:D8)</f>
        <v>403</v>
      </c>
    </row>
    <row r="9" spans="1:6">
      <c r="A9" s="2" t="s">
        <v>5852</v>
      </c>
      <c r="B9" s="2">
        <f>B5-B8</f>
        <v>0</v>
      </c>
      <c r="C9" s="2">
        <f>C5-C8</f>
        <v>0</v>
      </c>
      <c r="D9" s="2">
        <f>D5-D8</f>
        <v>0</v>
      </c>
      <c r="E9" s="2">
        <f>SUM(B9:D9)</f>
        <v>0</v>
      </c>
    </row>
    <row r="10" spans="1:6">
      <c r="A10" s="2" t="s">
        <v>5853</v>
      </c>
      <c r="B10" s="14">
        <f>IF(B5=0,0,B8/B5)</f>
        <v>1</v>
      </c>
      <c r="C10" s="14">
        <f>IF(C5=0,0,C8/C5)</f>
        <v>1</v>
      </c>
      <c r="D10" s="14">
        <f>IF(D5=0,0,D8/D5)</f>
        <v>1</v>
      </c>
      <c r="E10" s="14">
        <f>IF(E5=0,0,E8/E5)</f>
        <v>1</v>
      </c>
    </row>
    <row r="11" spans="1:6" ht="28.5">
      <c r="A11" s="2" t="s">
        <v>5854</v>
      </c>
      <c r="B11" s="15">
        <v>3.5</v>
      </c>
      <c r="C11" s="15">
        <v>5.5</v>
      </c>
      <c r="D11" s="15">
        <v>4.5</v>
      </c>
      <c r="F11" s="2" t="s">
        <v>5855</v>
      </c>
    </row>
    <row r="12" spans="1:6">
      <c r="A12" s="2" t="s">
        <v>5856</v>
      </c>
      <c r="B12" s="15">
        <f>IF(SUMIFS($C$18:$C$117,$B$18:$B$117,"A")=0,"",SUMIFS($D$18:$D$117,$B$18:$B$117,"A")/SUMIFS($C$18:$C$117,$B$18:$B$117,"A"))</f>
        <v>0</v>
      </c>
      <c r="C12" s="15">
        <f>IF(SUMIFS($C$18:$C$117,$B$18:$B$117,"B-i")=0,"",SUMIFS($D$18:$D$117,$B$18:$B$117,"B-i")/SUMIFS($C$18:$C$117,$B$18:$B$117,"B-i"))</f>
        <v>0</v>
      </c>
      <c r="D12" s="15">
        <f>IF(SUMIFS($C$18:$C$117,$B$18:$B$117,"B-ii")=0,"",SUMIFS($D$18:$D$117,$B$18:$B$117,"B-ii")/SUMIFS($C$18:$C$117,$B$18:$B$117,"B-ii"))</f>
        <v>0</v>
      </c>
      <c r="F12" s="2" t="s">
        <v>5857</v>
      </c>
    </row>
    <row r="13" spans="1:6" ht="28.5">
      <c r="A13" s="2" t="s">
        <v>5858</v>
      </c>
      <c r="B13" s="15">
        <f>B9*IF(B12="",B11,B12)/60</f>
        <v>0</v>
      </c>
      <c r="C13" s="15">
        <f>C9*IF(C12="",C11,C12)/60</f>
        <v>0</v>
      </c>
      <c r="D13" s="15">
        <f>D9*IF(D12="",D11,D12)/60</f>
        <v>0</v>
      </c>
      <c r="E13" s="15">
        <f>SUM(B13:D13)</f>
        <v>0</v>
      </c>
      <c r="F13" s="2" t="s">
        <v>5859</v>
      </c>
    </row>
    <row r="17" spans="1:6" ht="15">
      <c r="A17" s="8" t="s">
        <v>3</v>
      </c>
      <c r="B17" s="8" t="s">
        <v>1</v>
      </c>
      <c r="C17" s="8" t="s">
        <v>5860</v>
      </c>
      <c r="D17" s="8" t="s">
        <v>5861</v>
      </c>
      <c r="E17" s="8" t="s">
        <v>5862</v>
      </c>
      <c r="F17" s="8" t="s">
        <v>5863</v>
      </c>
    </row>
    <row r="18" spans="1:6">
      <c r="A18" s="13">
        <v>46300</v>
      </c>
      <c r="B18" s="2" t="s">
        <v>11</v>
      </c>
      <c r="C18" s="2">
        <v>142</v>
      </c>
      <c r="D18" s="2"/>
      <c r="E18" s="2" t="s">
        <v>7050</v>
      </c>
      <c r="F18" s="2"/>
    </row>
    <row r="19" spans="1:6">
      <c r="A19" s="13">
        <v>46300</v>
      </c>
      <c r="B19" s="2" t="s">
        <v>20</v>
      </c>
      <c r="C19" s="2">
        <v>1</v>
      </c>
      <c r="D19" s="2"/>
      <c r="E19" s="2"/>
      <c r="F19" s="2"/>
    </row>
    <row r="20" spans="1:6">
      <c r="A20" s="13">
        <v>46301</v>
      </c>
      <c r="B20" s="2" t="s">
        <v>11</v>
      </c>
      <c r="C20" s="2">
        <v>57</v>
      </c>
      <c r="D20" s="2"/>
      <c r="E20" s="2"/>
      <c r="F20" s="2"/>
    </row>
    <row r="21" spans="1:6">
      <c r="A21" s="13">
        <v>46301</v>
      </c>
      <c r="B21" s="2" t="s">
        <v>20</v>
      </c>
      <c r="C21" s="2">
        <v>1</v>
      </c>
      <c r="D21" s="2"/>
      <c r="E21" s="2"/>
      <c r="F21" s="2"/>
    </row>
    <row r="22" spans="1:6">
      <c r="A22" s="13">
        <v>46303</v>
      </c>
      <c r="B22" s="2" t="s">
        <v>11</v>
      </c>
      <c r="C22" s="2">
        <v>2</v>
      </c>
      <c r="D22" s="2"/>
      <c r="E22" s="2"/>
      <c r="F22" s="2"/>
    </row>
    <row r="23" spans="1:6">
      <c r="A23" s="13">
        <v>46303</v>
      </c>
      <c r="B23" s="2" t="s">
        <v>20</v>
      </c>
      <c r="C23" s="2">
        <v>22</v>
      </c>
      <c r="D23" s="2"/>
      <c r="E23" s="2"/>
      <c r="F23" s="2"/>
    </row>
    <row r="24" spans="1:6">
      <c r="A24" s="13">
        <v>46303</v>
      </c>
      <c r="B24" s="2" t="s">
        <v>24</v>
      </c>
      <c r="C24" s="2">
        <v>49</v>
      </c>
      <c r="D24" s="2"/>
      <c r="E24" s="2"/>
      <c r="F24" s="2"/>
    </row>
    <row r="25" spans="1:6">
      <c r="A25" s="13">
        <v>46304</v>
      </c>
      <c r="B25" s="2" t="s">
        <v>11</v>
      </c>
      <c r="C25" s="2">
        <v>1</v>
      </c>
      <c r="D25" s="2"/>
      <c r="E25" s="2"/>
      <c r="F25" s="2"/>
    </row>
    <row r="26" spans="1:6">
      <c r="A26" s="13">
        <v>46304</v>
      </c>
      <c r="B26" s="2" t="s">
        <v>20</v>
      </c>
      <c r="C26" s="2">
        <v>54</v>
      </c>
      <c r="D26" s="2"/>
      <c r="E26" s="2"/>
      <c r="F26" s="2"/>
    </row>
    <row r="27" spans="1:6">
      <c r="A27" s="13">
        <v>46304</v>
      </c>
      <c r="B27" s="2" t="s">
        <v>24</v>
      </c>
      <c r="C27" s="2">
        <v>59</v>
      </c>
      <c r="D27" s="2"/>
      <c r="E27" s="2"/>
      <c r="F27" s="2"/>
    </row>
    <row r="28" spans="1:6">
      <c r="A28" s="13">
        <v>46305</v>
      </c>
      <c r="B28" s="2" t="s">
        <v>11</v>
      </c>
      <c r="C28" s="2">
        <v>7</v>
      </c>
      <c r="D28" s="2"/>
      <c r="E28" s="2"/>
      <c r="F28" s="2"/>
    </row>
    <row r="29" spans="1:6">
      <c r="A29" s="13">
        <v>46305</v>
      </c>
      <c r="B29" s="2" t="s">
        <v>20</v>
      </c>
      <c r="C29" s="2">
        <v>6</v>
      </c>
      <c r="D29" s="2"/>
      <c r="E29" s="2"/>
      <c r="F29" s="2"/>
    </row>
    <row r="30" spans="1:6">
      <c r="A30" s="13">
        <v>46305</v>
      </c>
      <c r="B30" s="2" t="s">
        <v>24</v>
      </c>
      <c r="C30" s="2">
        <v>2</v>
      </c>
      <c r="D30" s="2"/>
      <c r="E30" s="2"/>
      <c r="F30" s="2"/>
    </row>
    <row r="31" spans="1:6">
      <c r="A31" s="13"/>
      <c r="B31" s="2"/>
      <c r="C31" s="2"/>
      <c r="D31" s="2"/>
      <c r="E31" s="2"/>
      <c r="F31" s="2"/>
    </row>
    <row r="32" spans="1:6">
      <c r="A32" s="13"/>
      <c r="B32" s="2"/>
      <c r="C32" s="2"/>
      <c r="D32" s="2"/>
      <c r="E32" s="2"/>
      <c r="F32" s="2"/>
    </row>
    <row r="33" spans="1:6">
      <c r="A33" s="13"/>
      <c r="B33" s="2"/>
      <c r="C33" s="2"/>
      <c r="D33" s="2"/>
      <c r="E33" s="2"/>
      <c r="F33" s="2"/>
    </row>
    <row r="34" spans="1:6">
      <c r="A34" s="13"/>
      <c r="B34" s="2"/>
      <c r="C34" s="2"/>
      <c r="D34" s="2"/>
      <c r="E34" s="2"/>
      <c r="F34" s="2"/>
    </row>
    <row r="35" spans="1:6">
      <c r="A35" s="13"/>
      <c r="B35" s="2"/>
      <c r="C35" s="2"/>
      <c r="D35" s="2"/>
      <c r="E35" s="2"/>
      <c r="F35" s="2"/>
    </row>
    <row r="36" spans="1:6">
      <c r="A36" s="13"/>
      <c r="B36" s="2"/>
      <c r="C36" s="2"/>
      <c r="D36" s="2"/>
      <c r="E36" s="2"/>
      <c r="F36" s="2"/>
    </row>
    <row r="37" spans="1:6">
      <c r="A37" s="13"/>
      <c r="B37" s="2"/>
      <c r="C37" s="2"/>
      <c r="D37" s="2"/>
      <c r="E37" s="2"/>
      <c r="F37" s="2"/>
    </row>
    <row r="38" spans="1:6">
      <c r="A38" s="13"/>
      <c r="B38" s="2"/>
      <c r="C38" s="2"/>
      <c r="D38" s="2"/>
      <c r="E38" s="2"/>
      <c r="F38" s="2"/>
    </row>
    <row r="39" spans="1:6">
      <c r="A39" s="13"/>
      <c r="B39" s="2"/>
      <c r="C39" s="2"/>
      <c r="D39" s="2"/>
      <c r="E39" s="2"/>
      <c r="F39" s="2"/>
    </row>
    <row r="40" spans="1:6">
      <c r="A40" s="13"/>
      <c r="B40" s="2"/>
      <c r="C40" s="2"/>
      <c r="D40" s="2"/>
      <c r="E40" s="2"/>
      <c r="F40" s="2"/>
    </row>
    <row r="41" spans="1:6">
      <c r="A41" s="13"/>
      <c r="B41" s="2"/>
      <c r="C41" s="2"/>
      <c r="D41" s="2"/>
      <c r="E41" s="2"/>
      <c r="F41" s="2"/>
    </row>
    <row r="42" spans="1:6">
      <c r="A42" s="13"/>
      <c r="B42" s="2"/>
      <c r="C42" s="2"/>
      <c r="D42" s="2"/>
      <c r="E42" s="2"/>
      <c r="F42" s="2"/>
    </row>
    <row r="43" spans="1:6">
      <c r="A43" s="13"/>
      <c r="B43" s="2"/>
      <c r="C43" s="2"/>
      <c r="D43" s="2"/>
      <c r="E43" s="2"/>
      <c r="F43" s="2"/>
    </row>
    <row r="44" spans="1:6">
      <c r="A44" s="13"/>
      <c r="B44" s="2"/>
      <c r="C44" s="2"/>
      <c r="D44" s="2"/>
      <c r="E44" s="2"/>
      <c r="F44" s="2"/>
    </row>
    <row r="45" spans="1:6">
      <c r="A45" s="13"/>
      <c r="B45" s="2"/>
      <c r="C45" s="2"/>
      <c r="D45" s="2"/>
      <c r="E45" s="2"/>
      <c r="F45" s="2"/>
    </row>
    <row r="46" spans="1:6">
      <c r="A46" s="13"/>
      <c r="B46" s="2"/>
      <c r="C46" s="2"/>
      <c r="D46" s="2"/>
      <c r="E46" s="2"/>
      <c r="F46" s="2"/>
    </row>
    <row r="47" spans="1:6">
      <c r="A47" s="13"/>
      <c r="B47" s="2"/>
      <c r="C47" s="2"/>
      <c r="D47" s="2"/>
      <c r="E47" s="2"/>
      <c r="F47" s="2"/>
    </row>
    <row r="48" spans="1:6">
      <c r="A48" s="13"/>
      <c r="B48" s="2"/>
      <c r="C48" s="2"/>
      <c r="D48" s="2"/>
      <c r="E48" s="2"/>
      <c r="F48" s="2"/>
    </row>
    <row r="49" spans="1:6">
      <c r="A49" s="13"/>
      <c r="B49" s="2"/>
      <c r="C49" s="2"/>
      <c r="D49" s="2"/>
      <c r="E49" s="2"/>
      <c r="F49" s="2"/>
    </row>
    <row r="50" spans="1:6">
      <c r="A50" s="13"/>
      <c r="B50" s="2"/>
      <c r="C50" s="2"/>
      <c r="D50" s="2"/>
      <c r="E50" s="2"/>
      <c r="F50" s="2"/>
    </row>
    <row r="51" spans="1:6">
      <c r="A51" s="13"/>
      <c r="B51" s="2"/>
      <c r="C51" s="2"/>
      <c r="D51" s="2"/>
      <c r="E51" s="2"/>
      <c r="F51" s="2"/>
    </row>
    <row r="52" spans="1:6">
      <c r="A52" s="13"/>
      <c r="B52" s="2"/>
      <c r="C52" s="2"/>
      <c r="D52" s="2"/>
      <c r="E52" s="2"/>
      <c r="F52" s="2"/>
    </row>
    <row r="53" spans="1:6">
      <c r="A53" s="13"/>
      <c r="B53" s="2"/>
      <c r="C53" s="2"/>
      <c r="D53" s="2"/>
      <c r="E53" s="2"/>
      <c r="F53" s="2"/>
    </row>
    <row r="54" spans="1:6">
      <c r="A54" s="13"/>
      <c r="B54" s="2"/>
      <c r="C54" s="2"/>
      <c r="D54" s="2"/>
      <c r="E54" s="2"/>
      <c r="F54" s="2"/>
    </row>
    <row r="55" spans="1:6">
      <c r="A55" s="13"/>
      <c r="B55" s="2"/>
      <c r="C55" s="2"/>
      <c r="D55" s="2"/>
      <c r="E55" s="2"/>
      <c r="F55" s="2"/>
    </row>
    <row r="56" spans="1:6">
      <c r="A56" s="13"/>
      <c r="B56" s="2"/>
      <c r="C56" s="2"/>
      <c r="D56" s="2"/>
      <c r="E56" s="2"/>
      <c r="F56" s="2"/>
    </row>
    <row r="57" spans="1:6">
      <c r="A57" s="13"/>
      <c r="B57" s="2"/>
      <c r="C57" s="2"/>
      <c r="D57" s="2"/>
      <c r="E57" s="2"/>
      <c r="F57" s="2"/>
    </row>
    <row r="58" spans="1:6">
      <c r="A58" s="13"/>
      <c r="B58" s="2"/>
      <c r="C58" s="2"/>
      <c r="D58" s="2"/>
      <c r="E58" s="2"/>
      <c r="F58" s="2"/>
    </row>
    <row r="59" spans="1:6">
      <c r="A59" s="13"/>
      <c r="B59" s="2"/>
      <c r="C59" s="2"/>
      <c r="D59" s="2"/>
      <c r="E59" s="2"/>
      <c r="F59" s="2"/>
    </row>
    <row r="60" spans="1:6">
      <c r="A60" s="13"/>
      <c r="B60" s="2"/>
      <c r="C60" s="2"/>
      <c r="D60" s="2"/>
      <c r="E60" s="2"/>
      <c r="F60" s="2"/>
    </row>
    <row r="61" spans="1:6">
      <c r="A61" s="13"/>
      <c r="B61" s="2"/>
      <c r="C61" s="2"/>
      <c r="D61" s="2"/>
      <c r="E61" s="2"/>
      <c r="F61" s="2"/>
    </row>
    <row r="62" spans="1:6">
      <c r="A62" s="13"/>
      <c r="B62" s="2"/>
      <c r="C62" s="2"/>
      <c r="D62" s="2"/>
      <c r="E62" s="2"/>
      <c r="F62" s="2"/>
    </row>
    <row r="63" spans="1:6">
      <c r="A63" s="13"/>
      <c r="B63" s="2"/>
      <c r="C63" s="2"/>
      <c r="D63" s="2"/>
      <c r="E63" s="2"/>
      <c r="F63" s="2"/>
    </row>
    <row r="64" spans="1:6">
      <c r="A64" s="13"/>
      <c r="B64" s="2"/>
      <c r="C64" s="2"/>
      <c r="D64" s="2"/>
      <c r="E64" s="2"/>
      <c r="F64" s="2"/>
    </row>
    <row r="65" spans="1:6">
      <c r="A65" s="13"/>
      <c r="B65" s="2"/>
      <c r="C65" s="2"/>
      <c r="D65" s="2"/>
      <c r="E65" s="2"/>
      <c r="F65" s="2"/>
    </row>
    <row r="66" spans="1:6">
      <c r="A66" s="13"/>
      <c r="B66" s="2"/>
      <c r="C66" s="2"/>
      <c r="D66" s="2"/>
      <c r="E66" s="2"/>
      <c r="F66" s="2"/>
    </row>
    <row r="67" spans="1:6">
      <c r="A67" s="13"/>
      <c r="B67" s="2"/>
      <c r="C67" s="2"/>
      <c r="D67" s="2"/>
      <c r="E67" s="2"/>
      <c r="F67" s="2"/>
    </row>
    <row r="68" spans="1:6">
      <c r="A68" s="13"/>
      <c r="B68" s="2"/>
      <c r="C68" s="2"/>
      <c r="D68" s="2"/>
      <c r="E68" s="2"/>
      <c r="F68" s="2"/>
    </row>
    <row r="69" spans="1:6">
      <c r="A69" s="13"/>
      <c r="B69" s="2"/>
      <c r="C69" s="2"/>
      <c r="D69" s="2"/>
      <c r="E69" s="2"/>
      <c r="F69" s="2"/>
    </row>
    <row r="70" spans="1:6">
      <c r="A70" s="13"/>
      <c r="B70" s="2"/>
      <c r="C70" s="2"/>
      <c r="D70" s="2"/>
      <c r="E70" s="2"/>
      <c r="F70" s="2"/>
    </row>
    <row r="71" spans="1:6">
      <c r="A71" s="13"/>
      <c r="B71" s="2"/>
      <c r="C71" s="2"/>
      <c r="D71" s="2"/>
      <c r="E71" s="2"/>
      <c r="F71" s="2"/>
    </row>
    <row r="72" spans="1:6">
      <c r="A72" s="13"/>
      <c r="B72" s="2"/>
      <c r="C72" s="2"/>
      <c r="D72" s="2"/>
      <c r="E72" s="2"/>
      <c r="F72" s="2"/>
    </row>
    <row r="73" spans="1:6">
      <c r="A73" s="13"/>
      <c r="B73" s="2"/>
      <c r="C73" s="2"/>
      <c r="D73" s="2"/>
      <c r="E73" s="2"/>
      <c r="F73" s="2"/>
    </row>
    <row r="74" spans="1:6">
      <c r="A74" s="13"/>
      <c r="B74" s="2"/>
      <c r="C74" s="2"/>
      <c r="D74" s="2"/>
      <c r="E74" s="2"/>
      <c r="F74" s="2"/>
    </row>
    <row r="75" spans="1:6">
      <c r="A75" s="13"/>
      <c r="B75" s="2"/>
      <c r="C75" s="2"/>
      <c r="D75" s="2"/>
      <c r="E75" s="2"/>
      <c r="F75" s="2"/>
    </row>
    <row r="76" spans="1:6">
      <c r="A76" s="13"/>
      <c r="B76" s="2"/>
      <c r="C76" s="2"/>
      <c r="D76" s="2"/>
      <c r="E76" s="2"/>
      <c r="F76" s="2"/>
    </row>
    <row r="77" spans="1:6">
      <c r="A77" s="13"/>
      <c r="B77" s="2"/>
      <c r="C77" s="2"/>
      <c r="D77" s="2"/>
      <c r="E77" s="2"/>
      <c r="F77" s="2"/>
    </row>
    <row r="78" spans="1:6">
      <c r="A78" s="13"/>
      <c r="B78" s="2"/>
      <c r="C78" s="2"/>
      <c r="D78" s="2"/>
      <c r="E78" s="2"/>
      <c r="F78" s="2"/>
    </row>
    <row r="79" spans="1:6">
      <c r="A79" s="13"/>
      <c r="B79" s="2"/>
      <c r="C79" s="2"/>
      <c r="D79" s="2"/>
      <c r="E79" s="2"/>
      <c r="F79" s="2"/>
    </row>
    <row r="80" spans="1:6">
      <c r="A80" s="13"/>
      <c r="B80" s="2"/>
      <c r="C80" s="2"/>
      <c r="D80" s="2"/>
      <c r="E80" s="2"/>
      <c r="F80" s="2"/>
    </row>
    <row r="81" spans="1:6">
      <c r="A81" s="13"/>
      <c r="B81" s="2"/>
      <c r="C81" s="2"/>
      <c r="D81" s="2"/>
      <c r="E81" s="2"/>
      <c r="F81" s="2"/>
    </row>
    <row r="82" spans="1:6">
      <c r="A82" s="13"/>
      <c r="B82" s="2"/>
      <c r="C82" s="2"/>
      <c r="D82" s="2"/>
      <c r="E82" s="2"/>
      <c r="F82" s="2"/>
    </row>
    <row r="83" spans="1:6">
      <c r="A83" s="13"/>
      <c r="B83" s="2"/>
      <c r="C83" s="2"/>
      <c r="D83" s="2"/>
      <c r="E83" s="2"/>
      <c r="F83" s="2"/>
    </row>
    <row r="84" spans="1:6">
      <c r="A84" s="13"/>
      <c r="B84" s="2"/>
      <c r="C84" s="2"/>
      <c r="D84" s="2"/>
      <c r="E84" s="2"/>
      <c r="F84" s="2"/>
    </row>
    <row r="85" spans="1:6">
      <c r="A85" s="13"/>
      <c r="B85" s="2"/>
      <c r="C85" s="2"/>
      <c r="D85" s="2"/>
      <c r="E85" s="2"/>
      <c r="F85" s="2"/>
    </row>
    <row r="86" spans="1:6">
      <c r="A86" s="13"/>
      <c r="B86" s="2"/>
      <c r="C86" s="2"/>
      <c r="D86" s="2"/>
      <c r="E86" s="2"/>
      <c r="F86" s="2"/>
    </row>
    <row r="87" spans="1:6">
      <c r="A87" s="13"/>
      <c r="B87" s="2"/>
      <c r="C87" s="2"/>
      <c r="D87" s="2"/>
      <c r="E87" s="2"/>
      <c r="F87" s="2"/>
    </row>
    <row r="88" spans="1:6">
      <c r="A88" s="13"/>
      <c r="B88" s="2"/>
      <c r="C88" s="2"/>
      <c r="D88" s="2"/>
      <c r="E88" s="2"/>
      <c r="F88" s="2"/>
    </row>
    <row r="89" spans="1:6">
      <c r="A89" s="13"/>
      <c r="B89" s="2"/>
      <c r="C89" s="2"/>
      <c r="D89" s="2"/>
      <c r="E89" s="2"/>
      <c r="F89" s="2"/>
    </row>
    <row r="90" spans="1:6">
      <c r="A90" s="13"/>
      <c r="B90" s="2"/>
      <c r="C90" s="2"/>
      <c r="D90" s="2"/>
      <c r="E90" s="2"/>
      <c r="F90" s="2"/>
    </row>
    <row r="91" spans="1:6">
      <c r="A91" s="13"/>
      <c r="B91" s="2"/>
      <c r="C91" s="2"/>
      <c r="D91" s="2"/>
      <c r="E91" s="2"/>
      <c r="F91" s="2"/>
    </row>
    <row r="92" spans="1:6">
      <c r="A92" s="13"/>
      <c r="B92" s="2"/>
      <c r="C92" s="2"/>
      <c r="D92" s="2"/>
      <c r="E92" s="2"/>
      <c r="F92" s="2"/>
    </row>
    <row r="93" spans="1:6">
      <c r="A93" s="13"/>
      <c r="B93" s="2"/>
      <c r="C93" s="2"/>
      <c r="D93" s="2"/>
      <c r="E93" s="2"/>
      <c r="F93" s="2"/>
    </row>
    <row r="94" spans="1:6">
      <c r="A94" s="13"/>
      <c r="B94" s="2"/>
      <c r="C94" s="2"/>
      <c r="D94" s="2"/>
      <c r="E94" s="2"/>
      <c r="F94" s="2"/>
    </row>
    <row r="95" spans="1:6">
      <c r="A95" s="13"/>
      <c r="B95" s="2"/>
      <c r="C95" s="2"/>
      <c r="D95" s="2"/>
      <c r="E95" s="2"/>
      <c r="F95" s="2"/>
    </row>
    <row r="96" spans="1:6">
      <c r="A96" s="13"/>
      <c r="B96" s="2"/>
      <c r="C96" s="2"/>
      <c r="D96" s="2"/>
      <c r="E96" s="2"/>
      <c r="F96" s="2"/>
    </row>
    <row r="97" spans="1:6">
      <c r="A97" s="13"/>
      <c r="B97" s="2"/>
      <c r="C97" s="2"/>
      <c r="D97" s="2"/>
      <c r="E97" s="2"/>
      <c r="F97" s="2"/>
    </row>
    <row r="98" spans="1:6">
      <c r="A98" s="13"/>
      <c r="B98" s="2"/>
      <c r="C98" s="2"/>
      <c r="D98" s="2"/>
      <c r="E98" s="2"/>
      <c r="F98" s="2"/>
    </row>
    <row r="99" spans="1:6">
      <c r="A99" s="13"/>
      <c r="B99" s="2"/>
      <c r="C99" s="2"/>
      <c r="D99" s="2"/>
      <c r="E99" s="2"/>
      <c r="F99" s="2"/>
    </row>
    <row r="100" spans="1:6">
      <c r="A100" s="13"/>
      <c r="B100" s="2"/>
      <c r="C100" s="2"/>
      <c r="D100" s="2"/>
      <c r="E100" s="2"/>
      <c r="F100" s="2"/>
    </row>
    <row r="101" spans="1:6">
      <c r="A101" s="13"/>
      <c r="B101" s="2"/>
      <c r="C101" s="2"/>
      <c r="D101" s="2"/>
      <c r="E101" s="2"/>
      <c r="F101" s="2"/>
    </row>
    <row r="102" spans="1:6">
      <c r="A102" s="13"/>
      <c r="B102" s="2"/>
      <c r="C102" s="2"/>
      <c r="D102" s="2"/>
      <c r="E102" s="2"/>
      <c r="F102" s="2"/>
    </row>
    <row r="103" spans="1:6">
      <c r="A103" s="13"/>
      <c r="B103" s="2"/>
      <c r="C103" s="2"/>
      <c r="D103" s="2"/>
      <c r="E103" s="2"/>
      <c r="F103" s="2"/>
    </row>
    <row r="104" spans="1:6">
      <c r="A104" s="13"/>
      <c r="B104" s="2"/>
      <c r="C104" s="2"/>
      <c r="D104" s="2"/>
      <c r="E104" s="2"/>
      <c r="F104" s="2"/>
    </row>
    <row r="105" spans="1:6">
      <c r="A105" s="13"/>
      <c r="B105" s="2"/>
      <c r="C105" s="2"/>
      <c r="D105" s="2"/>
      <c r="E105" s="2"/>
      <c r="F105" s="2"/>
    </row>
    <row r="106" spans="1:6">
      <c r="A106" s="13"/>
      <c r="B106" s="2"/>
      <c r="C106" s="2"/>
      <c r="D106" s="2"/>
      <c r="E106" s="2"/>
      <c r="F106" s="2"/>
    </row>
    <row r="107" spans="1:6">
      <c r="A107" s="13"/>
      <c r="B107" s="2"/>
      <c r="C107" s="2"/>
      <c r="D107" s="2"/>
      <c r="E107" s="2"/>
      <c r="F107" s="2"/>
    </row>
    <row r="108" spans="1:6">
      <c r="A108" s="13"/>
      <c r="B108" s="2"/>
      <c r="C108" s="2"/>
      <c r="D108" s="2"/>
      <c r="E108" s="2"/>
      <c r="F108" s="2"/>
    </row>
    <row r="109" spans="1:6">
      <c r="A109" s="13"/>
      <c r="B109" s="2"/>
      <c r="C109" s="2"/>
      <c r="D109" s="2"/>
      <c r="E109" s="2"/>
      <c r="F109" s="2"/>
    </row>
    <row r="110" spans="1:6">
      <c r="A110" s="13"/>
      <c r="B110" s="2"/>
      <c r="C110" s="2"/>
      <c r="D110" s="2"/>
      <c r="E110" s="2"/>
      <c r="F110" s="2"/>
    </row>
    <row r="111" spans="1:6">
      <c r="A111" s="13"/>
      <c r="B111" s="2"/>
      <c r="C111" s="2"/>
      <c r="D111" s="2"/>
      <c r="E111" s="2"/>
      <c r="F111" s="2"/>
    </row>
    <row r="112" spans="1:6">
      <c r="A112" s="13"/>
      <c r="B112" s="2"/>
      <c r="C112" s="2"/>
      <c r="D112" s="2"/>
      <c r="E112" s="2"/>
      <c r="F112" s="2"/>
    </row>
    <row r="113" spans="1:6">
      <c r="A113" s="13"/>
      <c r="B113" s="2"/>
      <c r="C113" s="2"/>
      <c r="D113" s="2"/>
      <c r="E113" s="2"/>
      <c r="F113" s="2"/>
    </row>
    <row r="114" spans="1:6">
      <c r="A114" s="13"/>
      <c r="B114" s="2"/>
      <c r="C114" s="2"/>
      <c r="D114" s="2"/>
      <c r="E114" s="2"/>
      <c r="F114" s="2"/>
    </row>
    <row r="115" spans="1:6">
      <c r="A115" s="13"/>
      <c r="B115" s="2"/>
      <c r="C115" s="2"/>
      <c r="D115" s="2"/>
      <c r="E115" s="2"/>
      <c r="F115" s="2"/>
    </row>
    <row r="116" spans="1:6">
      <c r="A116" s="13"/>
      <c r="B116" s="2"/>
      <c r="C116" s="2"/>
      <c r="D116" s="2"/>
      <c r="E116" s="2"/>
      <c r="F116" s="2"/>
    </row>
    <row r="117" spans="1:6">
      <c r="A117" s="13"/>
      <c r="B117" s="2"/>
      <c r="C117" s="2"/>
      <c r="D117" s="2"/>
      <c r="E117" s="2"/>
      <c r="F117" s="2"/>
    </row>
  </sheetData>
  <mergeCells count="2">
    <mergeCell ref="A2:F2"/>
    <mergeCell ref="A1:F1"/>
  </mergeCells>
  <dataValidations count="1">
    <dataValidation type="list" allowBlank="1" showErrorMessage="1" errorTitle="Not in the list" error="Use A, B-i or B-ii." sqref="B18:B117" xr:uid="{00000000-0002-0000-0600-000000000000}">
      <formula1>"A,B-i,B-ii"</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Search Log</vt:lpstr>
      <vt:lpstr>Screening Log</vt:lpstr>
      <vt:lpstr>Stage 2 Abstract Screening</vt:lpstr>
      <vt:lpstr>PRISMA Summary</vt:lpstr>
      <vt:lpstr>Codes</vt:lpstr>
      <vt:lpstr>FT rulings</vt:lpstr>
      <vt:lpstr>FT sessions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2026-10-04T20:27:08Z</dcterms:created>
  <dcterms:modified xsi:type="dcterms:W3CDTF">2026-10-09T22:48:31Z</dcterms:modified>
</cp:coreProperties>
</file>