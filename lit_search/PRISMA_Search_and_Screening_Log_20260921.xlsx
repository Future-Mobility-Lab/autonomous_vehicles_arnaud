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6" autoFilterDateGrouping="1"/>
  </bookViews>
  <sheets>
    <sheet xmlns:r="http://schemas.openxmlformats.org/officeDocument/2006/relationships" name="Search Log" sheetId="1" state="visible" r:id="rId1"/>
    <sheet xmlns:r="http://schemas.openxmlformats.org/officeDocument/2006/relationships" name="Screening Log" sheetId="2" state="visible" r:id="rId2"/>
    <sheet xmlns:r="http://schemas.openxmlformats.org/officeDocument/2006/relationships" name="Stage 2 Abstract Screening" sheetId="3" state="visible" r:id="rId3"/>
    <sheet xmlns:r="http://schemas.openxmlformats.org/officeDocument/2006/relationships" name="PRISMA Summary" sheetId="4" state="visible" r:id="rId4"/>
    <sheet xmlns:r="http://schemas.openxmlformats.org/officeDocument/2006/relationships" name="Codes" sheetId="5" state="visible" r:id="rId5"/>
    <sheet xmlns:r="http://schemas.openxmlformats.org/officeDocument/2006/relationships" name="FT rulings" sheetId="6" state="visible" r:id="rId6"/>
    <sheet xmlns:r="http://schemas.openxmlformats.org/officeDocument/2006/relationships" name="FT sessions" sheetId="7" state="visible" r:id="rId7"/>
  </sheets>
  <definedNames/>
  <calcPr calcId="191029" fullCalcOnLoad="1"/>
</workbook>
</file>

<file path=xl/styles.xml><?xml version="1.0" encoding="utf-8"?>
<styleSheet xmlns="http://schemas.openxmlformats.org/spreadsheetml/2006/main">
  <numFmts count="2">
    <numFmt numFmtId="164" formatCode="0.0"/>
    <numFmt numFmtId="165" formatCode="yyyy-mm-dd h:mm:ss"/>
  </numFmts>
  <fonts count="6">
    <font>
      <name val="Carlito"/>
      <sz val="11"/>
    </font>
    <font>
      <name val="Carlito"/>
      <b val="1"/>
      <color rgb="FFFFFFFF"/>
      <sz val="16"/>
    </font>
    <font>
      <name val="Carlito"/>
      <i val="1"/>
      <color rgb="FF1F1F1F"/>
      <sz val="11"/>
    </font>
    <font>
      <name val="Carlito"/>
      <b val="1"/>
      <color rgb="FFFFFFFF"/>
      <sz val="11"/>
    </font>
    <font>
      <name val="Arial Unicode MS"/>
      <sz val="10"/>
    </font>
    <font>
      <name val="Carlito"/>
      <sz val="8"/>
    </font>
  </fonts>
  <fills count="7">
    <fill>
      <patternFill/>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20">
    <xf numFmtId="0" fontId="0" fillId="0" borderId="0" pivotButton="0" quotePrefix="0" xfId="0"/>
    <xf numFmtId="0" fontId="3" fillId="3"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1" fontId="0" fillId="0" borderId="0" applyAlignment="1" pivotButton="0" quotePrefix="0" xfId="0">
      <alignment vertical="top" wrapText="1"/>
    </xf>
    <xf numFmtId="0" fontId="0" fillId="0" borderId="0" applyAlignment="1" pivotButton="0" quotePrefix="0" xfId="0">
      <alignment vertical="top"/>
    </xf>
    <xf numFmtId="1" fontId="0" fillId="0" borderId="0" applyAlignment="1" pivotButton="0" quotePrefix="0" xfId="0">
      <alignment vertical="top"/>
    </xf>
    <xf numFmtId="0" fontId="4" fillId="0" borderId="0" applyAlignment="1" pivotButton="0" quotePrefix="0" xfId="0">
      <alignment vertical="center"/>
    </xf>
    <xf numFmtId="0" fontId="3" fillId="4" borderId="0" applyAlignment="1" pivotButton="0" quotePrefix="0" xfId="0">
      <alignment wrapText="1"/>
    </xf>
    <xf numFmtId="0" fontId="3" fillId="6" borderId="0" applyAlignment="1" pivotButton="0" quotePrefix="0" xfId="0">
      <alignment wrapText="1"/>
    </xf>
    <xf numFmtId="0" fontId="0" fillId="0" borderId="0" applyAlignment="1" pivotButton="0" quotePrefix="0" xfId="0">
      <alignment horizontal="center" vertical="center" wrapText="1"/>
    </xf>
    <xf numFmtId="14" fontId="0" fillId="0" borderId="0" pivotButton="0" quotePrefix="0" xfId="0"/>
    <xf numFmtId="14" fontId="0" fillId="0" borderId="0" applyAlignment="1" pivotButton="0" quotePrefix="0" xfId="0">
      <alignment vertical="top" wrapText="1"/>
    </xf>
    <xf numFmtId="14" fontId="0" fillId="0" borderId="0" applyAlignment="1" pivotButton="0" quotePrefix="0" xfId="0">
      <alignment wrapText="1"/>
    </xf>
    <xf numFmtId="9" fontId="0" fillId="0" borderId="0" applyAlignment="1" pivotButton="0" quotePrefix="0" xfId="0">
      <alignment wrapText="1"/>
    </xf>
    <xf numFmtId="164" fontId="0" fillId="0" borderId="0" applyAlignment="1" pivotButton="0" quotePrefix="0" xfId="0">
      <alignment wrapText="1"/>
    </xf>
    <xf numFmtId="0" fontId="0" fillId="0" borderId="0" applyAlignment="1" pivotButton="0" quotePrefix="1" xfId="0">
      <alignment vertical="top" wrapText="1"/>
    </xf>
    <xf numFmtId="0" fontId="2" fillId="5" borderId="0" applyAlignment="1" pivotButton="0" quotePrefix="0" xfId="0">
      <alignment wrapText="1"/>
    </xf>
    <xf numFmtId="0" fontId="0" fillId="0" borderId="0" pivotButton="0" quotePrefix="0" xfId="0"/>
    <xf numFmtId="0" fontId="1" fillId="2" borderId="0" applyAlignment="1" pivotButton="0" quotePrefix="0" xfId="0">
      <alignment horizontal="left" vertical="center"/>
    </xf>
  </cellXfs>
  <cellStyles count="1">
    <cellStyle name="Normal" xfId="0" builtinId="0"/>
  </cellStyles>
  <dxfs count="13">
    <dxf>
      <font>
        <b val="1"/>
        <color rgb="FFC00000"/>
      </font>
      <fill>
        <patternFill patternType="solid">
          <bgColor rgb="FFFCE4D6"/>
        </patternFill>
      </fill>
    </dxf>
    <dxf>
      <font>
        <b val="1"/>
        <color rgb="FF375623"/>
      </font>
      <fill>
        <patternFill patternType="solid">
          <bgColor rgb="FFE2F0D9"/>
        </patternFill>
      </fill>
    </dxf>
    <dxf>
      <fill>
        <patternFill patternType="solid">
          <fgColor rgb="FFFCE4D6"/>
          <bgColor rgb="FFFCE4D6"/>
        </patternFill>
      </fill>
    </dxf>
    <dxf>
      <fill>
        <patternFill patternType="solid">
          <fgColor rgb="FFE2F0D9"/>
          <bgColor rgb="FFE2F0D9"/>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19" formatCode="d/mm/yyyy"/>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2" displayName="Table2" ref="A2:J20" headerRowCount="1" totalsRowShown="0">
  <autoFilter ref="A2:J20"/>
  <tableColumns count="10">
    <tableColumn id="1" name="Strand"/>
    <tableColumn id="2" name="Database"/>
    <tableColumn id="3" name="Date" dataDxfId="12"/>
    <tableColumn id="4" name="Exact string" dataDxfId="11"/>
    <tableColumn id="5" name="Filters"/>
    <tableColumn id="6" name="Hits"/>
    <tableColumn id="7" name="Status"/>
    <tableColumn id="8" name="Known-item result" dataDxfId="10"/>
    <tableColumn id="9" name="Export file" dataDxfId="9"/>
    <tableColumn id="10" name="Notes" dataDxfId="8"/>
  </tableColumns>
  <tableStyleInfo name="TableStyleLight9" showFirstColumn="0" showLastColumn="0" showRowStripes="1" showColumnStripes="0"/>
</table>
</file>

<file path=xl/tables/table2.xml><?xml version="1.0" encoding="utf-8"?>
<table xmlns="http://schemas.openxmlformats.org/spreadsheetml/2006/main" id="2" name="ScreeningLogTable" displayName="ScreeningLogTable" ref="A4:U407" headerRowCount="1" totalsRowShown="0">
  <tableColumns count="21">
    <tableColumn id="1" name="ID"/>
    <tableColumn id="2" name="Strand"/>
    <tableColumn id="3" name="Authors"/>
    <tableColumn id="4" name="Year"/>
    <tableColumn id="5" name="Title"/>
    <tableColumn id="6" name="Publication status"/>
    <tableColumn id="7" name="Stage"/>
    <tableColumn id="8" name="Decision"/>
    <tableColumn id="9" name="Exclusion code"/>
    <tableColumn id="10" name="Method"/>
    <tableColumn id="11" name="Sample/Data"/>
    <tableColumn id="12" name="Key Finding"/>
    <tableColumn id="13" name="Relation to gap"/>
    <tableColumn id="14" name="Source"/>
    <tableColumn id="15" name="Version assessed"/>
    <tableColumn id="16" name="Date assessed"/>
    <tableColumn id="17" name="Sub-reason"/>
    <tableColumn id="18" name="Evidence"/>
    <tableColumn id="19" name="Tag 1"/>
    <tableColumn id="20" name="Tag 2"/>
    <tableColumn id="21" name="Tag 3"/>
  </tableColumns>
  <tableStyleInfo name="TableStyleLight9" showFirstColumn="0" showLastColumn="0" showRowStripes="1" showColumnStripes="0"/>
</table>
</file>

<file path=xl/tables/table3.xml><?xml version="1.0" encoding="utf-8"?>
<table xmlns="http://schemas.openxmlformats.org/spreadsheetml/2006/main" id="3" name="Table5" displayName="Table5" ref="A6:J13" headerRowCount="1" totalsRowShown="0">
  <autoFilter ref="A6:J13"/>
  <tableColumns count="10">
    <tableColumn id="1" name="ID"/>
    <tableColumn id="2" name="Strand"/>
    <tableColumn id="3" name="Authors"/>
    <tableColumn id="4" name="Year"/>
    <tableColumn id="5" name="Title"/>
    <tableColumn id="6" name="Abstract"/>
    <tableColumn id="7" name="Publication status"/>
    <tableColumn id="8" name="DOI"/>
    <tableColumn id="9" name="Stage 2 decision"/>
    <tableColumn id="10" name="Screening note"/>
  </tableColumns>
  <tableStyleInfo name="TableStyleLight9" showFirstColumn="0" showLastColumn="0" showRowStripes="1" showColumnStripes="0"/>
</table>
</file>

<file path=xl/tables/table4.xml><?xml version="1.0" encoding="utf-8"?>
<table xmlns="http://schemas.openxmlformats.org/spreadsheetml/2006/main" id="4" name="Table1" displayName="Table1" ref="A1:C43" headerRowCount="1" totalsRowShown="0" dataDxfId="7">
  <autoFilter ref="A1:C43"/>
  <tableColumns count="3">
    <tableColumn id="1" name="Metric" dataDxfId="6"/>
    <tableColumn id="2" name="Count" dataDxfId="5"/>
    <tableColumn id="3" name="Notes" dataDxfId="4"/>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J32"/>
  <sheetViews>
    <sheetView topLeftCell="A21" zoomScale="115" zoomScaleNormal="115" workbookViewId="0">
      <selection activeCell="B32" sqref="B32"/>
    </sheetView>
  </sheetViews>
  <sheetFormatPr baseColWidth="8" defaultRowHeight="14.25"/>
  <cols>
    <col width="12.625" bestFit="1" customWidth="1" style="18" min="1" max="1"/>
    <col width="70.25" customWidth="1" style="18" min="2" max="2"/>
    <col width="10.125" bestFit="1" customWidth="1" style="18" min="3" max="3"/>
    <col width="46.5" customWidth="1" style="18" min="4" max="4"/>
    <col width="45.25" bestFit="1" customWidth="1" style="18" min="5" max="5"/>
    <col width="6.625" bestFit="1" customWidth="1" style="18" min="6" max="6"/>
    <col width="13.875" bestFit="1" customWidth="1" style="18" min="7" max="7"/>
    <col width="49" customWidth="1" style="18" min="8" max="8"/>
    <col width="27.375" customWidth="1" style="18" min="9" max="9"/>
    <col width="125" customWidth="1" style="18" min="10" max="10"/>
  </cols>
  <sheetData>
    <row r="1">
      <c r="B1" t="inlineStr">
        <is>
          <t>Search-phase evidence (verbatim strings for every variant, known-item tests, year histograms, 20–21 Sep 2026) is held in PRISMA_search_evidence_log.xlsx.</t>
        </is>
      </c>
    </row>
    <row r="2">
      <c r="A2" t="inlineStr">
        <is>
          <t>Strand</t>
        </is>
      </c>
      <c r="B2" t="inlineStr">
        <is>
          <t>Database</t>
        </is>
      </c>
      <c r="C2" t="inlineStr">
        <is>
          <t>Date</t>
        </is>
      </c>
      <c r="D2" t="inlineStr">
        <is>
          <t>Exact string</t>
        </is>
      </c>
      <c r="E2" t="inlineStr">
        <is>
          <t>Filters</t>
        </is>
      </c>
      <c r="F2" t="inlineStr">
        <is>
          <t>Hits</t>
        </is>
      </c>
      <c r="G2" t="inlineStr">
        <is>
          <t>Status</t>
        </is>
      </c>
      <c r="H2" t="inlineStr">
        <is>
          <t>Known-item result</t>
        </is>
      </c>
      <c r="I2" t="inlineStr">
        <is>
          <t>Export file</t>
        </is>
      </c>
      <c r="J2" t="inlineStr">
        <is>
          <t>Notes</t>
        </is>
      </c>
    </row>
    <row r="3" ht="114" customHeight="1" s="18">
      <c r="A3" t="inlineStr">
        <is>
          <t>A</t>
        </is>
      </c>
      <c r="B3" t="inlineStr">
        <is>
          <t>IEEE Xplore</t>
        </is>
      </c>
      <c r="C3" s="11" t="n">
        <v>46285</v>
      </c>
      <c r="D3" s="2" t="n"/>
      <c r="F3" t="n">
        <v>336</v>
      </c>
      <c r="G3" t="inlineStr">
        <is>
          <t>VERIFIED</t>
        </is>
      </c>
      <c r="H3" s="2" t="inlineStr">
        <is>
          <t>Previously verified and reconciled</t>
        </is>
      </c>
      <c r="I3" s="2" t="inlineStr">
        <is>
          <t>ieee_strandA_20260920_part1_001-100.ris; ieee_strandA_20260920_part1_101-200.ris; ieee_strandA_20260920_part1_201-300.ris; ieee_strandA_20260920_part1_301-336.ris</t>
        </is>
      </c>
      <c r="J3" s="2" t="inlineStr">
        <is>
          <t>Carried forward as complete, verified and reconciled. Fresh Zotero rebuild completed from four original RIS batches; fresh collection reconciles exactly to 336 items.</t>
        </is>
      </c>
    </row>
    <row r="4" ht="28.5" customHeight="1" s="18">
      <c r="A4" t="inlineStr">
        <is>
          <t>A</t>
        </is>
      </c>
      <c r="B4" t="inlineStr">
        <is>
          <t>Scopus</t>
        </is>
      </c>
      <c r="C4" s="11" t="n">
        <v>46285</v>
      </c>
      <c r="D4" s="2" t="n"/>
      <c r="F4" t="n">
        <v>476</v>
      </c>
      <c r="G4" t="inlineStr">
        <is>
          <t>VERIFIED</t>
        </is>
      </c>
      <c r="H4" s="2" t="inlineStr">
        <is>
          <t>Previously verified and reconciled</t>
        </is>
      </c>
      <c r="I4" s="2" t="inlineStr">
        <is>
          <t>scopus_strandA_20260920.ris</t>
        </is>
      </c>
      <c r="J4" s="2" t="inlineStr">
        <is>
          <t>Carried forward as complete, verified and reconciled. Original RIS independently confirmed to contain 476 records. Fresh Zotero import reconciles exactly to 476 items.</t>
        </is>
      </c>
    </row>
    <row r="5">
      <c r="A5" t="inlineStr">
        <is>
          <t>B-i</t>
        </is>
      </c>
      <c r="B5" t="inlineStr">
        <is>
          <t>arXiv</t>
        </is>
      </c>
      <c r="C5" s="11" t="n">
        <v>46286</v>
      </c>
      <c r="D5" s="2" t="n"/>
      <c r="F5" t="n">
        <v>301</v>
      </c>
      <c r="G5" t="inlineStr">
        <is>
          <t>VERIFIED</t>
        </is>
      </c>
      <c r="H5" s="2" t="inlineStr">
        <is>
          <t>Previously verified and reconciled</t>
        </is>
      </c>
      <c r="I5" s="2" t="inlineStr">
        <is>
          <t>arxiv_strandBi_20260921.ris</t>
        </is>
      </c>
      <c r="J5" s="2" t="inlineStr">
        <is>
          <t>Carried forward as complete, verified and reconciled. Fresh Zotero import reconciles exactly to 301 items.</t>
        </is>
      </c>
    </row>
    <row r="6">
      <c r="A6" t="inlineStr">
        <is>
          <t>B-ii</t>
        </is>
      </c>
      <c r="B6" t="inlineStr">
        <is>
          <t>ACM Digital Library</t>
        </is>
      </c>
      <c r="C6" s="11" t="n">
        <v>46285</v>
      </c>
      <c r="D6" s="2" t="n"/>
      <c r="F6" t="n">
        <v>118</v>
      </c>
      <c r="G6" t="inlineStr">
        <is>
          <t>VERIFIED</t>
        </is>
      </c>
      <c r="H6" s="2" t="inlineStr">
        <is>
          <t>Previously verified and reconciled</t>
        </is>
      </c>
      <c r="I6" s="2" t="inlineStr">
        <is>
          <t>acm_strandBii_20260920</t>
        </is>
      </c>
      <c r="J6" s="2" t="inlineStr">
        <is>
          <t>BibTeX export. Carried forward as complete, verified and reconciled. Fresh Zotero import reconciles exactly to 118 items.</t>
        </is>
      </c>
    </row>
    <row r="7" ht="28.5" customHeight="1" s="18">
      <c r="A7" t="inlineStr">
        <is>
          <t>B-i</t>
        </is>
      </c>
      <c r="B7" t="inlineStr">
        <is>
          <t>Scopus</t>
        </is>
      </c>
      <c r="C7" s="11" t="n">
        <v>46285</v>
      </c>
      <c r="D7" s="2" t="n"/>
      <c r="F7" t="n">
        <v>1117</v>
      </c>
      <c r="G7" t="inlineStr">
        <is>
          <t>SUPERSEDED</t>
        </is>
      </c>
      <c r="H7" s="2" t="inlineStr">
        <is>
          <t>Previously accepted; superseded for recalibration</t>
        </is>
      </c>
      <c r="I7" s="2" t="inlineStr">
        <is>
          <t>scopus_strandBi_20260920.ris</t>
        </is>
      </c>
      <c r="J7" s="2" t="inlineStr">
        <is>
          <t>Superseded audit-trail search. Fourth concept block was judged too loose because evaluat* was overly permissive. Re-run required in Phase 2. Do not use this set for screening.</t>
        </is>
      </c>
    </row>
    <row r="8" ht="28.5" customHeight="1" s="18">
      <c r="A8" t="inlineStr">
        <is>
          <t>B-ii</t>
        </is>
      </c>
      <c r="B8" t="inlineStr">
        <is>
          <t>Scopus</t>
        </is>
      </c>
      <c r="C8" s="11" t="n">
        <v>46285</v>
      </c>
      <c r="D8" s="2" t="n"/>
      <c r="F8" t="n">
        <v>2131</v>
      </c>
      <c r="G8" t="inlineStr">
        <is>
          <t>SUPERSEDED</t>
        </is>
      </c>
      <c r="H8" s="2" t="inlineStr">
        <is>
          <t>Previously accepted; superseded on precision grounds</t>
        </is>
      </c>
      <c r="I8" s="2" t="inlineStr">
        <is>
          <t>scopus_strandBii_20260920.ris</t>
        </is>
      </c>
      <c r="J8" s="2" t="inlineStr">
        <is>
          <t>Superseded audit-trail search. Precision was too low to screen. Re-run required in Phase 3. Do not use this set for screening. Correction, 4 October 2026: 2,120 is the Scopus database hit count; 2,131 is the Zotero import count. Both figures are retained with their respective labels. Correction, 17 October 2026 (manifest 11.15(a)): the search-phase evidence (PRISMA_search_evidence_log.xlsx, Search Evidence row 17) records this 20 September variant as returning 2,131 records, with the CSV QA-verified at 2,131/2,131 and the Zotero import reconciled at 2,131 with discrepancy 0; the 2,120 figure labelled on 4 October as the database hit count has no source in that evidence and is withdrawn. Hits corrected 2,120 → 2,131. Export file corrected from scopus_strandBii_20260921.ris, which is the export of the reopened 1,981-record variant of 21 September (Search Evidence row 25), to scopus_strandBii_20260920.ris. No PRISMA count is affected: the search is superseded.</t>
        </is>
      </c>
    </row>
    <row r="9">
      <c r="A9" t="inlineStr">
        <is>
          <t>B-ii</t>
        </is>
      </c>
      <c r="B9" t="inlineStr">
        <is>
          <t>arXiv</t>
        </is>
      </c>
      <c r="C9" s="11" t="n">
        <v>46286</v>
      </c>
      <c r="D9" s="2" t="n"/>
      <c r="G9" t="inlineStr">
        <is>
          <t>REJECTED</t>
        </is>
      </c>
      <c r="H9" s="2" t="inlineStr">
        <is>
          <t>Known-item coverage failed</t>
        </is>
      </c>
      <c r="I9" s="2" t="n"/>
      <c r="J9" s="2" t="inlineStr">
        <is>
          <t>Rejected during calibration because predefined known-item coverage failed. Zero records exported. This source does not enter the screening funnel.</t>
        </is>
      </c>
    </row>
    <row r="10" ht="171" customHeight="1" s="18">
      <c r="A10" t="inlineStr">
        <is>
          <t>B-i</t>
        </is>
      </c>
      <c r="B10" t="inlineStr">
        <is>
          <t>Scopus</t>
        </is>
      </c>
      <c r="C10" s="11" t="n">
        <v>46285</v>
      </c>
      <c r="D10" s="2" t="inlineStr">
        <is>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is>
      </c>
      <c r="E10" t="inlineStr">
        <is>
          <t>PUBYEAR &gt; 2018; English; no post-search facet filter</t>
        </is>
      </c>
      <c r="F10" t="n">
        <v>1124</v>
      </c>
      <c r="G10" t="inlineStr">
        <is>
          <t>VERIFIED</t>
        </is>
      </c>
      <c r="H10" s="2" t="inlineStr">
        <is>
          <t>PASS 4/4: Yin, Hay &amp; Roth (2019); Hardalov et al. (2022); Hedderich et al. (2021); Schick &amp; Schütze (2021) — Clarification, 17 October 2026 (manifest 11.15(b)): see Notes.</t>
        </is>
      </c>
      <c r="I10" s="2" t="inlineStr">
        <is>
          <t>scopus_strandBi_20260920.ris</t>
        </is>
      </c>
      <c r="J10" s="2" t="inlineStr">
        <is>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 Clarification, 17 October 2026 (manifest 11.15(b)): the four PASS results recorded on 20 September were database-coverage checks by title search (Known Item Tests tab, rows 5–8: each paper confirmed indexed in Scopus; the result count for Yin, Hay &amp; Roth was not captured). Containment in a candidate set by DOI constraint was applied on 21 September to the 773-record narrowing, which lost Yin, Hay &amp; Roth (Search Evidence row 27); the accepted 1,124-record variant was reinstated under the terminal rule on that basis. Wording elsewhere that the accepted search 'passed' the four known-item tests is to be read as coverage confirmed and narrowing rejected, not as a direct containment test of all four items in the 1,124-record set.</t>
        </is>
      </c>
    </row>
    <row r="11" ht="142.5" customHeight="1" s="18">
      <c r="A11" t="inlineStr">
        <is>
          <t>B-ii</t>
        </is>
      </c>
      <c r="B11" t="inlineStr">
        <is>
          <t>Scopus</t>
        </is>
      </c>
      <c r="C11" s="11" t="n">
        <v>46286</v>
      </c>
      <c r="D11" s="2" t="inlineStr">
        <is>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is>
      </c>
      <c r="E11" t="inlineStr">
        <is>
          <t>PUBYEAR &gt; 1999; English</t>
        </is>
      </c>
      <c r="F11" t="n">
        <v>325</v>
      </c>
      <c r="G11" t="inlineStr">
        <is>
          <t>SUPERSEDED</t>
        </is>
      </c>
      <c r="H11" s="2" t="inlineStr">
        <is>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is>
      </c>
      <c r="I11" s="2" t="n"/>
      <c r="J11" s="2" t="inlineStr">
        <is>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is>
      </c>
    </row>
    <row r="12" ht="71.25" customHeight="1" s="18">
      <c r="A12" t="inlineStr">
        <is>
          <t>Stage 1</t>
        </is>
      </c>
      <c r="B12" t="inlineStr">
        <is>
          <t>Zotero RIS export audit</t>
        </is>
      </c>
      <c r="C12" s="11" t="n">
        <v>46291</v>
      </c>
      <c r="D12" s="2" t="n"/>
      <c r="G12" t="inlineStr">
        <is>
          <t>VERIFIED</t>
        </is>
      </c>
      <c r="H12" s="2" t="n"/>
      <c r="I12" s="2" t="n"/>
      <c r="J12" s="2" t="inlineStr">
        <is>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is>
      </c>
    </row>
    <row r="13" ht="57" customHeight="1" s="18">
      <c r="A13" t="inlineStr">
        <is>
          <t>All</t>
        </is>
      </c>
      <c r="B13" t="inlineStr">
        <is>
          <t>Eligibility criterion E8</t>
        </is>
      </c>
      <c r="C13" s="11" t="n">
        <v>46291</v>
      </c>
      <c r="D13" s="2" t="n"/>
      <c r="G13" t="inlineStr">
        <is>
          <t>AMENDED</t>
        </is>
      </c>
      <c r="H13" s="2" t="n"/>
      <c r="I13" s="2" t="n"/>
      <c r="J13" s="2" t="inlineStr">
        <is>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is>
      </c>
    </row>
    <row r="14" ht="28.5" customHeight="1" s="18">
      <c r="A14" t="inlineStr">
        <is>
          <t>Stage 2</t>
        </is>
      </c>
      <c r="B14" t="inlineStr">
        <is>
          <t>Stage 2 file of record</t>
        </is>
      </c>
      <c r="C14" s="11" t="n">
        <v>46292</v>
      </c>
      <c r="D14" s="2" t="n"/>
      <c r="G14" t="inlineStr">
        <is>
          <t>VERIFIED</t>
        </is>
      </c>
      <c r="H14" s="2" t="n"/>
      <c r="I14" s="2" t="inlineStr">
        <is>
          <t>stage_2_abstract_screening_FINAL_20260927.xlsx</t>
        </is>
      </c>
      <c r="J14" s="2" t="inlineStr">
        <is>
          <t>Final Stage 2 file of record frozen 27/09/2026. Twenty-five EXCLUDE rows had exclusion codes transcribed from the screening-note field into the Stage 2 decision field exactly as written; no screening decision was changed.</t>
        </is>
      </c>
    </row>
    <row r="15" ht="28.5" customHeight="1" s="18">
      <c r="A15" t="inlineStr">
        <is>
          <t>Stage 2</t>
        </is>
      </c>
      <c r="B15" t="inlineStr">
        <is>
          <t>Calibration audit</t>
        </is>
      </c>
      <c r="C15" s="11" t="n">
        <v>46292</v>
      </c>
      <c r="D15" s="2" t="n"/>
      <c r="G15" t="inlineStr">
        <is>
          <t>VERIFIED</t>
        </is>
      </c>
      <c r="H15" s="2" t="n"/>
      <c r="I15" s="2" t="n"/>
      <c r="J15" s="2" t="inlineStr">
        <is>
          <t>Fixed 50-record blind re-screen completed. Primary screening-outcome agreement 47/50 (94%); secondary exact-label agreement 46/50 (92%). Corrections recorded in the FINAL workbook: 0.</t>
        </is>
      </c>
    </row>
    <row r="16" ht="28.5" customHeight="1" s="18">
      <c r="A16" t="inlineStr">
        <is>
          <t>B-ii</t>
        </is>
      </c>
      <c r="B16" t="inlineStr">
        <is>
          <t>Forward citation searching – González et al. (2017)</t>
        </is>
      </c>
      <c r="C16" s="11" t="n">
        <v>46299</v>
      </c>
      <c r="D16" s="2" t="n"/>
      <c r="G16" t="inlineStr">
        <is>
          <t>NOT RUN</t>
        </is>
      </c>
      <c r="H16" s="2" t="n"/>
      <c r="I16" s="2" t="n"/>
      <c r="J16" s="2" t="inlineStr">
        <is>
          <t>Decision 4 Oct 2026: forward citation searching from González et al. (2017) was not run. Backward searching cannot identify work published after the review, so literature from 2017 onwards was identified through the ACM Digital Library search only.</t>
        </is>
      </c>
    </row>
    <row r="17" ht="28.5" customHeight="1" s="18">
      <c r="A17" t="inlineStr">
        <is>
          <t>B-i</t>
        </is>
      </c>
      <c r="B17" t="inlineStr">
        <is>
          <t>ACL Anthology hand-search</t>
        </is>
      </c>
      <c r="C17" s="11" t="n">
        <v>46299</v>
      </c>
      <c r="D17" s="2" t="n"/>
      <c r="G17" t="inlineStr">
        <is>
          <t>NOT RUN</t>
        </is>
      </c>
      <c r="H17" s="2" t="n"/>
      <c r="I17" s="2" t="n"/>
      <c r="J17" s="2" t="inlineStr">
        <is>
          <t>Decision 4 Oct 2026: ACL Anthology hand-search was not run. It was planned as a fallback if Scopus failed to index relevant ACL venues. Scopus passed all four Strand B-i known-item tests, including the four ACL-venue known items, so the fallback condition was not triggered.</t>
        </is>
      </c>
    </row>
    <row r="18">
      <c r="A18" t="inlineStr">
        <is>
          <t>Other sources</t>
        </is>
      </c>
      <c r="B18" t="inlineStr">
        <is>
          <t>Supervisor recommendation – Lee et al. (2026)</t>
        </is>
      </c>
      <c r="C18" s="11" t="n">
        <v>46299</v>
      </c>
      <c r="D18" s="2" t="n"/>
      <c r="F18" t="n">
        <v>1</v>
      </c>
      <c r="G18" t="inlineStr">
        <is>
          <t>VERIFIED</t>
        </is>
      </c>
      <c r="H18" s="2" t="n"/>
      <c r="I18" s="2" t="n"/>
      <c r="J18" s="2" t="inlineStr">
        <is>
          <t>Decision 4 Oct 2026: Lee et al. (2026), preprint, included as one record identified through supervisor recommendation. Update, 17 October 2026: the study is now published (Social Network Analysis and Mining, online 29 July 2026, doi 10.1007/s13278-026-01633-0) and is cited as such; the version read and screened was the preprint.</t>
        </is>
      </c>
    </row>
    <row r="19">
      <c r="A19" t="inlineStr">
        <is>
          <t>Other sources</t>
        </is>
      </c>
      <c r="B19" t="inlineStr">
        <is>
          <t>References carried over from 41029 proposal</t>
        </is>
      </c>
      <c r="C19" s="11" t="n">
        <v>46299</v>
      </c>
      <c r="D19" s="2" t="n"/>
      <c r="H19" s="2" t="n"/>
      <c r="I19" s="2" t="n"/>
      <c r="J19" s="2" t="inlineStr">
        <is>
          <t>Counted at Section 2 drafting, 14 October 2026: 8 references held before the search, within the 18 other relevant references of the figure's dashed box (manifest §8.5, 17 October 2026).</t>
        </is>
      </c>
    </row>
    <row r="20" ht="28.5" customHeight="1" s="18">
      <c r="A20" t="inlineStr">
        <is>
          <t>Other sources</t>
        </is>
      </c>
      <c r="B20" t="inlineStr">
        <is>
          <t>Methods, model and tool references</t>
        </is>
      </c>
      <c r="C20" s="11" t="n">
        <v>46299</v>
      </c>
      <c r="D20" s="2" t="n"/>
      <c r="H20" s="2" t="n"/>
      <c r="I20" s="2" t="n"/>
      <c r="J20" s="2" t="inlineStr">
        <is>
          <t>To be counted at drafting. Correction, 4 October 2026: methods, model and tool references enter through the PRISMA other-sources arm, not the database funnel, per governing document FB2 and §13.4. Counted at Section 2 drafting: 5 on 14 October 2026, 6 on 17 October 2026 with the PRISMA 2020 statement cited in the figure note; within the 18 other relevant references (manifest §8.6).</t>
        </is>
      </c>
    </row>
    <row r="21" ht="85.5" customHeight="1" s="18">
      <c r="A21" t="inlineStr">
        <is>
          <t>A</t>
        </is>
      </c>
      <c r="B21" t="inlineStr">
        <is>
          <t>IEEE Xplore – correction</t>
        </is>
      </c>
      <c r="C21" s="11" t="n">
        <v>46299</v>
      </c>
      <c r="D21" s="2" t="n"/>
      <c r="G21" t="inlineStr">
        <is>
          <t>CORRECTION</t>
        </is>
      </c>
      <c r="I21" s="2" t="n"/>
      <c r="J21" s="2" t="inlineStr">
        <is>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is>
      </c>
    </row>
    <row r="22">
      <c r="A22" t="inlineStr">
        <is>
          <t>Stage 2</t>
        </is>
      </c>
      <c r="B22" t="inlineStr">
        <is>
          <t>Calibration-triggered 118-record catch-all check</t>
        </is>
      </c>
      <c r="C22" s="11" t="n">
        <v>46299</v>
      </c>
      <c r="G22" t="inlineStr">
        <is>
          <t>NOT RUN</t>
        </is>
      </c>
      <c r="J22" t="inlineStr">
        <is>
          <t>Offered and not run, 4 October 2026. The optional check concerned 118 Stage 2 EXCLUDE records carrying the generic note "abstract does not establish all required elements". No batch re-screen of those 118 records was conducted.</t>
        </is>
      </c>
    </row>
    <row r="23">
      <c r="A23" t="inlineStr">
        <is>
          <t>Audit</t>
        </is>
      </c>
      <c r="B23" t="inlineStr">
        <is>
          <t>Repository commit</t>
        </is>
      </c>
      <c r="C23" s="11" t="n">
        <v>46299</v>
      </c>
      <c r="G23" t="inlineStr">
        <is>
          <t>VERIFIED</t>
        </is>
      </c>
      <c r="J23" t="inlineStr">
        <is>
          <t>Commit fe69005: Literature search: citation arm, E8 addendum and log corrections.</t>
        </is>
      </c>
    </row>
    <row r="24" ht="85.5" customHeight="1" s="18">
      <c r="A24" t="inlineStr">
        <is>
          <t>Full text</t>
        </is>
      </c>
      <c r="B24" t="inlineStr">
        <is>
          <t>Full-text Screening Log – correction of code key and layout</t>
        </is>
      </c>
      <c r="C24" s="11" t="n">
        <v>46300</v>
      </c>
      <c r="G24" t="inlineStr">
        <is>
          <t>CORRECTION</t>
        </is>
      </c>
      <c r="J24" s="2" t="inlineStr">
        <is>
          <t>Correction, 5 October 2026: the exclusion-code key in the Full-text Screening Log was aligned with manifest §2.3 and moved to the Codes tab. E1 was restored. E3 covers poster and abstract-only items; E8 covers whole proceedings volumes, front matter and tables of contents. E6 is defined for the full-text stage as full text unavailable. The decision and exclusion-code dropdowns and the colour rules, previously one column to the left, were moved to the Decision and Exclusion code columns. Seven columns were added to the right of Source (Version assessed, Date assessed, Sub-reason, Evidence, Tag 1, Tag 2, Tag 3), with the tabs Codes, FT rulings and FT sessions. No decision is affected: no full-text decision had been recorded.</t>
        </is>
      </c>
    </row>
    <row r="25" ht="42.75" customHeight="1" s="18">
      <c r="A25" t="inlineStr">
        <is>
          <t>Full text</t>
        </is>
      </c>
      <c r="B25" t="inlineStr">
        <is>
          <t>Full-text workflow decisions (manifest 11.13)</t>
        </is>
      </c>
      <c r="C25" s="11" t="n">
        <v>46300</v>
      </c>
      <c r="G25" t="inlineStr">
        <is>
          <t>ADOPTED</t>
        </is>
      </c>
      <c r="J25" s="2" t="inlineStr">
        <is>
          <t>Decision 5 Oct 2026: workflow decisions D1–D10 and rulings R1–R12 adopted as recommended and recorded in full_text_screening_instructions_v1.0_20261005.md. Rulings are listed in the FT rulings tab. Full-text screening starts after the commit that records this.</t>
        </is>
      </c>
    </row>
    <row r="26" ht="99.75" customHeight="1" s="18">
      <c r="C26" s="11" t="n"/>
      <c r="J26" s="2" t="n"/>
    </row>
    <row r="27">
      <c r="A27" t="inlineStr">
        <is>
          <t>A</t>
        </is>
      </c>
      <c r="B27" t="inlineStr">
        <is>
          <t>IEEE Xplore – block strings recovered and confirmed</t>
        </is>
      </c>
      <c r="C27" s="11" t="n">
        <v>46312</v>
      </c>
      <c r="F27" t="n">
        <v>336</v>
      </c>
      <c r="G27" t="inlineStr">
        <is>
          <t>VERIFIED</t>
        </is>
      </c>
      <c r="I27" t="inlineStr">
        <is>
          <t>ieee_strandA_rerun_20261017.png</t>
        </is>
      </c>
      <c r="J27" s="2" t="inlineStr">
        <is>
          <t>17 October 2026: the three block strings of the sequential execution of 20 September were recovered from the record of that session and confirmed by re-run in the same sequence (84,356 → 13,610 → 452 → 410 → 337 against 83,626 → 13,492 → 451 → 409 → 336); strings and re-run recorded in PRISMA_search_evidence_log.xlsx, Search Evidence row 11, and in Appendix F of the report. Manifest 11.19; commit adf5354.</t>
        </is>
      </c>
    </row>
    <row r="28">
      <c r="A28" t="inlineStr">
        <is>
          <t>B-ii</t>
        </is>
      </c>
      <c r="B28" t="inlineStr">
        <is>
          <t>Scopus – correction to row 8 (manifest 11.15(a))</t>
        </is>
      </c>
      <c r="C28" s="11" t="n">
        <v>46312</v>
      </c>
      <c r="G28" t="inlineStr">
        <is>
          <t>CORRECTION</t>
        </is>
      </c>
      <c r="J28" s="2" t="inlineStr">
        <is>
          <t>Correction, 17 October 2026: row 8 hits 2,120 → 2,131 and export file scopus_strandBii_20260921.ris → scopus_strandBii_20260920.ris, to agree with the search-phase evidence (Search Evidence rows 17 and 25). The 2,120 figure is withdrawn. No PRISMA count affected.</t>
        </is>
      </c>
    </row>
    <row r="29">
      <c r="A29" t="inlineStr">
        <is>
          <t>B-i</t>
        </is>
      </c>
      <c r="B29" t="inlineStr">
        <is>
          <t>Scopus – clarification of row 10 (manifest 11.15(b))</t>
        </is>
      </c>
      <c r="C29" s="11" t="n">
        <v>46312</v>
      </c>
      <c r="G29" t="inlineStr">
        <is>
          <t>CLARIFICATION</t>
        </is>
      </c>
      <c r="J29" s="2" t="inlineStr">
        <is>
          <t>Clarification, 17 October 2026: the known-item PASS results of 20 September were database-coverage checks by title search; containment by DOI constraint was applied to the 773-record narrowing on 21 September. Row 10 Notes carry the full wording.</t>
        </is>
      </c>
    </row>
    <row r="30">
      <c r="A30" t="inlineStr">
        <is>
          <t>Other sources</t>
        </is>
      </c>
      <c r="B30" t="inlineStr">
        <is>
          <t>Other relevant references – count at Section 2</t>
        </is>
      </c>
      <c r="C30" s="11" t="n">
        <v>46312</v>
      </c>
      <c r="F30" t="n">
        <v>18</v>
      </c>
      <c r="G30" t="inlineStr">
        <is>
          <t>VERIFIED</t>
        </is>
      </c>
      <c r="J30" s="2" t="inlineStr">
        <is>
          <t>Counted 14 October 2026 and updated 17 October 2026: 18 works cited in the report body that are not among the 367 included studies (4 reviews named in supervisor feedback and not retrieved by the searches; 8 references held before the search; 6 methods, model and tool references). Listed in prisma_verification_20261014.md and its 17 October addendum; recount at submission (manifest 11.17).</t>
        </is>
      </c>
    </row>
    <row r="31">
      <c r="A31" t="inlineStr">
        <is>
          <t>Stage 2</t>
        </is>
      </c>
      <c r="B31" t="inlineStr">
        <is>
          <t>S2-1182 DOI field – correction (manifest 11.14)</t>
        </is>
      </c>
      <c r="C31" s="11" t="n">
        <v>46312</v>
      </c>
      <c r="G31" t="inlineStr">
        <is>
          <t>CORRECTION</t>
        </is>
      </c>
      <c r="J31" s="2" t="inlineStr">
        <is>
          <t>Correction, 17 October 2026: in stage_2_abstract_screening_FINAL_20260927.xlsx, sheet E8 addendum, cell H2, the DOI of the arXiv e-print (10.48550/arXiv.2211.04274) was cleared; the record is the dissertation, which has no DOI. Dated note in the Screening note cell (J2). Decision and counts unchanged.</t>
        </is>
      </c>
    </row>
    <row r="32">
      <c r="A32" t="inlineStr">
        <is>
          <t>Audit</t>
        </is>
      </c>
      <c r="B32" t="inlineStr">
        <is>
          <t>PRISMA figure – template confirmed as PRISMA 2020</t>
        </is>
      </c>
      <c r="C32" s="11" t="n">
        <v>46312</v>
      </c>
      <c r="G32" t="inlineStr">
        <is>
          <t>VERIFIED</t>
        </is>
      </c>
      <c r="I32" t="inlineStr">
        <is>
          <t>prisma_flow_2020_20261017.pdf</t>
        </is>
      </c>
      <c r="J32" s="2" t="inlineStr">
        <is>
          <t>17 October 2026: the supervisor's template confirmed as the PRISMA 2020 flow diagram; figure redrawn in the two-column layout from the verified counts (database arm 2,355 → 2,192 → 364 → 360 → 328; other-methods arm 78 → 39 → 39 → 39; included 367). Mapping in prisma_verification_20261017_addendum.md. Manifest v0.8, 11.20 closed.</t>
        </is>
      </c>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U510"/>
  <sheetViews>
    <sheetView topLeftCell="A288" zoomScaleNormal="100" workbookViewId="0">
      <selection activeCell="J297" sqref="J297"/>
    </sheetView>
  </sheetViews>
  <sheetFormatPr baseColWidth="8" defaultRowHeight="14.25"/>
  <cols>
    <col width="14" customWidth="1" style="18" min="1" max="1"/>
    <col width="10" customWidth="1" style="18" min="2" max="2"/>
    <col width="25" customWidth="1" style="18" min="3" max="3"/>
    <col width="9" customWidth="1" style="18" min="4" max="4"/>
    <col width="48" customWidth="1" style="18" min="5" max="5"/>
    <col width="16" customWidth="1" style="18" min="6" max="6"/>
    <col width="14" customWidth="1" style="18" min="7" max="7"/>
    <col width="18" customWidth="1" style="18" min="8" max="8"/>
    <col width="24" customWidth="1" style="18" min="9" max="9"/>
    <col width="32" customWidth="1" style="18" min="10" max="10"/>
    <col width="40" customWidth="1" style="18" min="11" max="12"/>
    <col width="14.375" bestFit="1" customWidth="1" style="18" min="13" max="13"/>
    <col width="10" customWidth="1" style="18" min="14" max="14"/>
    <col width="18" customWidth="1" style="18" min="15" max="15"/>
    <col width="13" customWidth="1" style="18" min="16" max="16"/>
    <col width="20" customWidth="1" style="18" min="17" max="17"/>
    <col width="60" customWidth="1" style="18" min="18" max="18"/>
    <col width="8" customWidth="1" style="18" min="19" max="21"/>
  </cols>
  <sheetData>
    <row r="1" ht="27.95" customHeight="1" s="18">
      <c r="A1" s="19" t="inlineStr">
        <is>
          <t>Full-Text Screening &amp; Extraction Log</t>
        </is>
      </c>
    </row>
    <row r="2" ht="42" customHeight="1" s="18">
      <c r="A2" s="17" t="inlineStr">
        <is>
          <t>One row per record reaching full text. Exclusion codes are required at full text only. Preprints remain eligible where they ground methodology; publication status is recorded, not used as an automatic filter.</t>
        </is>
      </c>
    </row>
    <row r="4" ht="45" customHeight="1" s="18">
      <c r="A4" s="1" t="inlineStr">
        <is>
          <t>ID</t>
        </is>
      </c>
      <c r="B4" s="1" t="inlineStr">
        <is>
          <t>Strand</t>
        </is>
      </c>
      <c r="C4" s="1" t="inlineStr">
        <is>
          <t>Authors</t>
        </is>
      </c>
      <c r="D4" s="1" t="inlineStr">
        <is>
          <t>Year</t>
        </is>
      </c>
      <c r="E4" s="1" t="inlineStr">
        <is>
          <t>Title</t>
        </is>
      </c>
      <c r="F4" s="7" t="inlineStr">
        <is>
          <t>Publication status</t>
        </is>
      </c>
      <c r="G4" s="7" t="inlineStr">
        <is>
          <t>Stage</t>
        </is>
      </c>
      <c r="H4" s="1" t="inlineStr">
        <is>
          <t>Decision</t>
        </is>
      </c>
      <c r="I4" s="1" t="inlineStr">
        <is>
          <t>Exclusion code</t>
        </is>
      </c>
      <c r="J4" s="1" t="inlineStr">
        <is>
          <t>Method</t>
        </is>
      </c>
      <c r="K4" s="1" t="inlineStr">
        <is>
          <t>Sample/Data</t>
        </is>
      </c>
      <c r="L4" s="1" t="inlineStr">
        <is>
          <t>Key Finding</t>
        </is>
      </c>
      <c r="M4" t="inlineStr">
        <is>
          <t>Relation to gap</t>
        </is>
      </c>
      <c r="N4" t="inlineStr">
        <is>
          <t>Source</t>
        </is>
      </c>
      <c r="O4" s="1" t="inlineStr">
        <is>
          <t>Version assessed</t>
        </is>
      </c>
      <c r="P4" s="1" t="inlineStr">
        <is>
          <t>Date assessed</t>
        </is>
      </c>
      <c r="Q4" s="1" t="inlineStr">
        <is>
          <t>Sub-reason</t>
        </is>
      </c>
      <c r="R4" s="1" t="inlineStr">
        <is>
          <t>Evidence</t>
        </is>
      </c>
      <c r="S4" s="1" t="inlineStr">
        <is>
          <t>Tag 1</t>
        </is>
      </c>
      <c r="T4" s="1" t="inlineStr">
        <is>
          <t>Tag 2</t>
        </is>
      </c>
      <c r="U4" s="1" t="inlineStr">
        <is>
          <t>Tag 3</t>
        </is>
      </c>
    </row>
    <row r="5" ht="42.75" customHeight="1" s="18">
      <c r="A5" s="5" t="inlineStr">
        <is>
          <t>S2-0207</t>
        </is>
      </c>
      <c r="B5" s="5" t="inlineStr">
        <is>
          <t>A</t>
        </is>
      </c>
      <c r="C5" s="3" t="inlineStr">
        <is>
          <t>Meyer-Waarden, L.; Cloarec, J.</t>
        </is>
      </c>
      <c r="D5" s="6" t="n">
        <v>2022</v>
      </c>
      <c r="E5" s="3" t="inlineStr">
        <is>
          <t>“Baby, you can drive my car”: Psychological antecedents that drive consumers’ adoption of AI-powered autonomous vehicles</t>
        </is>
      </c>
      <c r="F5" s="5" t="inlineStr">
        <is>
          <t>Journal article</t>
        </is>
      </c>
      <c r="G5" s="10" t="inlineStr">
        <is>
          <t>FT</t>
        </is>
      </c>
      <c r="H5" s="3" t="inlineStr">
        <is>
          <t>INCLUDE</t>
        </is>
      </c>
      <c r="I5" s="3" t="n"/>
      <c r="J5" s="3" t="inlineStr">
        <is>
          <t>Survey</t>
        </is>
      </c>
      <c r="K5" s="3" t="inlineStr">
        <is>
          <t>n=207; online survey respondents; France; Dec 2019</t>
        </is>
      </c>
      <c r="L5" s="3" t="n"/>
      <c r="O5" s="3" t="inlineStr">
        <is>
          <t>Published</t>
        </is>
      </c>
      <c r="P5" s="12" t="n">
        <v>46300</v>
      </c>
      <c r="Q5" s="3" t="n"/>
      <c r="R5" s="3" t="inlineStr">
        <is>
          <t>§3.1–3.2; 207 French respondents evaluated Level-5 AV privacy, security, trust and intention after viewing a five-minute AV video.</t>
        </is>
      </c>
      <c r="S5" s="3" t="inlineStr">
        <is>
          <t>Y</t>
        </is>
      </c>
      <c r="T5" s="3" t="inlineStr">
        <is>
          <t>N</t>
        </is>
      </c>
      <c r="U5" s="3" t="inlineStr">
        <is>
          <t>N</t>
        </is>
      </c>
    </row>
    <row r="6" ht="42.75" customHeight="1" s="18">
      <c r="A6" s="5" t="inlineStr">
        <is>
          <t>S2-0070</t>
        </is>
      </c>
      <c r="B6" s="5" t="inlineStr">
        <is>
          <t>A</t>
        </is>
      </c>
      <c r="C6" s="3" t="inlineStr">
        <is>
          <t>X. Luo; F. Ding; R. Chen; R. Panda; J. Loo; S. Zhang</t>
        </is>
      </c>
      <c r="D6" s="6" t="n">
        <v>2025</v>
      </c>
      <c r="E6" s="3" t="inlineStr">
        <is>
          <t>“What's Happening”- A Human-centered Multimodal Interpreter Explaining the Actions of Autonomous Vehicles</t>
        </is>
      </c>
      <c r="F6" s="5" t="inlineStr">
        <is>
          <t>Conference paper</t>
        </is>
      </c>
      <c r="G6" s="10" t="inlineStr">
        <is>
          <t>FT</t>
        </is>
      </c>
      <c r="H6" s="3" t="inlineStr">
        <is>
          <t>INCLUDE</t>
        </is>
      </c>
      <c r="I6" s="3" t="n"/>
      <c r="J6" s="3" t="inlineStr">
        <is>
          <t>Mixed</t>
        </is>
      </c>
      <c r="K6" s="3" t="inlineStr">
        <is>
          <t>n=30 preliminary survey; n=20 experiment, 19 valid; participants from 7 countries/regions; collection year not stated</t>
        </is>
      </c>
      <c r="L6" s="3" t="n"/>
      <c r="O6" s="3" t="inlineStr">
        <is>
          <t>Published</t>
        </is>
      </c>
      <c r="P6" s="12" t="n">
        <v>46300</v>
      </c>
      <c r="Q6" s="3" t="n"/>
      <c r="R6" s="3" t="inlineStr">
        <is>
          <t>§3, §5; preliminary survey plus repeated-session experiment; HMI increased AV trust, with separate trust results for LLM and BEV components.</t>
        </is>
      </c>
      <c r="S6" s="3" t="inlineStr">
        <is>
          <t>N</t>
        </is>
      </c>
      <c r="T6" s="3" t="inlineStr">
        <is>
          <t>Y</t>
        </is>
      </c>
      <c r="U6" s="3" t="inlineStr">
        <is>
          <t>Y</t>
        </is>
      </c>
    </row>
    <row r="7" ht="57" customHeight="1" s="18">
      <c r="A7" s="5" t="inlineStr">
        <is>
          <t>S2-0362</t>
        </is>
      </c>
      <c r="B7" s="5" t="inlineStr">
        <is>
          <t>B-i</t>
        </is>
      </c>
      <c r="C7" s="3" t="inlineStr">
        <is>
          <t>Sharma, Vivek; Shokri, Mohammad Mahdi; Levitan, Sarah Ita; Filatova, Elena; Jain, Shweta</t>
        </is>
      </c>
      <c r="D7" s="6" t="n">
        <v>2025</v>
      </c>
      <c r="E7" s="3" t="inlineStr">
        <is>
          <t>Analysis of Propaganda in Tweets From Politically Biased Sources</t>
        </is>
      </c>
      <c r="F7" s="5" t="inlineStr">
        <is>
          <t>Preprint (arXiv)</t>
        </is>
      </c>
      <c r="G7" s="10" t="inlineStr">
        <is>
          <t>FT</t>
        </is>
      </c>
      <c r="H7" s="3" t="inlineStr">
        <is>
          <t>EXCLUDE</t>
        </is>
      </c>
      <c r="I7" s="3" t="inlineStr">
        <is>
          <t>E2</t>
        </is>
      </c>
      <c r="J7" s="3" t="n"/>
      <c r="K7" s="3" t="n"/>
      <c r="L7" s="3" t="n"/>
      <c r="O7" s="3" t="inlineStr">
        <is>
          <t>Preprint</t>
        </is>
      </c>
      <c r="P7" s="12" t="n">
        <v>46300</v>
      </c>
      <c r="Q7" s="3" t="inlineStr">
        <is>
          <t>Bi-direct</t>
        </is>
      </c>
      <c r="R7" s="3" t="inlineStr">
        <is>
          <t>§4.1–4.2; BERT is evaluated on JMBX, while zero-shot LLMs use a 200-tweet sample; same test data are not established.</t>
        </is>
      </c>
      <c r="S7" s="3" t="n"/>
      <c r="T7" s="3" t="n"/>
      <c r="U7" s="3" t="n"/>
    </row>
    <row r="8" ht="57" customHeight="1" s="18">
      <c r="A8" s="5" t="inlineStr">
        <is>
          <t>S2-0276</t>
        </is>
      </c>
      <c r="B8" s="5" t="inlineStr">
        <is>
          <t>A</t>
        </is>
      </c>
      <c r="C8" s="3" t="inlineStr">
        <is>
          <t>Wakam Younang, V.C.; Yang, J.; Jacuinde, L.G.; Sen, A.</t>
        </is>
      </c>
      <c r="D8" s="6" t="n">
        <v>2023</v>
      </c>
      <c r="E8" s="3" t="inlineStr">
        <is>
          <t>A Comparative Analysis of User’s Concerns and Government Policies on Autonomous Vehicles</t>
        </is>
      </c>
      <c r="F8" s="5" t="inlineStr">
        <is>
          <t>Conference paper</t>
        </is>
      </c>
      <c r="G8" s="10" t="inlineStr">
        <is>
          <t>FT</t>
        </is>
      </c>
      <c r="H8" s="3" t="inlineStr">
        <is>
          <t>INCLUDE</t>
        </is>
      </c>
      <c r="I8" s="3" t="n"/>
      <c r="J8" s="3" t="inlineStr">
        <is>
          <t>Online-discourse analysis</t>
        </is>
      </c>
      <c r="K8" s="3" t="inlineStr">
        <is>
          <t>Twitter: 4,642 tweets; Reddit: 13,337 comments; AV-related public discourse; collection period not stated</t>
        </is>
      </c>
      <c r="L8" s="3" t="inlineStr">
        <is>
          <t>Overall Twitter/Reddit sentiment was predominantly negative; accidents and road hazards dominated, while privacy and cybersecurity concerns were less frequent.</t>
        </is>
      </c>
      <c r="M8" t="inlineStr">
        <is>
          <t>Direct online-discourse comparator measuring AV privacy/security concerns, but not longitudinal and not subsystem-resolved to specific CAV components.</t>
        </is>
      </c>
      <c r="O8" s="3" t="inlineStr">
        <is>
          <t>Published</t>
        </is>
      </c>
      <c r="P8" s="12" t="n">
        <v>46300</v>
      </c>
      <c r="Q8" s="3" t="n"/>
      <c r="R8" s="3" t="inlineStr">
        <is>
          <t>§3.1, §4.1–4.4; 4,642 tweets and 13,337 Reddit comments analysed for AV concerns, including privacy/cybersecurity; sentiment was predominantly negative.</t>
        </is>
      </c>
      <c r="S8" s="3" t="inlineStr">
        <is>
          <t>Y</t>
        </is>
      </c>
      <c r="T8" s="3" t="inlineStr">
        <is>
          <t>N</t>
        </is>
      </c>
      <c r="U8" s="3" t="inlineStr">
        <is>
          <t>N</t>
        </is>
      </c>
    </row>
    <row r="9" ht="42.75" customHeight="1" s="18">
      <c r="A9" s="5" t="inlineStr">
        <is>
          <t>S2-0129</t>
        </is>
      </c>
      <c r="B9" s="5" t="inlineStr">
        <is>
          <t>A</t>
        </is>
      </c>
      <c r="C9" s="3" t="inlineStr">
        <is>
          <t>Swain, R.; Truelove, V.; Rakotonirainy, A.; Kaye, S.-A.</t>
        </is>
      </c>
      <c r="D9" s="6" t="n">
        <v>2023</v>
      </c>
      <c r="E9" s="3" t="inlineStr">
        <is>
          <t>A comparison of the views of experts and the public on automated vehicles technologies and societal implications</t>
        </is>
      </c>
      <c r="F9" s="5" t="inlineStr">
        <is>
          <t>Journal article</t>
        </is>
      </c>
      <c r="G9" s="10" t="inlineStr">
        <is>
          <t>FT</t>
        </is>
      </c>
      <c r="H9" s="3" t="inlineStr">
        <is>
          <t>INCLUDE</t>
        </is>
      </c>
      <c r="I9" s="3" t="n"/>
      <c r="J9" s="3" t="inlineStr">
        <is>
          <t>Interview/focus group</t>
        </is>
      </c>
      <c r="K9" s="3" t="inlineStr">
        <is>
          <t>n=11 AV experts, international; n=34 public participants, Australia; collection year not stated</t>
        </is>
      </c>
      <c r="L9" s="3" t="n"/>
      <c r="O9" s="3" t="inlineStr">
        <is>
          <t>Published</t>
        </is>
      </c>
      <c r="P9" s="12" t="n">
        <v>46300</v>
      </c>
      <c r="Q9" s="3" t="n"/>
      <c r="R9" s="3" t="inlineStr">
        <is>
          <t>§3–5.3.5; 11 experts and 34 public participants were interviewed/focus-grouped; themes included trust, sensor reliability and cybersecurity/hacking concerns.</t>
        </is>
      </c>
      <c r="S9" s="3" t="inlineStr">
        <is>
          <t>Y</t>
        </is>
      </c>
      <c r="T9" s="3" t="inlineStr">
        <is>
          <t>N</t>
        </is>
      </c>
      <c r="U9" s="3" t="inlineStr">
        <is>
          <t>Y</t>
        </is>
      </c>
    </row>
    <row r="10" ht="42.75" customHeight="1" s="18">
      <c r="A10" s="5" t="inlineStr">
        <is>
          <t>S2-0027</t>
        </is>
      </c>
      <c r="B10" s="5" t="inlineStr">
        <is>
          <t>A</t>
        </is>
      </c>
      <c r="C10" s="3" t="inlineStr">
        <is>
          <t>A. Bhardwaj; Y. Kumar; N. Hasteer</t>
        </is>
      </c>
      <c r="D10" s="6" t="n">
        <v>2021</v>
      </c>
      <c r="E10" s="3" t="inlineStr">
        <is>
          <t>A Hybrid Model to Investigate Perception Towards Adoption of Autonomous Vehicles in India</t>
        </is>
      </c>
      <c r="F10" s="5" t="inlineStr">
        <is>
          <t>Conference paper</t>
        </is>
      </c>
      <c r="G10" s="10" t="inlineStr">
        <is>
          <t>FT</t>
        </is>
      </c>
      <c r="H10" s="3" t="inlineStr">
        <is>
          <t>INCLUDE</t>
        </is>
      </c>
      <c r="I10" s="3" t="n"/>
      <c r="J10" s="3" t="inlineStr">
        <is>
          <t>Survey</t>
        </is>
      </c>
      <c r="K10" s="3" t="inlineStr">
        <is>
          <t>n=148; public respondents; India; online survey; collection year not stated</t>
        </is>
      </c>
      <c r="L10" s="3" t="n"/>
      <c r="O10" s="3" t="inlineStr">
        <is>
          <t>Published</t>
        </is>
      </c>
      <c r="P10" s="12" t="n">
        <v>46300</v>
      </c>
      <c r="Q10" s="3" t="n"/>
      <c r="R10" s="3" t="inlineStr">
        <is>
          <t>§III–IV; online survey of 148 Indian respondents measured AV acceptance, anxiety and perceived safety; respondents showed greater comfort with higher autonomy.</t>
        </is>
      </c>
      <c r="S10" s="3" t="inlineStr">
        <is>
          <t>N</t>
        </is>
      </c>
      <c r="T10" s="3" t="inlineStr">
        <is>
          <t>N</t>
        </is>
      </c>
      <c r="U10" s="3" t="inlineStr">
        <is>
          <t>N</t>
        </is>
      </c>
    </row>
    <row r="11" ht="28.5" customHeight="1" s="18">
      <c r="A11" s="5" t="inlineStr">
        <is>
          <t>S2-0198</t>
        </is>
      </c>
      <c r="B11" s="5" t="inlineStr">
        <is>
          <t>A</t>
        </is>
      </c>
      <c r="C11" s="3" t="inlineStr">
        <is>
          <t>King, W.; Halawi, L.</t>
        </is>
      </c>
      <c r="D11" s="6" t="n">
        <v>2023</v>
      </c>
      <c r="E11" s="3" t="inlineStr">
        <is>
          <t>A Quantitative Analysis of Autonomous Vehicle Cybersecurity as a Component of Trust</t>
        </is>
      </c>
      <c r="F11" s="5" t="inlineStr">
        <is>
          <t>Journal article</t>
        </is>
      </c>
      <c r="G11" s="10" t="inlineStr">
        <is>
          <t>FT</t>
        </is>
      </c>
      <c r="H11" s="3" t="inlineStr">
        <is>
          <t>INCLUDE</t>
        </is>
      </c>
      <c r="I11" s="3" t="n"/>
      <c r="J11" s="3" t="inlineStr">
        <is>
          <t>Survey</t>
        </is>
      </c>
      <c r="K11" s="3" t="inlineStr">
        <is>
          <t>n=209; licensed U.S. drivers aged 18+; United States; online survey; collection year not stated</t>
        </is>
      </c>
      <c r="L11" s="3" t="n"/>
      <c r="O11" s="3" t="inlineStr">
        <is>
          <t>Thesis</t>
        </is>
      </c>
      <c r="P11" s="12" t="n">
        <v>46300</v>
      </c>
      <c r="Q11" s="3" t="n"/>
      <c r="R11" s="3" t="inlineStr">
        <is>
          <t>Abstract; survey of 209 U.S. drivers found perceived cyber threat negatively influenced trust in autonomous vehicles.</t>
        </is>
      </c>
      <c r="S11" s="3" t="inlineStr">
        <is>
          <t>Y</t>
        </is>
      </c>
      <c r="T11" s="3" t="inlineStr">
        <is>
          <t>N</t>
        </is>
      </c>
      <c r="U11" s="3" t="inlineStr">
        <is>
          <t>N</t>
        </is>
      </c>
    </row>
    <row r="12" ht="57" customHeight="1" s="18">
      <c r="A12" s="5" t="inlineStr">
        <is>
          <t>S2-0146</t>
        </is>
      </c>
      <c r="B12" s="5" t="inlineStr">
        <is>
          <t>A</t>
        </is>
      </c>
      <c r="C12" s="3" t="inlineStr">
        <is>
          <t>Derakhshan, S.; Nosrat Nezami, F.; Wächter, M.A.; Stephan, A.; Pipa, G.; König, P.</t>
        </is>
      </c>
      <c r="D12" s="6" t="n">
        <v>2025</v>
      </c>
      <c r="E12" s="3" t="inlineStr">
        <is>
          <t>A Situated Inspection of Autonomous Vehicle Acceptance–A Population Study in Virtual Reality</t>
        </is>
      </c>
      <c r="F12" s="5" t="inlineStr">
        <is>
          <t>Journal article</t>
        </is>
      </c>
      <c r="G12" s="10" t="inlineStr">
        <is>
          <t>FT</t>
        </is>
      </c>
      <c r="H12" s="3" t="inlineStr">
        <is>
          <t>INCLUDE</t>
        </is>
      </c>
      <c r="I12" s="3" t="n"/>
      <c r="J12" s="3" t="inlineStr">
        <is>
          <t>Experiment</t>
        </is>
      </c>
      <c r="K12" s="3" t="inlineStr">
        <is>
          <t>n=366 questionnaire respondents; 752 valid eye-tracking participants; museum visitors; Germany; one-year collection period, year not stated</t>
        </is>
      </c>
      <c r="L12" s="3" t="n"/>
      <c r="O12" s="3" t="inlineStr">
        <is>
          <t>Published</t>
        </is>
      </c>
      <c r="P12" s="12" t="n">
        <v>46300</v>
      </c>
      <c r="Q12" s="3" t="n"/>
      <c r="R12" s="3" t="inlineStr">
        <is>
          <t>§2.2–3.1; VR experiment measured AV trust, anxiety, ease and intention across manual, semi-autonomous, autonomous and taxi conditions.</t>
        </is>
      </c>
      <c r="S12" s="3" t="inlineStr">
        <is>
          <t>N</t>
        </is>
      </c>
      <c r="T12" s="3" t="inlineStr">
        <is>
          <t>N</t>
        </is>
      </c>
      <c r="U12" s="3" t="inlineStr">
        <is>
          <t>N</t>
        </is>
      </c>
    </row>
    <row r="13" ht="42.75" customHeight="1" s="18">
      <c r="A13" s="5" t="inlineStr">
        <is>
          <t>S2-0166</t>
        </is>
      </c>
      <c r="B13" s="5" t="inlineStr">
        <is>
          <t>A</t>
        </is>
      </c>
      <c r="C13" s="3" t="inlineStr">
        <is>
          <t>Liao, Y.; Guo, H.; Liu, X.</t>
        </is>
      </c>
      <c r="D13" s="6" t="n">
        <v>2023</v>
      </c>
      <c r="E13" s="3" t="inlineStr">
        <is>
          <t>A Study of Young People’s Intention to Use Shared Autonomous Vehicles: A Quantitative Analysis Model Based on the Extended TPB-TAM</t>
        </is>
      </c>
      <c r="F13" s="5" t="inlineStr">
        <is>
          <t>Journal article</t>
        </is>
      </c>
      <c r="G13" s="10" t="inlineStr">
        <is>
          <t>FT</t>
        </is>
      </c>
      <c r="H13" s="3" t="inlineStr">
        <is>
          <t>INCLUDE</t>
        </is>
      </c>
      <c r="I13" s="3" t="n"/>
      <c r="J13" s="3" t="inlineStr">
        <is>
          <t>Survey</t>
        </is>
      </c>
      <c r="K13" s="3" t="inlineStr">
        <is>
          <t>n=316; young people aged 18–35; China; online survey; 4–25 Nov 2022</t>
        </is>
      </c>
      <c r="L13" s="3" t="n"/>
      <c r="O13" s="3" t="inlineStr">
        <is>
          <t>Published</t>
        </is>
      </c>
      <c r="P13" s="12" t="n">
        <v>46300</v>
      </c>
      <c r="Q13" s="3" t="n"/>
      <c r="R13" s="3" t="inlineStr">
        <is>
          <t>§4.1–5.2; survey measured SAV trust, perceived security risk and privacy risk; security risk negatively affected initial trust.</t>
        </is>
      </c>
      <c r="S13" s="3" t="inlineStr">
        <is>
          <t>Y</t>
        </is>
      </c>
      <c r="T13" s="3" t="inlineStr">
        <is>
          <t>N</t>
        </is>
      </c>
      <c r="U13" s="3" t="inlineStr">
        <is>
          <t>N</t>
        </is>
      </c>
    </row>
    <row r="14" ht="42.75" customHeight="1" s="18">
      <c r="A14" s="5" t="inlineStr">
        <is>
          <t>S2-0039</t>
        </is>
      </c>
      <c r="B14" s="5" t="inlineStr">
        <is>
          <t>A</t>
        </is>
      </c>
      <c r="C14" s="3" t="inlineStr">
        <is>
          <t>S. Fu; H. Zhou; Y. Li; W. Wang</t>
        </is>
      </c>
      <c r="D14" s="6" t="n">
        <v>2023</v>
      </c>
      <c r="E14" s="3" t="inlineStr">
        <is>
          <t>A study on cyclists’ risk-taking behavior intention on shared roads with autonomous vehicles</t>
        </is>
      </c>
      <c r="F14" s="5" t="inlineStr">
        <is>
          <t>Conference paper</t>
        </is>
      </c>
      <c r="G14" s="10" t="inlineStr">
        <is>
          <t>FT</t>
        </is>
      </c>
      <c r="H14" s="3" t="inlineStr">
        <is>
          <t>INCLUDE</t>
        </is>
      </c>
      <c r="I14" s="3" t="n"/>
      <c r="J14" s="3" t="inlineStr">
        <is>
          <t>Survey</t>
        </is>
      </c>
      <c r="K14" s="3" t="inlineStr">
        <is>
          <t>n=393; cyclists with cycling experience; China; online and offline questionnaire; collection year not stated</t>
        </is>
      </c>
      <c r="L14" s="3" t="n"/>
      <c r="O14" s="3" t="inlineStr">
        <is>
          <t>Published</t>
        </is>
      </c>
      <c r="P14" s="12" t="n">
        <v>46300</v>
      </c>
      <c r="Q14" s="3" t="n"/>
      <c r="R14" s="3" t="inlineStr">
        <is>
          <t>§III–IV; 393 cyclists surveyed on AV shared-road safety perception, technology cognition and risk-taking intention; safety perception significantly influenced intention.</t>
        </is>
      </c>
      <c r="S14" s="3" t="inlineStr">
        <is>
          <t>N</t>
        </is>
      </c>
      <c r="T14" s="3" t="inlineStr">
        <is>
          <t>N</t>
        </is>
      </c>
      <c r="U14" s="3" t="inlineStr">
        <is>
          <t>N</t>
        </is>
      </c>
    </row>
    <row r="15" ht="28.5" customHeight="1" s="18">
      <c r="A15" s="5" t="inlineStr">
        <is>
          <t>S2-0245</t>
        </is>
      </c>
      <c r="B15" s="5" t="inlineStr">
        <is>
          <t>A</t>
        </is>
      </c>
      <c r="C15" s="3" t="inlineStr">
        <is>
          <t>Uysal, S.; Sandıkkaya, M.T.</t>
        </is>
      </c>
      <c r="D15" s="6" t="n">
        <v>2025</v>
      </c>
      <c r="E15" s="3" t="inlineStr">
        <is>
          <t>A survey on obstacles to the widespread use of connected and automated vehicles</t>
        </is>
      </c>
      <c r="F15" s="5" t="inlineStr">
        <is>
          <t>Journal article</t>
        </is>
      </c>
      <c r="G15" s="10" t="inlineStr">
        <is>
          <t>FT</t>
        </is>
      </c>
      <c r="H15" s="3" t="inlineStr">
        <is>
          <t>EXCLUDE</t>
        </is>
      </c>
      <c r="I15" s="3" t="inlineStr">
        <is>
          <t>E2</t>
        </is>
      </c>
      <c r="J15" s="3" t="n"/>
      <c r="K15" s="3" t="n"/>
      <c r="L15" s="3" t="n"/>
      <c r="O15" s="3" t="inlineStr">
        <is>
          <t>Published</t>
        </is>
      </c>
      <c r="P15" s="12" t="n">
        <v>46300</v>
      </c>
      <c r="Q15" s="3" t="inlineStr">
        <is>
          <t>A-evidence</t>
        </is>
      </c>
      <c r="R15" s="3" t="inlineStr">
        <is>
          <t>§2 Methodology; thematic literature survey analyses selected sources, not data collected from or about people.</t>
        </is>
      </c>
      <c r="S15" s="3" t="n"/>
      <c r="T15" s="3" t="n"/>
      <c r="U15" s="3" t="n"/>
    </row>
    <row r="16" ht="42.75" customHeight="1" s="18">
      <c r="A16" s="5" t="inlineStr">
        <is>
          <t>S2-0098</t>
        </is>
      </c>
      <c r="B16" s="5" t="inlineStr">
        <is>
          <t>A</t>
        </is>
      </c>
      <c r="C16" s="3" t="inlineStr">
        <is>
          <t>Acharya, S.; Mekker, M.</t>
        </is>
      </c>
      <c r="D16" s="6" t="n">
        <v>2024</v>
      </c>
      <c r="E16" s="3" t="inlineStr">
        <is>
          <t>Acceptance and demand of autonomous vehicles for long-distance recreational travel: An investigation based on a survey of visitors to US national parks</t>
        </is>
      </c>
      <c r="F16" s="5" t="inlineStr">
        <is>
          <t>Journal article</t>
        </is>
      </c>
      <c r="G16" s="10" t="inlineStr">
        <is>
          <t>FT</t>
        </is>
      </c>
      <c r="H16" s="3" t="inlineStr">
        <is>
          <t>INCLUDE</t>
        </is>
      </c>
      <c r="I16" s="3" t="n"/>
      <c r="J16" s="3" t="inlineStr">
        <is>
          <t>Survey</t>
        </is>
      </c>
      <c r="K16" s="3" t="inlineStr">
        <is>
          <t>n=696; visitors to US national parks; United States; online Qualtrics survey; Summer 2022</t>
        </is>
      </c>
      <c r="L16" s="3" t="n"/>
      <c r="O16" s="3" t="inlineStr">
        <is>
          <t>Published</t>
        </is>
      </c>
      <c r="P16" s="12" t="n">
        <v>46300</v>
      </c>
      <c r="Q16" s="3" t="n"/>
      <c r="R16" s="3" t="inlineStr">
        <is>
          <t>§3–3.2, §5.2.2; 696 respondents assessed AV adoption and concern; concern included data privacy/security and AV sensor failure/design, and higher AV concern significantly reduced adoption intention.</t>
        </is>
      </c>
      <c r="S16" s="3" t="inlineStr">
        <is>
          <t>Y</t>
        </is>
      </c>
      <c r="T16" s="3" t="inlineStr">
        <is>
          <t>N</t>
        </is>
      </c>
      <c r="U16" s="3" t="inlineStr">
        <is>
          <t>Y</t>
        </is>
      </c>
    </row>
    <row r="17" ht="57" customHeight="1" s="18">
      <c r="A17" s="5" t="inlineStr">
        <is>
          <t>S2-0210</t>
        </is>
      </c>
      <c r="B17" s="5" t="inlineStr">
        <is>
          <t>A</t>
        </is>
      </c>
      <c r="C17" s="3" t="inlineStr">
        <is>
          <t>Usami, D.S.; Capkin, S.O.K.; Shevchenko, A.; Fondzenyuy, S.K.</t>
        </is>
      </c>
      <c r="D17" s="6" t="n">
        <v>2023</v>
      </c>
      <c r="E17" s="3" t="inlineStr">
        <is>
          <t>Acceptance of Automated Vehicles: Case Study of Drive2theFuture Project</t>
        </is>
      </c>
      <c r="F17" s="5" t="inlineStr">
        <is>
          <t>Conference paper</t>
        </is>
      </c>
      <c r="G17" s="10" t="inlineStr">
        <is>
          <t>FT</t>
        </is>
      </c>
      <c r="H17" s="3" t="inlineStr">
        <is>
          <t>INCLUDE</t>
        </is>
      </c>
      <c r="I17" s="3" t="n"/>
      <c r="J17" s="3" t="inlineStr">
        <is>
          <t>Survey</t>
        </is>
      </c>
      <c r="K17" s="3" t="inlineStr">
        <is>
          <t>n=3317 road-transport respondents; EU member and non-member countries; online Drive2theFuture pre-acceptance questionnaire; collection period not stated</t>
        </is>
      </c>
      <c r="L17" s="3" t="n"/>
      <c r="O17" s="3" t="inlineStr">
        <is>
          <t>Published</t>
        </is>
      </c>
      <c r="P17" s="12" t="n">
        <v>46300</v>
      </c>
      <c r="Q17" s="3" t="n"/>
      <c r="R17" s="3" t="inlineStr">
        <is>
          <t>§3–5.1; online questionnaire measured automated-road-vehicle acceptance, perceived risk and attitudes in 3317 respondents; privacy concerns were also reported as an acceptance-related factor.</t>
        </is>
      </c>
      <c r="S17" s="3" t="inlineStr">
        <is>
          <t>Y</t>
        </is>
      </c>
      <c r="T17" s="3" t="inlineStr">
        <is>
          <t>N</t>
        </is>
      </c>
      <c r="U17" s="3" t="inlineStr">
        <is>
          <t>N</t>
        </is>
      </c>
    </row>
    <row r="18" ht="28.5" customHeight="1" s="18">
      <c r="A18" s="5" t="inlineStr">
        <is>
          <t>S2-0134</t>
        </is>
      </c>
      <c r="B18" s="5" t="inlineStr">
        <is>
          <t>A</t>
        </is>
      </c>
      <c r="C18" s="3" t="inlineStr">
        <is>
          <t>Himmetoglu, S.; Zengin, E.N.; Özkök, O.; Kara, B.S.</t>
        </is>
      </c>
      <c r="D18" s="6" t="n">
        <v>2022</v>
      </c>
      <c r="E18" s="3" t="inlineStr">
        <is>
          <t>Acceptance of Autonomous Vehicles in Turkey</t>
        </is>
      </c>
      <c r="F18" s="5" t="inlineStr">
        <is>
          <t>Conference paper</t>
        </is>
      </c>
      <c r="G18" s="10" t="inlineStr">
        <is>
          <t>FT</t>
        </is>
      </c>
      <c r="H18" s="3" t="inlineStr">
        <is>
          <t>INCLUDE</t>
        </is>
      </c>
      <c r="I18" s="3" t="n"/>
      <c r="J18" s="3" t="inlineStr">
        <is>
          <t>Survey</t>
        </is>
      </c>
      <c r="K18" s="3" t="inlineStr">
        <is>
          <t>n=150; Turkish public; 95 male and 55 female participants; Turkey; online survey; collection period not stated</t>
        </is>
      </c>
      <c r="L18" s="3" t="n"/>
      <c r="O18" s="3" t="inlineStr">
        <is>
          <t>Published</t>
        </is>
      </c>
      <c r="P18" s="12" t="n">
        <v>46300</v>
      </c>
      <c r="Q18" s="3" t="n"/>
      <c r="R18" s="3" t="inlineStr">
        <is>
          <t>§2–4; online survey measured AV acceptance, trust, safety and cybersecurity concern; respondents were asked about hacking, system-security breaches and information/data theft, and the study found continuing safety/security trust concerns.</t>
        </is>
      </c>
      <c r="S18" s="3" t="inlineStr">
        <is>
          <t>Y</t>
        </is>
      </c>
      <c r="T18" s="3" t="inlineStr">
        <is>
          <t>N</t>
        </is>
      </c>
      <c r="U18" s="3" t="inlineStr">
        <is>
          <t>N</t>
        </is>
      </c>
    </row>
    <row r="19" ht="28.5" customHeight="1" s="18">
      <c r="A19" s="5" t="inlineStr">
        <is>
          <t>S2-0139</t>
        </is>
      </c>
      <c r="B19" s="5" t="inlineStr">
        <is>
          <t>A</t>
        </is>
      </c>
      <c r="C19" s="3" t="inlineStr">
        <is>
          <t>Jiang, Z.; Zheng, M.; Mondschein, A.</t>
        </is>
      </c>
      <c r="D19" s="6" t="n">
        <v>2022</v>
      </c>
      <c r="E19" s="3" t="inlineStr">
        <is>
          <t>Acceptance of driverless shuttles in pilot and non-pilot cities</t>
        </is>
      </c>
      <c r="F19" s="5" t="inlineStr">
        <is>
          <t>Journal article</t>
        </is>
      </c>
      <c r="G19" s="10" t="inlineStr">
        <is>
          <t>FT</t>
        </is>
      </c>
      <c r="H19" s="3" t="inlineStr">
        <is>
          <t>INCLUDE</t>
        </is>
      </c>
      <c r="I19" s="3" t="n"/>
      <c r="J19" s="3" t="inlineStr">
        <is>
          <t>Survey</t>
        </is>
      </c>
      <c r="K19" s="3" t="inlineStr">
        <is>
          <t>n=1800; residents of eight US cities; 900 pilot-city and 900 non-pilot-city respondents; United States; online Qualtrics panel; April 2020</t>
        </is>
      </c>
      <c r="L19" s="3" t="n"/>
      <c r="O19" s="3" t="inlineStr">
        <is>
          <t>Published</t>
        </is>
      </c>
      <c r="P19" s="12" t="n">
        <v>46300</v>
      </c>
      <c r="Q19" s="3" t="n"/>
      <c r="R19" s="3" t="inlineStr">
        <is>
          <t>§Data and methods–Results; survey measured driverless-shuttle acceptance and a software-security concern factor covering software bugs, hacking and location-data sharing; pilot-city respondents had lower security concerns, and security concerns negatively predicted adoption in non-pilot cities.</t>
        </is>
      </c>
      <c r="S19" s="3" t="inlineStr">
        <is>
          <t>Y</t>
        </is>
      </c>
      <c r="T19" s="3" t="inlineStr">
        <is>
          <t>N</t>
        </is>
      </c>
      <c r="U19" s="3" t="inlineStr">
        <is>
          <t>N</t>
        </is>
      </c>
    </row>
    <row r="20" ht="42.75" customHeight="1" s="18">
      <c r="A20" s="5" t="inlineStr">
        <is>
          <t>S2-0147</t>
        </is>
      </c>
      <c r="B20" s="5" t="inlineStr">
        <is>
          <t>A</t>
        </is>
      </c>
      <c r="C20" s="3" t="inlineStr">
        <is>
          <t>Man, S.S.; Ding, M.; Li, X.; Chan, A.H.S.; Zhang, T.</t>
        </is>
      </c>
      <c r="D20" s="6" t="n">
        <v>2025</v>
      </c>
      <c r="E20" s="3" t="inlineStr">
        <is>
          <t>Acceptance of Highly Automated Vehicles: The Role of Facilitating Condition, Technology Anxiety, Social Influence and Trust</t>
        </is>
      </c>
      <c r="F20" s="5" t="inlineStr">
        <is>
          <t>Journal article</t>
        </is>
      </c>
      <c r="G20" s="10" t="inlineStr">
        <is>
          <t>FT</t>
        </is>
      </c>
      <c r="H20" s="3" t="inlineStr">
        <is>
          <t>INCLUDE</t>
        </is>
      </c>
      <c r="I20" s="3" t="n"/>
      <c r="J20" s="3" t="inlineStr">
        <is>
          <t>Survey</t>
        </is>
      </c>
      <c r="K20" s="3" t="inlineStr">
        <is>
          <t>n=693; Chinese public; China; web-based Sojump questionnaire; collection year not stated</t>
        </is>
      </c>
      <c r="L20" s="3" t="n"/>
      <c r="O20" s="3" t="inlineStr">
        <is>
          <t>Published</t>
        </is>
      </c>
      <c r="P20" s="12" t="n">
        <v>46300</v>
      </c>
      <c r="Q20" s="3" t="n"/>
      <c r="R20" s="3" t="inlineStr">
        <is>
          <t>§3.1–4.2; web survey of 693 Chinese participants measured level-4 AV acceptance, technology anxiety and trust; anxiety reduced perceived usefulness.</t>
        </is>
      </c>
      <c r="S20" s="3" t="inlineStr">
        <is>
          <t>N</t>
        </is>
      </c>
      <c r="T20" s="3" t="inlineStr">
        <is>
          <t>N</t>
        </is>
      </c>
      <c r="U20" s="3" t="inlineStr">
        <is>
          <t>N</t>
        </is>
      </c>
    </row>
    <row r="21" ht="28.5" customHeight="1" s="18">
      <c r="A21" s="5" t="inlineStr">
        <is>
          <t>S2-0121</t>
        </is>
      </c>
      <c r="B21" s="5" t="inlineStr">
        <is>
          <t>A</t>
        </is>
      </c>
      <c r="C21" s="3" t="inlineStr">
        <is>
          <t>Papagni, G.; Zafari, S.; Schrammel, J.; Tscheligi, M.</t>
        </is>
      </c>
      <c r="D21" s="6" t="n">
        <v>2025</v>
      </c>
      <c r="E21" s="3" t="inlineStr">
        <is>
          <t>Acceptance of Automated Vehicles in Logistics and Beyond: A Survey-Based Investigation</t>
        </is>
      </c>
      <c r="F21" s="5" t="inlineStr">
        <is>
          <t>Conference paper</t>
        </is>
      </c>
      <c r="G21" s="10" t="inlineStr">
        <is>
          <t>FT</t>
        </is>
      </c>
      <c r="H21" s="3" t="inlineStr">
        <is>
          <t>INCLUDE</t>
        </is>
      </c>
      <c r="I21" s="3" t="n"/>
      <c r="J21" s="3" t="inlineStr">
        <is>
          <t>Mixed</t>
        </is>
      </c>
      <c r="K21" s="3" t="inlineStr">
        <is>
          <t>n=178; public and potential AV users; multinational, mainly French and Austrian; late Jan–mid-May 2024</t>
        </is>
      </c>
      <c r="L21" s="3" t="n"/>
      <c r="O21" s="3" t="inlineStr">
        <is>
          <t>Published</t>
        </is>
      </c>
      <c r="P21" s="12" t="n">
        <v>46300</v>
      </c>
      <c r="Q21" s="3" t="n"/>
      <c r="R21" s="3" t="inlineStr">
        <is>
          <t>§3.1–4.2; survey of 178 participants measured AV cyber-attack vulnerability, safety, trust and acceptance; older respondents reported greater security concern.</t>
        </is>
      </c>
      <c r="S21" s="3" t="inlineStr">
        <is>
          <t>Y</t>
        </is>
      </c>
      <c r="T21" s="3" t="inlineStr">
        <is>
          <t>N</t>
        </is>
      </c>
      <c r="U21" s="3" t="inlineStr">
        <is>
          <t>N</t>
        </is>
      </c>
    </row>
    <row r="22" ht="42.75" customHeight="1" s="18">
      <c r="A22" s="5" t="inlineStr">
        <is>
          <t>S2-0155</t>
        </is>
      </c>
      <c r="B22" s="5" t="inlineStr">
        <is>
          <t>A</t>
        </is>
      </c>
      <c r="C22" s="3" t="inlineStr">
        <is>
          <t>Seuwou, P.; Banissi, E.; Ubakanma, G.; Sharif, M.S.; Healey, A.</t>
        </is>
      </c>
      <c r="D22" s="6" t="n">
        <v>2016</v>
      </c>
      <c r="E22" s="3" t="inlineStr">
        <is>
          <t>Actor-network theory as a framework to analyse technology acceptance model’s external variables: The case of autonomous vehicles</t>
        </is>
      </c>
      <c r="F22" s="5" t="inlineStr">
        <is>
          <t>Conference paper</t>
        </is>
      </c>
      <c r="G22" s="10" t="inlineStr">
        <is>
          <t>FT</t>
        </is>
      </c>
      <c r="H22" s="3" t="inlineStr">
        <is>
          <t>INCLUDE</t>
        </is>
      </c>
      <c r="I22" s="3" t="n"/>
      <c r="J22" s="3" t="inlineStr">
        <is>
          <t>Mixed</t>
        </is>
      </c>
      <c r="K22" s="3" t="inlineStr">
        <is>
          <t>&gt;410 survey responses from potential self-driving-car users plus expert interviews; country/year collected not stated</t>
        </is>
      </c>
      <c r="L22" s="3" t="n"/>
      <c r="O22" s="3" t="inlineStr">
        <is>
          <t>Published</t>
        </is>
      </c>
      <c r="P22" s="12" t="n">
        <v>46300</v>
      </c>
      <c r="Q22" s="3" t="n"/>
      <c r="R22" s="3" t="inlineStr">
        <is>
          <t>Abstract, §7; &gt;410-person survey and expert interviews; findings link culture and social class to AV behavioural intention.</t>
        </is>
      </c>
      <c r="S22" s="3" t="inlineStr">
        <is>
          <t>N</t>
        </is>
      </c>
      <c r="T22" s="3" t="inlineStr">
        <is>
          <t>N</t>
        </is>
      </c>
      <c r="U22" s="3" t="inlineStr">
        <is>
          <t>N</t>
        </is>
      </c>
    </row>
    <row r="23" ht="28.5" customHeight="1" s="18">
      <c r="A23" s="5" t="inlineStr">
        <is>
          <t>S2-0100</t>
        </is>
      </c>
      <c r="B23" s="5" t="inlineStr">
        <is>
          <t>A</t>
        </is>
      </c>
      <c r="C23" s="3" t="inlineStr">
        <is>
          <t>Horowitz, M.C.; Kahn, L.; Macdonald, J.; Schneider, J.</t>
        </is>
      </c>
      <c r="D23" s="6" t="n">
        <v>2024</v>
      </c>
      <c r="E23" s="3" t="inlineStr">
        <is>
          <t>Adopting AI: how familiarity breeds both trust and contempt</t>
        </is>
      </c>
      <c r="F23" s="5" t="inlineStr">
        <is>
          <t>Journal article</t>
        </is>
      </c>
      <c r="G23" s="10" t="inlineStr">
        <is>
          <t>FT</t>
        </is>
      </c>
      <c r="H23" s="3" t="inlineStr">
        <is>
          <t>INCLUDE</t>
        </is>
      </c>
      <c r="I23" s="3" t="n"/>
      <c r="J23" s="3" t="inlineStr">
        <is>
          <t>Survey</t>
        </is>
      </c>
      <c r="K23" s="3" t="inlineStr">
        <is>
          <t>n=1000 in 2018 and n=1000 in 2020; representative US adults; United States; 2018 and 2020</t>
        </is>
      </c>
      <c r="L23" s="3" t="n"/>
      <c r="O23" s="3" t="inlineStr">
        <is>
          <t>Published</t>
        </is>
      </c>
      <c r="P23" s="12" t="n">
        <v>46300</v>
      </c>
      <c r="Q23" s="3" t="n"/>
      <c r="R23" s="3" t="inlineStr">
        <is>
          <t>§3–4, Fig. 1; two 1000-person US survey waves measured AV support, willingness to use and safety concern in 2018 and 2020.</t>
        </is>
      </c>
      <c r="S23" s="3" t="inlineStr">
        <is>
          <t>N</t>
        </is>
      </c>
      <c r="T23" s="3" t="inlineStr">
        <is>
          <t>Y</t>
        </is>
      </c>
      <c r="U23" s="3" t="inlineStr">
        <is>
          <t>N</t>
        </is>
      </c>
    </row>
    <row r="24" ht="28.5" customHeight="1" s="18">
      <c r="A24" s="5" t="inlineStr">
        <is>
          <t>S2-0290</t>
        </is>
      </c>
      <c r="B24" s="5" t="inlineStr">
        <is>
          <t>A</t>
        </is>
      </c>
      <c r="C24" s="3" t="inlineStr">
        <is>
          <t>Dagliyan, G.; Granados, N.F.; Russell, C.A.</t>
        </is>
      </c>
      <c r="D24" s="6" t="n">
        <v>2022</v>
      </c>
      <c r="E24" s="3" t="inlineStr">
        <is>
          <t>Adopting AI-Enabled Technology: Taking the Bad with the Good</t>
        </is>
      </c>
      <c r="F24" s="5" t="inlineStr">
        <is>
          <t>Conference paper</t>
        </is>
      </c>
      <c r="G24" s="10" t="inlineStr">
        <is>
          <t>FT</t>
        </is>
      </c>
      <c r="H24" s="3" t="inlineStr">
        <is>
          <t>INCLUDE</t>
        </is>
      </c>
      <c r="I24" s="3" t="n"/>
      <c r="J24" s="3" t="inlineStr">
        <is>
          <t>Survey</t>
        </is>
      </c>
      <c r="K24" s="3" t="inlineStr">
        <is>
          <t>n=1237; autonomous-vehicle non-users; United States; collection year not stated</t>
        </is>
      </c>
      <c r="L24" s="3" t="n"/>
      <c r="O24" s="3" t="inlineStr">
        <is>
          <t>Thesis</t>
        </is>
      </c>
      <c r="P24" s="12" t="n">
        <v>46300</v>
      </c>
      <c r="Q24" s="3" t="n"/>
      <c r="R24" s="3" t="inlineStr">
        <is>
          <t>§3, Tables 15 and 40; 1237 U.S. AV non-users surveyed; perceived privacy risk and intention to use were measured.</t>
        </is>
      </c>
      <c r="S24" s="3" t="inlineStr">
        <is>
          <t>Y</t>
        </is>
      </c>
      <c r="T24" s="3" t="inlineStr">
        <is>
          <t>N</t>
        </is>
      </c>
      <c r="U24" s="3" t="inlineStr">
        <is>
          <t>N</t>
        </is>
      </c>
    </row>
    <row r="25" ht="28.5" customHeight="1" s="18">
      <c r="A25" s="5" t="inlineStr">
        <is>
          <t>S2-0204</t>
        </is>
      </c>
      <c r="B25" s="5" t="inlineStr">
        <is>
          <t>A</t>
        </is>
      </c>
      <c r="C25" s="3" t="inlineStr">
        <is>
          <t>Wang, F.; Wang, S.; Wei, J.; Fang, F.; Ma, N.</t>
        </is>
      </c>
      <c r="D25" s="6" t="n">
        <v>2025</v>
      </c>
      <c r="E25" s="3" t="inlineStr">
        <is>
          <t>Adoption of coping behaviours: public response to data security risks of intelligent connected vehicles in China</t>
        </is>
      </c>
      <c r="F25" s="5" t="inlineStr">
        <is>
          <t>Journal article</t>
        </is>
      </c>
      <c r="G25" s="10" t="inlineStr">
        <is>
          <t>FT</t>
        </is>
      </c>
      <c r="H25" s="3" t="inlineStr">
        <is>
          <t>INCLUDE</t>
        </is>
      </c>
      <c r="I25" s="3" t="n"/>
      <c r="J25" s="3" t="inlineStr">
        <is>
          <t>Survey</t>
        </is>
      </c>
      <c r="K25" s="3" t="inlineStr">
        <is>
          <t>n=523; intelligent connected vehicle users; China; year collected not stated</t>
        </is>
      </c>
      <c r="L25" s="3" t="n"/>
      <c r="O25" s="3" t="inlineStr">
        <is>
          <t>Published</t>
        </is>
      </c>
      <c r="P25" s="12" t="n">
        <v>46300</v>
      </c>
      <c r="Q25" s="3" t="n"/>
      <c r="R25" s="3" t="inlineStr">
        <is>
          <t>§3.1–3.2; 523 Chinese ICV users surveyed on data-security risk perception and coping behaviours, including prior leakage/hacking experience.</t>
        </is>
      </c>
      <c r="S25" s="3" t="inlineStr">
        <is>
          <t>Y</t>
        </is>
      </c>
      <c r="T25" s="3" t="inlineStr">
        <is>
          <t>N</t>
        </is>
      </c>
      <c r="U25" s="3" t="inlineStr">
        <is>
          <t>N</t>
        </is>
      </c>
    </row>
    <row r="26" ht="42.75" customHeight="1" s="18">
      <c r="A26" s="5" t="inlineStr">
        <is>
          <t>S2-0086</t>
        </is>
      </c>
      <c r="B26" s="5" t="inlineStr">
        <is>
          <t>A</t>
        </is>
      </c>
      <c r="C26" s="3" t="inlineStr">
        <is>
          <t>Weiss, E.; Fisher Thiel, M.; Sultana, N.; Hannan, C.; Seacrist, T.</t>
        </is>
      </c>
      <c r="D26" s="6" t="n">
        <v>2018</v>
      </c>
      <c r="E26" s="3" t="inlineStr">
        <is>
          <t>Advanced driver assistance systems for teen drivers: Teen and parent impressions, perceived need, and intervention preferences</t>
        </is>
      </c>
      <c r="F26" s="5" t="inlineStr">
        <is>
          <t>Journal article</t>
        </is>
      </c>
      <c r="G26" s="10" t="inlineStr">
        <is>
          <t>FT</t>
        </is>
      </c>
      <c r="H26" s="3" t="inlineStr">
        <is>
          <t>INCLUDE</t>
        </is>
      </c>
      <c r="I26" s="3" t="n"/>
      <c r="J26" s="3" t="inlineStr">
        <is>
          <t>Interview/focus group</t>
        </is>
      </c>
      <c r="K26" s="3" t="inlineStr">
        <is>
          <t>n=36; 24 licensed teen drivers aged 16–19 and 12 parents; United States; year collected not stated</t>
        </is>
      </c>
      <c r="L26" s="3" t="n"/>
      <c r="O26" s="3" t="inlineStr">
        <is>
          <t>Published</t>
        </is>
      </c>
      <c r="P26" s="12" t="n">
        <v>46300</v>
      </c>
      <c r="Q26" s="3" t="n"/>
      <c r="R26" s="3" t="inlineStr">
        <is>
          <t>§Methods–Results; five focus groups with 24 teen drivers and 12 parents examined ADAS trust, data privacy, cybersecurity and feature-specific preferences.</t>
        </is>
      </c>
      <c r="S26" s="3" t="inlineStr">
        <is>
          <t>Y</t>
        </is>
      </c>
      <c r="T26" s="3" t="inlineStr">
        <is>
          <t>N</t>
        </is>
      </c>
      <c r="U26" s="3" t="inlineStr">
        <is>
          <t>Y</t>
        </is>
      </c>
    </row>
    <row r="27" ht="42.75" customHeight="1" s="18">
      <c r="A27" s="5" t="inlineStr">
        <is>
          <t>S2-0287</t>
        </is>
      </c>
      <c r="B27" s="5" t="inlineStr">
        <is>
          <t>A</t>
        </is>
      </c>
      <c r="C27" s="3" t="inlineStr">
        <is>
          <t>Hafiz, D.; Hou, Q.; Zohdy, I.</t>
        </is>
      </c>
      <c r="D27" s="6" t="n">
        <v>2025</v>
      </c>
      <c r="E27" s="3" t="inlineStr">
        <is>
          <t>Advancing Sustainable Urban Mobility: Public Acceptance and Perceived Risks of Autonomous Vehicle Deployment in Dubai</t>
        </is>
      </c>
      <c r="F27" s="5" t="inlineStr">
        <is>
          <t>Journal article</t>
        </is>
      </c>
      <c r="G27" s="10" t="inlineStr">
        <is>
          <t>FT</t>
        </is>
      </c>
      <c r="H27" s="3" t="inlineStr">
        <is>
          <t>INCLUDE</t>
        </is>
      </c>
      <c r="I27" s="3" t="n"/>
      <c r="J27" s="3" t="inlineStr">
        <is>
          <t>Mixed</t>
        </is>
      </c>
      <c r="K27" s="3" t="inlineStr">
        <is>
          <t>n=302; Dubai residents aged 18+; Dubai, UAE; online survey; Dec 2024–Feb 2025</t>
        </is>
      </c>
      <c r="L27" s="3" t="n"/>
      <c r="O27" s="3" t="inlineStr">
        <is>
          <t>Published</t>
        </is>
      </c>
      <c r="P27" s="12" t="n">
        <v>46300</v>
      </c>
      <c r="Q27" s="3" t="n"/>
      <c r="R27" s="3" t="inlineStr">
        <is>
          <t>§6.2–6.3; 302 Dubai residents assessed AV acceptance and cyber risk; hacking concern was the strongest negative predictor of behavioural intention.</t>
        </is>
      </c>
      <c r="S27" s="3" t="inlineStr">
        <is>
          <t>Y</t>
        </is>
      </c>
      <c r="T27" s="3" t="inlineStr">
        <is>
          <t>N</t>
        </is>
      </c>
      <c r="U27" s="3" t="inlineStr">
        <is>
          <t>N</t>
        </is>
      </c>
    </row>
    <row r="28" ht="42.75" customHeight="1" s="18">
      <c r="A28" s="5" t="inlineStr">
        <is>
          <t>S2-0151</t>
        </is>
      </c>
      <c r="B28" s="5" t="inlineStr">
        <is>
          <t>A</t>
        </is>
      </c>
      <c r="C28" s="3" t="inlineStr">
        <is>
          <t>Ehsani, J.P.; Michael, J.P.; Igusa, T.; Mueller, J.; Chang, C.-H.; Yenokyan, G.</t>
        </is>
      </c>
      <c r="D28" s="6" t="n">
        <v>2024</v>
      </c>
      <c r="E28" s="3" t="inlineStr">
        <is>
          <t>Advancing Transportation Equity and Safety Through Autonomous Vehicles</t>
        </is>
      </c>
      <c r="F28" s="5" t="inlineStr">
        <is>
          <t>Journal article</t>
        </is>
      </c>
      <c r="G28" s="10" t="inlineStr">
        <is>
          <t>FT</t>
        </is>
      </c>
      <c r="H28" s="3" t="inlineStr">
        <is>
          <t>INCLUDE</t>
        </is>
      </c>
      <c r="I28" s="3" t="n"/>
      <c r="J28" s="3" t="inlineStr">
        <is>
          <t>Experiment</t>
        </is>
      </c>
      <c r="K28" s="3" t="inlineStr">
        <is>
          <t>n=2265; nationally representative U.S. adults; United States; 4 May–10 Jun 2022</t>
        </is>
      </c>
      <c r="L28" s="3" t="n"/>
      <c r="O28" s="3" t="inlineStr">
        <is>
          <t>Published</t>
        </is>
      </c>
      <c r="P28" s="12" t="n">
        <v>46300</v>
      </c>
      <c r="Q28" s="3" t="n"/>
      <c r="R28" s="3" t="inlineStr">
        <is>
          <t>§Maximizing Impact–Broadening Support; nationally representative experiment measured AV support before and after social-benefit scenarios; baseline support 26.4%, rising to 49.7–54.3%.</t>
        </is>
      </c>
      <c r="S28" s="3" t="inlineStr">
        <is>
          <t>N</t>
        </is>
      </c>
      <c r="T28" s="3" t="inlineStr">
        <is>
          <t>N</t>
        </is>
      </c>
      <c r="U28" s="3" t="inlineStr">
        <is>
          <t>N</t>
        </is>
      </c>
    </row>
    <row r="29" ht="42.75" customHeight="1" s="18">
      <c r="A29" s="5" t="inlineStr">
        <is>
          <t>S2-0284</t>
        </is>
      </c>
      <c r="B29" s="5" t="inlineStr">
        <is>
          <t>A</t>
        </is>
      </c>
      <c r="C29" s="3" t="inlineStr">
        <is>
          <t>Jacob, A.; Ahrens, A.; Zascerinska, J.; Benavente-Peces, C.</t>
        </is>
      </c>
      <c r="D29" s="6" t="n">
        <v>2020</v>
      </c>
      <c r="E29" s="3" t="inlineStr">
        <is>
          <t>AHP-based evaluation of the acceptance of autonomous driving</t>
        </is>
      </c>
      <c r="F29" s="5" t="inlineStr">
        <is>
          <t>Conference paper</t>
        </is>
      </c>
      <c r="G29" s="10" t="inlineStr">
        <is>
          <t>FT</t>
        </is>
      </c>
      <c r="H29" s="3" t="inlineStr">
        <is>
          <t>INCLUDE</t>
        </is>
      </c>
      <c r="I29" s="3" t="n"/>
      <c r="J29" s="3" t="inlineStr">
        <is>
          <t>Secondary data</t>
        </is>
      </c>
      <c r="K29" s="3" t="inlineStr">
        <is>
          <t>n not stated; Deloitte survey respondents; Germany; 2016 survey/report</t>
        </is>
      </c>
      <c r="L29" s="3" t="n"/>
      <c r="O29" s="3" t="inlineStr">
        <is>
          <t>Published</t>
        </is>
      </c>
      <c r="P29" s="12" t="n">
        <v>46300</v>
      </c>
      <c r="Q29" s="3" t="n"/>
      <c r="R29" s="3" t="inlineStr">
        <is>
          <t>§3–4; Deloitte survey data analysed by AHP; participants prioritised security/safety and rated named factors including sensors and vehicle communications.</t>
        </is>
      </c>
      <c r="S29" s="3" t="inlineStr">
        <is>
          <t>Y</t>
        </is>
      </c>
      <c r="T29" s="3" t="inlineStr">
        <is>
          <t>N</t>
        </is>
      </c>
      <c r="U29" s="3" t="inlineStr">
        <is>
          <t>Y</t>
        </is>
      </c>
    </row>
    <row r="30" ht="42.75" customHeight="1" s="18">
      <c r="A30" s="5" t="inlineStr">
        <is>
          <t>S2-0237</t>
        </is>
      </c>
      <c r="B30" s="5" t="inlineStr">
        <is>
          <t>A</t>
        </is>
      </c>
      <c r="C30" s="3" t="inlineStr">
        <is>
          <t>Ni, W.; Cheng, K.; Wang, F.; Fang, F.</t>
        </is>
      </c>
      <c r="D30" s="6" t="n">
        <v>2025</v>
      </c>
      <c r="E30" s="3" t="inlineStr">
        <is>
          <t>An empirical study of data security risks in China's intelligent connected vehicles: Public information processing and behavioral intentions</t>
        </is>
      </c>
      <c r="F30" s="5" t="inlineStr">
        <is>
          <t>Journal article</t>
        </is>
      </c>
      <c r="G30" s="10" t="inlineStr">
        <is>
          <t>FT</t>
        </is>
      </c>
      <c r="H30" s="3" t="inlineStr">
        <is>
          <t>INCLUDE</t>
        </is>
      </c>
      <c r="I30" s="3" t="n"/>
      <c r="J30" s="3" t="inlineStr">
        <is>
          <t>Survey</t>
        </is>
      </c>
      <c r="K30" s="3" t="inlineStr">
        <is>
          <t>n=468; NIO vehicle owners; China; 15 Dec 2024–10 Jan 2025</t>
        </is>
      </c>
      <c r="L30" s="3" t="n"/>
      <c r="O30" s="3" t="inlineStr">
        <is>
          <t>Published</t>
        </is>
      </c>
      <c r="P30" s="12" t="n">
        <v>46300</v>
      </c>
      <c r="Q30" s="3" t="n"/>
      <c r="R30" s="3" t="inlineStr">
        <is>
          <t>§3.1–4; 468 NIO owners surveyed on ICV data-security risk perception and behavioural intentions; product knowledge was strongest predictor of behavioural intentions.</t>
        </is>
      </c>
      <c r="S30" s="3" t="inlineStr">
        <is>
          <t>Y</t>
        </is>
      </c>
      <c r="T30" s="3" t="inlineStr">
        <is>
          <t>N</t>
        </is>
      </c>
      <c r="U30" s="3" t="inlineStr">
        <is>
          <t>N</t>
        </is>
      </c>
    </row>
    <row r="31" ht="28.5" customHeight="1" s="18">
      <c r="A31" s="5" t="inlineStr">
        <is>
          <t>S2-0215</t>
        </is>
      </c>
      <c r="B31" s="5" t="inlineStr">
        <is>
          <t>A</t>
        </is>
      </c>
      <c r="C31" s="3" t="inlineStr">
        <is>
          <t>Aldakkhelallah, A.A.A.; Todorovic, M.; Simic, M.</t>
        </is>
      </c>
      <c r="D31" s="6" t="n">
        <v>2023</v>
      </c>
      <c r="E31" s="3" t="inlineStr">
        <is>
          <t>An Investigation in Autonomous Vehicles Acceptance</t>
        </is>
      </c>
      <c r="F31" s="5" t="inlineStr">
        <is>
          <t>Conference paper</t>
        </is>
      </c>
      <c r="G31" s="10" t="inlineStr">
        <is>
          <t>FT</t>
        </is>
      </c>
      <c r="H31" s="3" t="inlineStr">
        <is>
          <t>INCLUDE</t>
        </is>
      </c>
      <c r="I31" s="3" t="n"/>
      <c r="J31" s="3" t="inlineStr">
        <is>
          <t>Survey</t>
        </is>
      </c>
      <c r="K31" s="3" t="inlineStr">
        <is>
          <t>n=108 usable responses; Australian public and stakeholders; Australia; 2023</t>
        </is>
      </c>
      <c r="L31" s="3" t="n"/>
      <c r="O31" s="3" t="inlineStr">
        <is>
          <t>Published</t>
        </is>
      </c>
      <c r="P31" s="12" t="n">
        <v>46300</v>
      </c>
      <c r="Q31" s="3" t="n"/>
      <c r="R31" s="3" t="inlineStr">
        <is>
          <t>§3–4; Australian survey measured AV acceptance, benefits and risks; respondents reported awareness of safety and security risks.</t>
        </is>
      </c>
      <c r="S31" s="3" t="inlineStr">
        <is>
          <t>Y</t>
        </is>
      </c>
      <c r="T31" s="3" t="inlineStr">
        <is>
          <t>N</t>
        </is>
      </c>
      <c r="U31" s="3" t="inlineStr">
        <is>
          <t>N</t>
        </is>
      </c>
    </row>
    <row r="32" ht="42.75" customHeight="1" s="18">
      <c r="A32" s="5" t="inlineStr">
        <is>
          <t>S2-0167</t>
        </is>
      </c>
      <c r="B32" s="5" t="inlineStr">
        <is>
          <t>A</t>
        </is>
      </c>
      <c r="C32" s="3" t="inlineStr">
        <is>
          <t>Abbasi, M.; Mamdoohi, A.R.; Ciari, F.; Sierpiński, G.</t>
        </is>
      </c>
      <c r="D32" s="6" t="n">
        <v>2024</v>
      </c>
      <c r="E32" s="3" t="inlineStr">
        <is>
          <t>An investigation of perceived risk dimensions in acceptability of shared autonomous vehicles, a mediation-moderation analysis</t>
        </is>
      </c>
      <c r="F32" s="5" t="inlineStr">
        <is>
          <t>Journal article</t>
        </is>
      </c>
      <c r="G32" s="10" t="inlineStr">
        <is>
          <t>FT</t>
        </is>
      </c>
      <c r="H32" s="3" t="inlineStr">
        <is>
          <t>INCLUDE</t>
        </is>
      </c>
      <c r="I32" s="3" t="n"/>
      <c r="J32" s="3" t="inlineStr">
        <is>
          <t>Survey</t>
        </is>
      </c>
      <c r="K32" s="3" t="inlineStr">
        <is>
          <t>n=723; Tehran residents aged 18+; Tehran, Iran; online Epoll survey; Jul–Aug 2021</t>
        </is>
      </c>
      <c r="L32" s="3" t="n"/>
      <c r="O32" s="3" t="inlineStr">
        <is>
          <t>Published</t>
        </is>
      </c>
      <c r="P32" s="12" t="n">
        <v>46300</v>
      </c>
      <c r="Q32" s="3" t="n"/>
      <c r="R32" s="3" t="inlineStr">
        <is>
          <t>§Research methodology–Data analysis; 723 respondents assessed SAVWRS perceived risks, trust and usage intention; security risk significantly reduced intention and was fully mediated by trust.</t>
        </is>
      </c>
      <c r="S32" s="3" t="inlineStr">
        <is>
          <t>Y</t>
        </is>
      </c>
      <c r="T32" s="3" t="inlineStr">
        <is>
          <t>N</t>
        </is>
      </c>
      <c r="U32" s="3" t="inlineStr">
        <is>
          <t>N</t>
        </is>
      </c>
    </row>
    <row r="33" ht="71.25" customHeight="1" s="18">
      <c r="A33" s="5" t="inlineStr">
        <is>
          <t>S2-0059</t>
        </is>
      </c>
      <c r="B33" s="5" t="inlineStr">
        <is>
          <t>A</t>
        </is>
      </c>
      <c r="C33" s="3" t="inlineStr">
        <is>
          <t>A. U. Rehman; A. Ghaffarianhoseini; N. Naismith; J. Tookey; A. Ghaffarianhoseini; S. Urréhman</t>
        </is>
      </c>
      <c r="D33" s="6" t="n">
        <v>2021</v>
      </c>
      <c r="E33" s="3" t="inlineStr">
        <is>
          <t>Ascertaining Factors Affecting Autonomous Driving in New Zealand - A Framework for HMI Design</t>
        </is>
      </c>
      <c r="F33" s="5" t="inlineStr">
        <is>
          <t>Conference paper</t>
        </is>
      </c>
      <c r="G33" s="10" t="inlineStr">
        <is>
          <t>FT</t>
        </is>
      </c>
      <c r="H33" s="3" t="inlineStr">
        <is>
          <t>INCLUDE</t>
        </is>
      </c>
      <c r="I33" s="3" t="n"/>
      <c r="J33" s="3" t="inlineStr">
        <is>
          <t>Mixed</t>
        </is>
      </c>
      <c r="K33" s="3" t="inlineStr">
        <is>
          <t>n=6 licensed drivers aged 23–45; Auckland, New Zealand; expert interview n not stated; year collected not stated</t>
        </is>
      </c>
      <c r="L33" s="3" t="n"/>
      <c r="O33" s="3" t="inlineStr">
        <is>
          <t>Published</t>
        </is>
      </c>
      <c r="P33" s="12" t="n">
        <v>46300</v>
      </c>
      <c r="Q33" s="3" t="n"/>
      <c r="R33" s="3" t="inlineStr">
        <is>
          <t>§II–III, Table II; six-driver real-road user study and expert interviews measured trust, privacy and security; trust increased after driving.</t>
        </is>
      </c>
      <c r="S33" s="3" t="inlineStr">
        <is>
          <t>Y</t>
        </is>
      </c>
      <c r="T33" s="3" t="inlineStr">
        <is>
          <t>Y</t>
        </is>
      </c>
      <c r="U33" s="3" t="inlineStr">
        <is>
          <t>N</t>
        </is>
      </c>
    </row>
    <row r="34" ht="42.75" customHeight="1" s="18">
      <c r="A34" s="5" t="inlineStr">
        <is>
          <t>S2-0135</t>
        </is>
      </c>
      <c r="B34" s="5" t="inlineStr">
        <is>
          <t>A</t>
        </is>
      </c>
      <c r="C34" s="3" t="inlineStr">
        <is>
          <t>Chen, Y.; Khalid Khan, S.; Shiwakoti, N.; Stasinopoulos, P.; Aghabayk, K.</t>
        </is>
      </c>
      <c r="D34" s="6" t="n">
        <v>2023</v>
      </c>
      <c r="E34" s="3" t="inlineStr">
        <is>
          <t>Analysis of Australian public acceptance of fully automated vehicles by extending technology acceptance model</t>
        </is>
      </c>
      <c r="F34" s="5" t="inlineStr">
        <is>
          <t>Journal article</t>
        </is>
      </c>
      <c r="G34" s="10" t="inlineStr">
        <is>
          <t>FT</t>
        </is>
      </c>
      <c r="H34" s="3" t="inlineStr">
        <is>
          <t>INCLUDE</t>
        </is>
      </c>
      <c r="I34" s="3" t="n"/>
      <c r="J34" s="3" t="inlineStr">
        <is>
          <t>Survey</t>
        </is>
      </c>
      <c r="K34" s="3" t="inlineStr">
        <is>
          <t>n=809; Australian adults aged 18+; Australia; mid-Oct–early Nov 2022</t>
        </is>
      </c>
      <c r="L34" s="3" t="n"/>
      <c r="O34" s="3" t="inlineStr">
        <is>
          <t>Published</t>
        </is>
      </c>
      <c r="P34" s="12" t="n">
        <v>46300</v>
      </c>
      <c r="Q34" s="3" t="n"/>
      <c r="R34" s="3" t="inlineStr">
        <is>
          <t>§4–5; 809 Australian adults surveyed; perceived data privacy significantly predicted trust, attitude and behavioural intention toward fully automated vehicles.</t>
        </is>
      </c>
      <c r="S34" s="3" t="inlineStr">
        <is>
          <t>Y</t>
        </is>
      </c>
      <c r="T34" s="3" t="inlineStr">
        <is>
          <t>N</t>
        </is>
      </c>
      <c r="U34" s="3" t="inlineStr">
        <is>
          <t>N</t>
        </is>
      </c>
    </row>
    <row r="35" ht="57" customHeight="1" s="18">
      <c r="A35" s="5" t="inlineStr">
        <is>
          <t>S2-0244</t>
        </is>
      </c>
      <c r="B35" s="5" t="inlineStr">
        <is>
          <t>A</t>
        </is>
      </c>
      <c r="C35" s="3" t="inlineStr">
        <is>
          <t>Ahmed, S.S.; Pantangi, S.S.; Eker, U.; Fountas, G.; Still, S.E.; Anastasopoulos, P.C.</t>
        </is>
      </c>
      <c r="D35" s="6" t="n">
        <v>2020</v>
      </c>
      <c r="E35" s="3" t="inlineStr">
        <is>
          <t>Analysis of safety benefits and security concerns from the use of autonomous vehicles: A grouped random parameters bivariate probit approach with heterogeneity in means</t>
        </is>
      </c>
      <c r="F35" s="5" t="inlineStr">
        <is>
          <t>Journal article</t>
        </is>
      </c>
      <c r="G35" s="10" t="inlineStr">
        <is>
          <t>FT</t>
        </is>
      </c>
      <c r="H35" s="3" t="inlineStr">
        <is>
          <t>INCLUDE</t>
        </is>
      </c>
      <c r="I35" s="3" t="n"/>
      <c r="J35" s="3" t="inlineStr">
        <is>
          <t>Survey</t>
        </is>
      </c>
      <c r="K35" s="3" t="inlineStr">
        <is>
          <t>n=584; US respondents; United States; online SurveyMonkey survey; Mar 2017</t>
        </is>
      </c>
      <c r="L35" s="3" t="n"/>
      <c r="O35" s="3" t="inlineStr">
        <is>
          <t>Published</t>
        </is>
      </c>
      <c r="P35" s="12" t="n">
        <v>46300</v>
      </c>
      <c r="Q35" s="3" t="n"/>
      <c r="R35" s="3" t="inlineStr">
        <is>
          <t>§2.1–2.2, Table 1; 584-person survey measured AV safety, hacking and personal-information privacy concerns; privacy was the most prevalent concern.</t>
        </is>
      </c>
      <c r="S35" s="3" t="inlineStr">
        <is>
          <t>Y</t>
        </is>
      </c>
      <c r="T35" s="3" t="inlineStr">
        <is>
          <t>N</t>
        </is>
      </c>
      <c r="U35" s="3" t="inlineStr">
        <is>
          <t>N</t>
        </is>
      </c>
    </row>
    <row r="36" ht="28.5" customHeight="1" s="18">
      <c r="A36" s="5" t="inlineStr">
        <is>
          <t>S2-0236</t>
        </is>
      </c>
      <c r="B36" s="5" t="inlineStr">
        <is>
          <t>A</t>
        </is>
      </c>
      <c r="C36" s="3" t="inlineStr">
        <is>
          <t>Wang, N.; Tang, H.; Wang, Y.-J.; Huang, G.Q.</t>
        </is>
      </c>
      <c r="D36" s="6" t="n">
        <v>2024</v>
      </c>
      <c r="E36" s="3" t="inlineStr">
        <is>
          <t>Antecedents in rural residents' acceptance of autonomous vehicles</t>
        </is>
      </c>
      <c r="F36" s="5" t="inlineStr">
        <is>
          <t>Journal article</t>
        </is>
      </c>
      <c r="G36" s="10" t="inlineStr">
        <is>
          <t>FT</t>
        </is>
      </c>
      <c r="H36" s="3" t="inlineStr">
        <is>
          <t>INCLUDE</t>
        </is>
      </c>
      <c r="I36" s="3" t="n"/>
      <c r="J36" s="3" t="inlineStr">
        <is>
          <t>Survey</t>
        </is>
      </c>
      <c r="K36" s="3" t="inlineStr">
        <is>
          <t>n=891 valid; rural residents aged 18+; rural China; web-based questionnaire; 4–14 Aug 2022</t>
        </is>
      </c>
      <c r="L36" s="3" t="n"/>
      <c r="O36" s="3" t="inlineStr">
        <is>
          <t>Published</t>
        </is>
      </c>
      <c r="P36" s="12" t="n">
        <v>46300</v>
      </c>
      <c r="Q36" s="3" t="n"/>
      <c r="R36" s="3" t="inlineStr">
        <is>
          <t>§3.3–4.3, Table 7; 891 rural Chinese residents surveyed; loss of privacy significantly reduced behavioural intention to adopt AVs.</t>
        </is>
      </c>
      <c r="S36" s="3" t="inlineStr">
        <is>
          <t>Y</t>
        </is>
      </c>
      <c r="T36" s="3" t="inlineStr">
        <is>
          <t>N</t>
        </is>
      </c>
      <c r="U36" s="3" t="inlineStr">
        <is>
          <t>N</t>
        </is>
      </c>
    </row>
    <row r="37" ht="57" customHeight="1" s="18">
      <c r="A37" s="5" t="inlineStr">
        <is>
          <t>S2-0246</t>
        </is>
      </c>
      <c r="B37" s="5" t="inlineStr">
        <is>
          <t>A</t>
        </is>
      </c>
      <c r="C37" s="3" t="inlineStr">
        <is>
          <t>Poveda‐reyes, S.; Malviya, A.K.; García‐jiménez, E.; Molero, G.D.; Leva, M.C.; Santarremigia, F.E.</t>
        </is>
      </c>
      <c r="D37" s="6" t="n">
        <v>2021</v>
      </c>
      <c r="E37" s="3" t="inlineStr">
        <is>
          <t>Application of mathematical and computational methods to identify women’s priorities in transport</t>
        </is>
      </c>
      <c r="F37" s="5" t="inlineStr">
        <is>
          <t>Journal article</t>
        </is>
      </c>
      <c r="G37" s="10" t="inlineStr">
        <is>
          <t>FT</t>
        </is>
      </c>
      <c r="H37" s="3" t="inlineStr">
        <is>
          <t>INCLUDE</t>
        </is>
      </c>
      <c r="I37" s="3" t="n"/>
      <c r="J37" s="3" t="inlineStr">
        <is>
          <t>Survey</t>
        </is>
      </c>
      <c r="K37" s="3" t="inlineStr">
        <is>
          <t>n=116; European respondents; online survey in six languages; collection period not stated</t>
        </is>
      </c>
      <c r="L37" s="3" t="n"/>
      <c r="O37" s="3" t="inlineStr">
        <is>
          <t>Published</t>
        </is>
      </c>
      <c r="P37" s="12" t="n">
        <v>46300</v>
      </c>
      <c r="Q37" s="3" t="n"/>
      <c r="R37" s="3" t="inlineStr">
        <is>
          <t>§4.2, Fig. 7; 116 European respondents ranked AV acceptance factors; simultaneity and trust in technology were highest priorities.</t>
        </is>
      </c>
      <c r="S37" s="3" t="inlineStr">
        <is>
          <t>N</t>
        </is>
      </c>
      <c r="T37" s="3" t="inlineStr">
        <is>
          <t>N</t>
        </is>
      </c>
      <c r="U37" s="3" t="inlineStr">
        <is>
          <t>N</t>
        </is>
      </c>
    </row>
    <row r="38" ht="28.5" customHeight="1" s="18">
      <c r="A38" s="5" t="inlineStr">
        <is>
          <t>S2-0248</t>
        </is>
      </c>
      <c r="B38" s="5" t="inlineStr">
        <is>
          <t>A</t>
        </is>
      </c>
      <c r="C38" s="3" t="inlineStr">
        <is>
          <t>Wintersberger, S.; Azmat, M.; Kummer, S.</t>
        </is>
      </c>
      <c r="D38" s="6" t="n">
        <v>2019</v>
      </c>
      <c r="E38" s="3" t="inlineStr">
        <is>
          <t>Are We Ready to Ride Autonomous Vehicles? A Pilot Study on Austrian Consumers’ Perspective</t>
        </is>
      </c>
      <c r="F38" s="5" t="inlineStr">
        <is>
          <t>Journal article</t>
        </is>
      </c>
      <c r="G38" s="10" t="inlineStr">
        <is>
          <t>FT</t>
        </is>
      </c>
      <c r="H38" s="3" t="inlineStr">
        <is>
          <t>INCLUDE</t>
        </is>
      </c>
      <c r="I38" s="3" t="n"/>
      <c r="J38" s="3" t="inlineStr">
        <is>
          <t>Survey</t>
        </is>
      </c>
      <c r="K38" s="3" t="inlineStr">
        <is>
          <t>n=192; Austrian consumers; Austria; anonymous online LimeSurvey questionnaire in German and English; collection period not stated</t>
        </is>
      </c>
      <c r="L38" s="3" t="n"/>
      <c r="O38" s="3" t="inlineStr">
        <is>
          <t>Published</t>
        </is>
      </c>
      <c r="P38" s="12" t="n">
        <v>46300</v>
      </c>
      <c r="Q38" s="3" t="n"/>
      <c r="R38" s="3" t="inlineStr">
        <is>
          <t>§3–4, Table 6; 192 Austrian consumers surveyed on AV acceptance and concerns; cybersecurity concern was directly measured and averaged 3.82/5.</t>
        </is>
      </c>
      <c r="S38" s="3" t="inlineStr">
        <is>
          <t>Y</t>
        </is>
      </c>
      <c r="T38" s="3" t="inlineStr">
        <is>
          <t>N</t>
        </is>
      </c>
      <c r="U38" s="3" t="inlineStr">
        <is>
          <t>N</t>
        </is>
      </c>
    </row>
    <row r="39" ht="28.5" customHeight="1" s="18">
      <c r="A39" s="5" t="inlineStr">
        <is>
          <t>S2-0002</t>
        </is>
      </c>
      <c r="B39" s="5" t="inlineStr">
        <is>
          <t>A</t>
        </is>
      </c>
      <c r="C39" s="3" t="inlineStr">
        <is>
          <t>A. Alahmadi; S. Elhag; M. Meccawy</t>
        </is>
      </c>
      <c r="D39" s="6" t="n">
        <v>2025</v>
      </c>
      <c r="E39" s="3" t="inlineStr">
        <is>
          <t>Assessing Public Acceptance of Autonomous Vehicles in Saudi Arabia</t>
        </is>
      </c>
      <c r="F39" s="5" t="inlineStr">
        <is>
          <t>Conference paper</t>
        </is>
      </c>
      <c r="G39" s="10" t="inlineStr">
        <is>
          <t>FT</t>
        </is>
      </c>
      <c r="H39" s="3" t="inlineStr">
        <is>
          <t>INCLUDE</t>
        </is>
      </c>
      <c r="I39" s="3" t="n"/>
      <c r="J39" s="3" t="inlineStr">
        <is>
          <t>Mixed</t>
        </is>
      </c>
      <c r="K39" s="3" t="inlineStr">
        <is>
          <t>n=208; Saudi Arabian public; Saudi Arabia; online survey; 9–23 May 2025</t>
        </is>
      </c>
      <c r="L39" s="3" t="n"/>
      <c r="O39" s="3" t="inlineStr">
        <is>
          <t>Published</t>
        </is>
      </c>
      <c r="P39" s="12" t="n">
        <v>46300</v>
      </c>
      <c r="Q39" s="3" t="n"/>
      <c r="R39" s="3" t="inlineStr">
        <is>
          <t>§III–V; 208 Saudi respondents assessed AV acceptance; privacy/security concerns included hacking, misuse of personal data and unauthorised external control.</t>
        </is>
      </c>
      <c r="S39" s="3" t="inlineStr">
        <is>
          <t>Y</t>
        </is>
      </c>
      <c r="T39" s="3" t="inlineStr">
        <is>
          <t>N</t>
        </is>
      </c>
      <c r="U39" s="3" t="inlineStr">
        <is>
          <t>N</t>
        </is>
      </c>
    </row>
    <row r="40" ht="57" customHeight="1" s="18">
      <c r="A40" s="5" t="inlineStr">
        <is>
          <t>S2-0119</t>
        </is>
      </c>
      <c r="B40" s="5" t="inlineStr">
        <is>
          <t>A</t>
        </is>
      </c>
      <c r="C40" s="3" t="inlineStr">
        <is>
          <t>Hansen, A.; Kiely, K.; Attuquayefio, T.; Hosking, D.; Regan, M.; Eramudugolla, R.; Ross, L.A.; Anstey, K.J.</t>
        </is>
      </c>
      <c r="D40" s="6" t="n">
        <v>2025</v>
      </c>
      <c r="E40" s="3" t="inlineStr">
        <is>
          <t>Assessment of the application of technology acceptance measures to older drivers’ acceptance of advanced driver-assistance systems</t>
        </is>
      </c>
      <c r="F40" s="5" t="inlineStr">
        <is>
          <t>Journal article</t>
        </is>
      </c>
      <c r="G40" s="10" t="inlineStr">
        <is>
          <t>FT</t>
        </is>
      </c>
      <c r="H40" s="3" t="inlineStr">
        <is>
          <t>INCLUDE</t>
        </is>
      </c>
      <c r="I40" s="3" t="n"/>
      <c r="J40" s="3" t="inlineStr">
        <is>
          <t>Survey</t>
        </is>
      </c>
      <c r="K40" s="3" t="inlineStr">
        <is>
          <t>n=1008; Australian licensed drivers aged 60–98; National Seniors Australia members/affiliates; Australia; Jul–Nov 2021</t>
        </is>
      </c>
      <c r="L40" s="3" t="n"/>
      <c r="O40" s="3" t="inlineStr">
        <is>
          <t>Published</t>
        </is>
      </c>
      <c r="P40" s="12" t="n">
        <v>46300</v>
      </c>
      <c r="Q40" s="3" t="n"/>
      <c r="R40" s="3" t="inlineStr">
        <is>
          <t>§2–4, Table 1; 1008 older Australian drivers assessed ADAS acceptance, trust and risk; data-privacy vulnerability was directly measured and privacy concerns were common.</t>
        </is>
      </c>
      <c r="S40" s="3" t="inlineStr">
        <is>
          <t>Y</t>
        </is>
      </c>
      <c r="T40" s="3" t="inlineStr">
        <is>
          <t>N</t>
        </is>
      </c>
      <c r="U40" s="3" t="inlineStr">
        <is>
          <t>N</t>
        </is>
      </c>
    </row>
    <row r="41" ht="42.75" customHeight="1" s="18">
      <c r="A41" s="5" t="inlineStr">
        <is>
          <t>S2-0144</t>
        </is>
      </c>
      <c r="B41" s="5" t="inlineStr">
        <is>
          <t>A</t>
        </is>
      </c>
      <c r="C41" s="3" t="inlineStr">
        <is>
          <t>Bruno, G.; Marson, A.; Nenna, F.; Diaz-Piedra, C.; Spoto, A.</t>
        </is>
      </c>
      <c r="D41" s="6" t="n">
        <v>2025</v>
      </c>
      <c r="E41" s="3" t="inlineStr">
        <is>
          <t>Attitudes Toward the Use of Conditional Automated Vehicles in the Technology Acceptance Model Framework: Evidence from an Italian Sample</t>
        </is>
      </c>
      <c r="F41" s="5" t="inlineStr">
        <is>
          <t>Journal article</t>
        </is>
      </c>
      <c r="G41" s="10" t="inlineStr">
        <is>
          <t>FT</t>
        </is>
      </c>
      <c r="H41" s="3" t="inlineStr">
        <is>
          <t>INCLUDE</t>
        </is>
      </c>
      <c r="I41" s="3" t="n"/>
      <c r="J41" s="3" t="inlineStr">
        <is>
          <t>Survey</t>
        </is>
      </c>
      <c r="K41" s="3" t="inlineStr">
        <is>
          <t>n=201; Italian-speaking, Italy-based adults; Italy; online Qualtrics questionnaire; May–Jul 2022 and Dec 2022–Jan 2023</t>
        </is>
      </c>
      <c r="L41" s="3" t="n"/>
      <c r="O41" s="3" t="inlineStr">
        <is>
          <t>Published</t>
        </is>
      </c>
      <c r="P41" s="12" t="n">
        <v>46300</v>
      </c>
      <c r="Q41" s="3" t="n"/>
      <c r="R41" s="3" t="inlineStr">
        <is>
          <t>§Materials and Methods–Discussion; 201 Italian participants assessed SAE Level 3 AV acceptance; perceived privacy risk directly measured data sharing/hacking concerns and significantly reduced behavioural intention.</t>
        </is>
      </c>
      <c r="S41" s="3" t="inlineStr">
        <is>
          <t>Y</t>
        </is>
      </c>
      <c r="T41" s="3" t="inlineStr">
        <is>
          <t>N</t>
        </is>
      </c>
      <c r="U41" s="3" t="inlineStr">
        <is>
          <t>N</t>
        </is>
      </c>
    </row>
    <row r="42" ht="28.5" customHeight="1" s="18">
      <c r="A42" s="5" t="inlineStr">
        <is>
          <t>S2-0301</t>
        </is>
      </c>
      <c r="B42" s="5" t="inlineStr">
        <is>
          <t>A</t>
        </is>
      </c>
      <c r="C42" s="3" t="inlineStr">
        <is>
          <t>Cheng, S.; Dong, H.; Yue, Y.; Tan, H.</t>
        </is>
      </c>
      <c r="D42" s="6" t="n">
        <v>2021</v>
      </c>
      <c r="E42" s="3" t="inlineStr">
        <is>
          <t>Automated Driving: Acceptance and Chances for Young People</t>
        </is>
      </c>
      <c r="F42" s="5" t="inlineStr">
        <is>
          <t>Conference paper</t>
        </is>
      </c>
      <c r="G42" s="10" t="inlineStr">
        <is>
          <t>FT</t>
        </is>
      </c>
      <c r="H42" s="3" t="inlineStr">
        <is>
          <t>INCLUDE</t>
        </is>
      </c>
      <c r="I42" s="3" t="n"/>
      <c r="J42" s="3" t="inlineStr">
        <is>
          <t>Mixed</t>
        </is>
      </c>
      <c r="K42" s="3" t="inlineStr">
        <is>
          <t>n=20; young people aged 18–24; China; semi-structured interviews and role play; collection year not stated</t>
        </is>
      </c>
      <c r="L42" s="3" t="n"/>
      <c r="O42" s="3" t="inlineStr">
        <is>
          <t>Published</t>
        </is>
      </c>
      <c r="P42" s="12" t="n">
        <v>46300</v>
      </c>
      <c r="Q42" s="3" t="n"/>
      <c r="R42" s="3" t="inlineStr">
        <is>
          <t>§3–5; 20 young participants explored L4/L5 automated-driving acceptance and needs; 90% were willing to use AVs, while privacy leaks were raised specifically for inter-vehicle connectivity.</t>
        </is>
      </c>
      <c r="S42" s="3" t="inlineStr">
        <is>
          <t>Y</t>
        </is>
      </c>
      <c r="T42" s="3" t="inlineStr">
        <is>
          <t>N</t>
        </is>
      </c>
      <c r="U42" s="3" t="inlineStr">
        <is>
          <t>Y</t>
        </is>
      </c>
    </row>
    <row r="43" ht="42.75" customHeight="1" s="18">
      <c r="A43" s="5" t="inlineStr">
        <is>
          <t>S2-0122</t>
        </is>
      </c>
      <c r="B43" s="5" t="inlineStr">
        <is>
          <t>A</t>
        </is>
      </c>
      <c r="C43" s="3" t="inlineStr">
        <is>
          <t>Schmargendorf, M.; Schuller, H.-M.; Böhm, P.; Isemann, D.; Wolff, C.</t>
        </is>
      </c>
      <c r="D43" s="6" t="n">
        <v>2018</v>
      </c>
      <c r="E43" s="3" t="inlineStr">
        <is>
          <t>Autonomous Driving and the Elderly: Perceived Risks and Benefits</t>
        </is>
      </c>
      <c r="F43" s="5" t="inlineStr">
        <is>
          <t>Conference paper</t>
        </is>
      </c>
      <c r="G43" s="10" t="inlineStr">
        <is>
          <t>FT</t>
        </is>
      </c>
      <c r="H43" s="3" t="inlineStr">
        <is>
          <t>INCLUDE</t>
        </is>
      </c>
      <c r="I43" s="3" t="n"/>
      <c r="J43" s="3" t="inlineStr">
        <is>
          <t>Mixed</t>
        </is>
      </c>
      <c r="K43" s="3" t="inlineStr">
        <is>
          <t>n=10 semi-structured interview participants aged 60–88 plus n=113 survey participants aged 59–90; country not stated; interviews Mar 2018, survey subsequently</t>
        </is>
      </c>
      <c r="L43" s="3" t="n"/>
      <c r="O43" s="3" t="inlineStr">
        <is>
          <t>Published</t>
        </is>
      </c>
      <c r="P43" s="12" t="n">
        <v>46300</v>
      </c>
      <c r="Q43" s="3" t="n"/>
      <c r="R43" s="3" t="inlineStr">
        <is>
          <t>§2–4; interviews and validation survey examined elderly users’ SAE Level 5 AV risks and benefits; surveillance and hacking were among the strongest perceived risks.</t>
        </is>
      </c>
      <c r="S43" s="3" t="inlineStr">
        <is>
          <t>Y</t>
        </is>
      </c>
      <c r="T43" s="3" t="inlineStr">
        <is>
          <t>N</t>
        </is>
      </c>
      <c r="U43" s="3" t="inlineStr">
        <is>
          <t>N</t>
        </is>
      </c>
    </row>
    <row r="44" ht="28.5" customHeight="1" s="18">
      <c r="A44" s="5" t="inlineStr">
        <is>
          <t>S2-0016</t>
        </is>
      </c>
      <c r="B44" s="5" t="inlineStr">
        <is>
          <t>A</t>
        </is>
      </c>
      <c r="C44" s="3" t="inlineStr">
        <is>
          <t>I. Zajc; R. Sernec; G. Lenart; A. Pucihar</t>
        </is>
      </c>
      <c r="D44" s="6" t="n">
        <v>2020</v>
      </c>
      <c r="E44" s="3" t="inlineStr">
        <is>
          <t>Autonomous mobility and user perception: A Case of City as a Lab in Slovenia</t>
        </is>
      </c>
      <c r="F44" s="5" t="inlineStr">
        <is>
          <t>Conference paper</t>
        </is>
      </c>
      <c r="G44" s="10" t="inlineStr">
        <is>
          <t>FT</t>
        </is>
      </c>
      <c r="H44" s="3" t="inlineStr">
        <is>
          <t>INCLUDE</t>
        </is>
      </c>
      <c r="I44" s="3" t="n"/>
      <c r="J44" s="3" t="inlineStr">
        <is>
          <t>Survey</t>
        </is>
      </c>
      <c r="K44" s="3" t="inlineStr">
        <is>
          <t>n=153; autonomous-vehicle demonstration participants/general public; BTC City, Ljubljana, Slovenia; post-experience survey; Apr 2019</t>
        </is>
      </c>
      <c r="L44" s="3" t="n"/>
      <c r="O44" s="3" t="inlineStr">
        <is>
          <t>Published</t>
        </is>
      </c>
      <c r="P44" s="12" t="n">
        <v>46300</v>
      </c>
      <c r="Q44" s="3" t="n"/>
      <c r="R44" s="3" t="inlineStr">
        <is>
          <t>§III–IV; 153 participants were surveyed immediately after automated-driving demonstrations; cybersecurity was one of the leading perceived barriers to wider AV deployment.</t>
        </is>
      </c>
      <c r="S44" s="3" t="inlineStr">
        <is>
          <t>Y</t>
        </is>
      </c>
      <c r="T44" s="3" t="inlineStr">
        <is>
          <t>N</t>
        </is>
      </c>
      <c r="U44" s="3" t="inlineStr">
        <is>
          <t>N</t>
        </is>
      </c>
    </row>
    <row r="45" ht="28.5" customHeight="1" s="18">
      <c r="A45" s="5" t="inlineStr">
        <is>
          <t>S2-0038</t>
        </is>
      </c>
      <c r="B45" s="5" t="inlineStr">
        <is>
          <t>A</t>
        </is>
      </c>
      <c r="C45" s="3" t="inlineStr">
        <is>
          <t>M. Ahmed; R. Iqbal; S. Amin; O. Alhabshneh; A. Garba</t>
        </is>
      </c>
      <c r="D45" s="6" t="n">
        <v>2022</v>
      </c>
      <c r="E45" s="3" t="inlineStr">
        <is>
          <t>Autonomous Vehicle and its Adoption: Challenges, Opportunities, and Future Implications</t>
        </is>
      </c>
      <c r="F45" s="5" t="inlineStr">
        <is>
          <t>Conference paper</t>
        </is>
      </c>
      <c r="G45" s="10" t="inlineStr">
        <is>
          <t>FT</t>
        </is>
      </c>
      <c r="H45" s="3" t="inlineStr">
        <is>
          <t>INCLUDE</t>
        </is>
      </c>
      <c r="I45" s="3" t="n"/>
      <c r="J45" s="3" t="inlineStr">
        <is>
          <t>Survey</t>
        </is>
      </c>
      <c r="K45" s="3" t="inlineStr">
        <is>
          <t>n=159; general public of driving age, aged 20–60+; sample country not stated; online survey; collection year not stated</t>
        </is>
      </c>
      <c r="L45" s="3" t="n"/>
      <c r="O45" s="3" t="inlineStr">
        <is>
          <t>Published</t>
        </is>
      </c>
      <c r="P45" s="12" t="n">
        <v>46300</v>
      </c>
      <c r="Q45" s="3" t="n"/>
      <c r="R45" s="3" t="inlineStr">
        <is>
          <t>§III–IV; 159 respondents assessed self-driving-vehicle adoption and concerns; privacy was an adoption predictor and security/reliability was treated as part of safety.</t>
        </is>
      </c>
      <c r="S45" s="3" t="inlineStr">
        <is>
          <t>Y</t>
        </is>
      </c>
      <c r="T45" s="3" t="inlineStr">
        <is>
          <t>N</t>
        </is>
      </c>
      <c r="U45" s="3" t="inlineStr">
        <is>
          <t>N</t>
        </is>
      </c>
    </row>
    <row r="46" ht="57" customHeight="1" s="18">
      <c r="A46" s="5" t="inlineStr">
        <is>
          <t>S2-0132</t>
        </is>
      </c>
      <c r="B46" s="5" t="inlineStr">
        <is>
          <t>A</t>
        </is>
      </c>
      <c r="C46" s="3" t="inlineStr">
        <is>
          <t>King, W.; Halawi, L.</t>
        </is>
      </c>
      <c r="D46" s="6" t="n">
        <v>2023</v>
      </c>
      <c r="E46" s="3" t="inlineStr">
        <is>
          <t>Autonomous Vehicle Cybersecurity: A Pre-test</t>
        </is>
      </c>
      <c r="F46" s="5" t="inlineStr">
        <is>
          <t>Conference paper</t>
        </is>
      </c>
      <c r="G46" s="10" t="inlineStr">
        <is>
          <t>FT</t>
        </is>
      </c>
      <c r="H46" s="3" t="inlineStr">
        <is>
          <t>INCLUDE</t>
        </is>
      </c>
      <c r="I46" s="3" t="n"/>
      <c r="J46" s="3" t="inlineStr">
        <is>
          <t>Survey</t>
        </is>
      </c>
      <c r="K46" s="3" t="inlineStr">
        <is>
          <t>n=17 complete respondents; licensed US drivers/convenience sample across multiple US states; United States; online SurveyMonkey pilot survey; collection year not stated</t>
        </is>
      </c>
      <c r="L46" s="3" t="n"/>
      <c r="O46" s="3" t="inlineStr">
        <is>
          <t>Published</t>
        </is>
      </c>
      <c r="P46" s="12" t="n">
        <v>46300</v>
      </c>
      <c r="Q46" s="3" t="n"/>
      <c r="R46" s="3" t="inlineStr">
        <is>
          <t>§3–5; 17 complete pilot responses validated TAM-based measures of autonomous-vehicle perceived cyber threat and trust; PCT and LOT constructs showed acceptable internal reliability after item refinement.</t>
        </is>
      </c>
      <c r="S46" s="3" t="inlineStr">
        <is>
          <t>Y</t>
        </is>
      </c>
      <c r="T46" s="3" t="inlineStr">
        <is>
          <t>N</t>
        </is>
      </c>
      <c r="U46" s="3" t="inlineStr">
        <is>
          <t>N</t>
        </is>
      </c>
    </row>
    <row r="47" ht="28.5" customHeight="1" s="18">
      <c r="A47" s="5" t="inlineStr">
        <is>
          <t>S2-0019</t>
        </is>
      </c>
      <c r="B47" s="5" t="inlineStr">
        <is>
          <t>A</t>
        </is>
      </c>
      <c r="C47" s="3" t="inlineStr">
        <is>
          <t>T. Myklebust; T. Stålhane; G. D. Jenssen</t>
        </is>
      </c>
      <c r="D47" s="6" t="n">
        <v>2023</v>
      </c>
      <c r="E47" s="3" t="inlineStr">
        <is>
          <t>Autonomous Vehicles - Trust, Safety and Security Cases: The Complete Picture</t>
        </is>
      </c>
      <c r="F47" s="5" t="inlineStr">
        <is>
          <t>Conference paper</t>
        </is>
      </c>
      <c r="G47" s="10" t="inlineStr">
        <is>
          <t>FT</t>
        </is>
      </c>
      <c r="H47" s="3" t="inlineStr">
        <is>
          <t>INCLUDE</t>
        </is>
      </c>
      <c r="I47" s="3" t="n"/>
      <c r="J47" s="3" t="inlineStr">
        <is>
          <t>Mixed</t>
        </is>
      </c>
      <c r="K47" s="3" t="inlineStr">
        <is>
          <t>n=54 survey participants plus four focus groups of 5–10 participants each; TrustMe self-driving bus project; empirical sample location and collection period not stated</t>
        </is>
      </c>
      <c r="L47" s="3" t="n"/>
      <c r="O47" s="3" t="inlineStr">
        <is>
          <t>Published</t>
        </is>
      </c>
      <c r="P47" s="12" t="n">
        <v>46300</v>
      </c>
      <c r="Q47" s="3" t="n"/>
      <c r="R47" s="3" t="inlineStr">
        <is>
          <t>§2.4, §4.2–4.3; survey and focus groups examined trust and safety requirements for self-driving buses; trust was most associated with comfort and reliance, while safety was framed more objectively.</t>
        </is>
      </c>
      <c r="S47" s="3" t="inlineStr">
        <is>
          <t>N</t>
        </is>
      </c>
      <c r="T47" s="3" t="inlineStr">
        <is>
          <t>N</t>
        </is>
      </c>
      <c r="U47" s="3" t="inlineStr">
        <is>
          <t>N</t>
        </is>
      </c>
    </row>
    <row r="48" ht="28.5" customHeight="1" s="18">
      <c r="A48" s="5" t="inlineStr">
        <is>
          <t>S2-0168</t>
        </is>
      </c>
      <c r="B48" s="5" t="inlineStr">
        <is>
          <t>A</t>
        </is>
      </c>
      <c r="C48" s="3" t="inlineStr">
        <is>
          <t>Nikitas, A.; Vitel, A.-E.; Cotet, C.</t>
        </is>
      </c>
      <c r="D48" s="6" t="n">
        <v>2021</v>
      </c>
      <c r="E48" s="3" t="inlineStr">
        <is>
          <t>Autonomous vehicles and employment: An urban futures revolution or catastrophe?</t>
        </is>
      </c>
      <c r="F48" s="5" t="inlineStr">
        <is>
          <t>Journal article</t>
        </is>
      </c>
      <c r="G48" s="10" t="inlineStr">
        <is>
          <t>FT</t>
        </is>
      </c>
      <c r="H48" s="3" t="inlineStr">
        <is>
          <t>INCLUDE</t>
        </is>
      </c>
      <c r="I48" s="3" t="n"/>
      <c r="J48" s="3" t="inlineStr">
        <is>
          <t>Survey</t>
        </is>
      </c>
      <c r="K48" s="3" t="inlineStr">
        <is>
          <t>n=773; international public sample across 50 countries; online Qualtrics survey; Feb–Mar 2019</t>
        </is>
      </c>
      <c r="L48" s="3" t="inlineStr">
        <is>
          <t>Respondents generally expected AVs to substantially disrupt transport-sector employment and believed governments were not prepared for the transition; perceptions varied with age, work/study field, education, income, AV knowledge and gender.</t>
        </is>
      </c>
      <c r="M48" t="inlineStr">
        <is>
          <t>Provides empirical public-perception evidence on the socio-economic and employment consequences of AV deployment; it does not measure privacy/data-security concerns or resolve concerns to a named CAV subsystem.</t>
        </is>
      </c>
      <c r="O48" s="3" t="inlineStr">
        <is>
          <t>Published</t>
        </is>
      </c>
      <c r="P48" s="12" t="n">
        <v>46305</v>
      </c>
      <c r="Q48" s="3" t="n"/>
      <c r="R48" s="3" t="inlineStr">
        <is>
          <t>§3–4, §6; 773 respondents across 50 countries completed a 33-question survey covering AV awareness, general trust, employment, legal and economic concerns; respondents generally anticipated substantial labour-market disruption.</t>
        </is>
      </c>
      <c r="S48" s="3" t="inlineStr">
        <is>
          <t>N</t>
        </is>
      </c>
      <c r="T48" s="3" t="inlineStr">
        <is>
          <t>N</t>
        </is>
      </c>
      <c r="U48" s="3" t="inlineStr">
        <is>
          <t>N</t>
        </is>
      </c>
    </row>
    <row r="49" ht="42.75" customHeight="1" s="18">
      <c r="A49" s="5" t="inlineStr">
        <is>
          <t>S2-0165</t>
        </is>
      </c>
      <c r="B49" s="5" t="inlineStr">
        <is>
          <t>A</t>
        </is>
      </c>
      <c r="C49" s="3" t="inlineStr">
        <is>
          <t>Bęczkowska, S.; Czerepicki, A.; Grabarek, I.; Kozłowski, M.; Zysk, Z.</t>
        </is>
      </c>
      <c r="D49" s="6" t="n">
        <v>2023</v>
      </c>
      <c r="E49" s="3" t="inlineStr">
        <is>
          <t>Autonomous Vehicles as Viewed by Future Users in Poland</t>
        </is>
      </c>
      <c r="F49" s="5" t="inlineStr">
        <is>
          <t>Journal article</t>
        </is>
      </c>
      <c r="G49" s="10" t="inlineStr">
        <is>
          <t>FT</t>
        </is>
      </c>
      <c r="H49" s="3" t="inlineStr">
        <is>
          <t>INCLUDE</t>
        </is>
      </c>
      <c r="I49" s="3" t="n"/>
      <c r="J49" s="3" t="inlineStr">
        <is>
          <t>Mixed</t>
        </is>
      </c>
      <c r="K49" s="3" t="inlineStr">
        <is>
          <t>n=1,067 representative Polish residents aged 16+ plus n=155 purposively selected TSL-sector respondents; Poland; CAWI surveys, focus-group interviews and individual in-depth interviews; Nov 2021</t>
        </is>
      </c>
      <c r="L49" s="3" t="inlineStr">
        <is>
          <t>Overall attitudes were cautiously positive, with 55.4% reporting a positive or rather positive opinion of autonomous cars and 49.7% expecting improved travel safety, although the study found substantial uncertainty and limited trust in the technology.</t>
        </is>
      </c>
      <c r="M49" t="inlineStr">
        <is>
          <t>Provides nationally representative empirical evidence on AV acceptance, safety perceptions and trust in Poland; the reported concerns remain predominantly vehicle-level rather than privacy/data-security or subsystem-attributed concerns.</t>
        </is>
      </c>
      <c r="O49" s="3" t="inlineStr">
        <is>
          <t>Published</t>
        </is>
      </c>
      <c r="P49" s="12" t="n">
        <v>46305</v>
      </c>
      <c r="Q49" s="3" t="n"/>
      <c r="R49" s="3" t="inlineStr">
        <is>
          <t>§2–4; representative CAWI n=1,067 plus TSL sample n=155, with FGI/IDI also used; 55.4% expressed a positive/rather positive opinion and the authors report insufficient trust in autonomous technologies.</t>
        </is>
      </c>
      <c r="S49" s="3" t="inlineStr">
        <is>
          <t>N</t>
        </is>
      </c>
      <c r="T49" s="3" t="inlineStr">
        <is>
          <t>N</t>
        </is>
      </c>
      <c r="U49" s="3" t="inlineStr">
        <is>
          <t>N</t>
        </is>
      </c>
    </row>
    <row r="50" ht="57" customHeight="1" s="18">
      <c r="A50" s="5" t="inlineStr">
        <is>
          <t>S2-0281</t>
        </is>
      </c>
      <c r="B50" s="5" t="inlineStr">
        <is>
          <t>A</t>
        </is>
      </c>
      <c r="C50" s="3" t="inlineStr">
        <is>
          <t>Hussain, Q.; Alhajyaseen, W.K.M.; Adnan, M.; Almallah, M.; Almukdad, A.; Alqaradawi, M.</t>
        </is>
      </c>
      <c r="D50" s="6" t="n">
        <v>2021</v>
      </c>
      <c r="E50" s="3" t="inlineStr">
        <is>
          <t>Autonomous vehicles between anticipation and apprehension: Investigations through safety and security perceptions</t>
        </is>
      </c>
      <c r="F50" s="5" t="inlineStr">
        <is>
          <t>Journal article</t>
        </is>
      </c>
      <c r="G50" s="10" t="inlineStr">
        <is>
          <t>FT</t>
        </is>
      </c>
      <c r="H50" s="3" t="inlineStr">
        <is>
          <t>INCLUDE</t>
        </is>
      </c>
      <c r="I50" s="3" t="n"/>
      <c r="J50" s="3" t="inlineStr">
        <is>
          <t>Survey</t>
        </is>
      </c>
      <c r="K50" s="3" t="inlineStr">
        <is>
          <t>n=509; residents aged 18+; State of Qatar; Arabic/English online Qualtrics questionnaire; collection period not stated</t>
        </is>
      </c>
      <c r="L50" s="3" t="n"/>
      <c r="O50" s="3" t="inlineStr">
        <is>
          <t>Published</t>
        </is>
      </c>
      <c r="P50" s="12" t="n">
        <v>46300</v>
      </c>
      <c r="Q50" s="3" t="n"/>
      <c r="R50" s="3" t="inlineStr">
        <is>
          <t>§4–5; 509 Qatar residents assessed AV safety, security and adoption; 66.8% expressed concern about securing autonomous driving systems from hackers, while 65% would shift to AVs overall.</t>
        </is>
      </c>
      <c r="S50" s="3" t="inlineStr">
        <is>
          <t>Y</t>
        </is>
      </c>
      <c r="T50" s="3" t="inlineStr">
        <is>
          <t>N</t>
        </is>
      </c>
      <c r="U50" s="3" t="inlineStr">
        <is>
          <t>N</t>
        </is>
      </c>
    </row>
    <row r="51" ht="28.5" customHeight="1" s="18">
      <c r="A51" s="5" t="inlineStr">
        <is>
          <t>S2-0089</t>
        </is>
      </c>
      <c r="B51" s="5" t="inlineStr">
        <is>
          <t>A</t>
        </is>
      </c>
      <c r="C51" s="3" t="inlineStr">
        <is>
          <t>Clayton, W.; Paddeu, D.; Parkhurst, G.; Parkin, J.</t>
        </is>
      </c>
      <c r="D51" s="6" t="n">
        <v>2020</v>
      </c>
      <c r="E51" s="3" t="inlineStr">
        <is>
          <t>Autonomous vehicles: who will use them, and will they share?</t>
        </is>
      </c>
      <c r="F51" s="5" t="inlineStr">
        <is>
          <t>Journal article</t>
        </is>
      </c>
      <c r="G51" s="10" t="inlineStr">
        <is>
          <t>FT</t>
        </is>
      </c>
      <c r="H51" s="3" t="inlineStr">
        <is>
          <t>INCLUDE</t>
        </is>
      </c>
      <c r="I51" s="3" t="n"/>
      <c r="J51" s="3" t="inlineStr">
        <is>
          <t>Survey</t>
        </is>
      </c>
      <c r="K51" s="3" t="inlineStr">
        <is>
          <t>n=899; residents/students from Bristol and South Gloucestershire; United Kingdom; online stated-preference survey; collection period not stated</t>
        </is>
      </c>
      <c r="L51" s="3" t="n"/>
      <c r="O51" s="3" t="inlineStr">
        <is>
          <t>Published</t>
        </is>
      </c>
      <c r="P51" s="12" t="n">
        <v>46300</v>
      </c>
      <c r="Q51" s="3" t="n"/>
      <c r="R51" s="3" t="inlineStr">
        <is>
          <t>§2–3; 899 participants compared private and shared Level 5 AV service scenarios; fewer than half would use any AV alternative and Shared Automated Taxi was least accepted at 38.9%.</t>
        </is>
      </c>
      <c r="S51" s="3" t="inlineStr">
        <is>
          <t>N</t>
        </is>
      </c>
      <c r="T51" s="3" t="inlineStr">
        <is>
          <t>N</t>
        </is>
      </c>
      <c r="U51" s="3" t="inlineStr">
        <is>
          <t>N</t>
        </is>
      </c>
    </row>
    <row r="52" ht="42.75" customHeight="1" s="18">
      <c r="A52" s="5" t="inlineStr">
        <is>
          <t>S2-0190</t>
        </is>
      </c>
      <c r="B52" s="5" t="inlineStr">
        <is>
          <t>A</t>
        </is>
      </c>
      <c r="C52" s="3" t="inlineStr">
        <is>
          <t>Fu, J.; Kim, K.-J.</t>
        </is>
      </c>
      <c r="D52" s="6" t="n">
        <v>2025</v>
      </c>
      <c r="E52" s="3" t="inlineStr">
        <is>
          <t>Balancing Privacy and Acceptance: The Role of Anthropomorphism and Information Sensitivity in Autonomous Taxis</t>
        </is>
      </c>
      <c r="F52" s="5" t="inlineStr">
        <is>
          <t>Journal article</t>
        </is>
      </c>
      <c r="G52" s="10" t="inlineStr">
        <is>
          <t>FT</t>
        </is>
      </c>
      <c r="H52" s="3" t="inlineStr">
        <is>
          <t>INCLUDE</t>
        </is>
      </c>
      <c r="I52" s="3" t="n"/>
      <c r="J52" s="3" t="inlineStr">
        <is>
          <t>Experiment</t>
        </is>
      </c>
      <c r="K52" s="3" t="inlineStr">
        <is>
          <t>n=200; 2×2 between-subjects simulated autonomous-taxi interface experiment via Wenjuanxing; participant country and collection period not stated</t>
        </is>
      </c>
      <c r="L52" s="3" t="inlineStr">
        <is>
          <t>Information sensitivity and anthropomorphism significantly affected technology acceptance; privacy concern was negatively associated with acceptance and significantly mediated the effect of the anthropomorphism × information-sensitivity interaction.</t>
        </is>
      </c>
      <c r="M52" t="inlineStr">
        <is>
          <t>Directly links specific autonomous-taxi interface and data-collection mechanisms, including biometric/emotional-data collection versus basic trip information, to privacy concern and technology acceptance.</t>
        </is>
      </c>
      <c r="O52" s="3" t="inlineStr">
        <is>
          <t>Published</t>
        </is>
      </c>
      <c r="P52" s="12" t="n">
        <v>46305</v>
      </c>
      <c r="Q52" s="3" t="n"/>
      <c r="R52" s="3" t="inlineStr">
        <is>
          <t>§IV, Tables I–V; n=200 experiment manipulated anthropomorphic versus minimal interfaces and high-sensitivity biometric/emotional-data collection versus basic trip information; privacy concern was measured and significantly mediated acceptance effects.</t>
        </is>
      </c>
      <c r="S52" s="3" t="inlineStr">
        <is>
          <t>Y</t>
        </is>
      </c>
      <c r="T52" s="3" t="inlineStr">
        <is>
          <t>N</t>
        </is>
      </c>
      <c r="U52" s="3" t="inlineStr">
        <is>
          <t>Y</t>
        </is>
      </c>
    </row>
    <row r="53" ht="28.5" customHeight="1" s="18">
      <c r="A53" s="5" t="inlineStr">
        <is>
          <t>S2-0189</t>
        </is>
      </c>
      <c r="B53" s="5" t="inlineStr">
        <is>
          <t>A</t>
        </is>
      </c>
      <c r="C53" s="3" t="inlineStr">
        <is>
          <t>Schuß, M.; Röhr, T.; Riener, A.</t>
        </is>
      </c>
      <c r="D53" s="6" t="n">
        <v>2024</v>
      </c>
      <c r="E53" s="16" t="inlineStr">
        <is>
          <t>Baymax' or 'RoboCop'? Exploring Different Feminine Avatar Personalities for Shared Automated Vehicles</t>
        </is>
      </c>
      <c r="F53" s="5" t="inlineStr">
        <is>
          <t>Conference paper</t>
        </is>
      </c>
      <c r="G53" s="10" t="inlineStr">
        <is>
          <t>FT</t>
        </is>
      </c>
      <c r="H53" s="3" t="inlineStr">
        <is>
          <t>INCLUDE</t>
        </is>
      </c>
      <c r="I53" s="3" t="n"/>
      <c r="J53" s="3" t="inlineStr">
        <is>
          <t>Mixed</t>
        </is>
      </c>
      <c r="K53" s="3" t="inlineStr">
        <is>
          <t>Co-design workshop n=6 plus within-subject VR experiment n=23 German participants; each VR participant experienced two SAV scenarios under baseline, ‘Baymax’ and ‘RoboCop’ conditions; post-session interviews; collection period not stated</t>
        </is>
      </c>
      <c r="L53" s="3" t="inlineStr">
        <is>
          <t>Digital companions descriptively reduced anxiety and improved perceived security, and ‘Baymax’ was generally preferred; however, the quantitative companion and scenario effects were not statistically significant.</t>
        </is>
      </c>
      <c r="M53" t="inlineStr">
        <is>
          <t>Provides repeated within-participant evidence on perceived personal security and trust tied to a specific in-vehicle digital-companion/HMI mechanism; the security construct concerns passenger safety rather than privacy, data handling or cybersecurity.</t>
        </is>
      </c>
      <c r="O53" s="3" t="inlineStr">
        <is>
          <t>Published</t>
        </is>
      </c>
      <c r="P53" s="12" t="n">
        <v>46305</v>
      </c>
      <c r="Q53" s="3" t="n"/>
      <c r="R53" s="3" t="inlineStr">
        <is>
          <t>§3–5, §8; n=23 within-subject participants completed security-related measures repeatedly across baseline, ‘Baymax’ and ‘RoboCop’ conditions in two SAV scenarios; descriptive and qualitative improvements were observed but statistical effects were non-significant.</t>
        </is>
      </c>
      <c r="S53" s="3" t="inlineStr">
        <is>
          <t>N</t>
        </is>
      </c>
      <c r="T53" s="3" t="inlineStr">
        <is>
          <t>Y</t>
        </is>
      </c>
      <c r="U53" s="3" t="inlineStr">
        <is>
          <t>Y</t>
        </is>
      </c>
    </row>
    <row r="54" ht="28.5" customHeight="1" s="18">
      <c r="A54" s="5" t="inlineStr">
        <is>
          <t>S2-0209</t>
        </is>
      </c>
      <c r="B54" s="5" t="inlineStr">
        <is>
          <t>A</t>
        </is>
      </c>
      <c r="C54" s="3" t="inlineStr">
        <is>
          <t>Barber, F.; Furnell, S.</t>
        </is>
      </c>
      <c r="D54" s="6" t="n">
        <v>2022</v>
      </c>
      <c r="E54" s="3" t="inlineStr">
        <is>
          <t>Benchmarking Consumer Data and Privacy Knowledge in Connected and Autonomous Vehicles</t>
        </is>
      </c>
      <c r="F54" s="5" t="inlineStr">
        <is>
          <t>Conference paper</t>
        </is>
      </c>
      <c r="G54" s="10" t="inlineStr">
        <is>
          <t>FT</t>
        </is>
      </c>
      <c r="H54" s="3" t="inlineStr">
        <is>
          <t>INCLUDE</t>
        </is>
      </c>
      <c r="I54" s="3" t="n"/>
      <c r="J54" s="3" t="inlineStr">
        <is>
          <t>Mixed</t>
        </is>
      </c>
      <c r="K54" s="3" t="inlineStr">
        <is>
          <t>n=168 survey respondents from 14 countries, including n=130 UK; follow-up focus group n=6; survey 5–19 Aug 2021; focus group 21 Aug 2021</t>
        </is>
      </c>
      <c r="L54" s="3" t="n"/>
      <c r="O54" s="3" t="inlineStr">
        <is>
          <t>Published</t>
        </is>
      </c>
      <c r="P54" s="12" t="n">
        <v>46300</v>
      </c>
      <c r="Q54" s="3" t="n"/>
      <c r="R54" s="3" t="inlineStr">
        <is>
          <t xml:space="preserve">§4–5; consumer survey and focus group examined CAV data/privacy knowledge, data collection, privacy controls and trust; respondents showed substantial uncertainty about specific vehicle data-collection features. </t>
        </is>
      </c>
      <c r="S54" s="3" t="inlineStr">
        <is>
          <t>Y</t>
        </is>
      </c>
      <c r="T54" s="3" t="inlineStr">
        <is>
          <t>N</t>
        </is>
      </c>
      <c r="U54" s="3" t="inlineStr">
        <is>
          <t>Y</t>
        </is>
      </c>
    </row>
    <row r="55" ht="28.5" customHeight="1" s="18">
      <c r="A55" s="5" t="inlineStr">
        <is>
          <t>S2-0054</t>
        </is>
      </c>
      <c r="B55" s="5" t="inlineStr">
        <is>
          <t>A</t>
        </is>
      </c>
      <c r="C55" s="3" t="inlineStr">
        <is>
          <t>M. Picone; F. Viti; A. Cartenì</t>
        </is>
      </c>
      <c r="D55" s="6" t="n">
        <v>2025</v>
      </c>
      <c r="E55" s="3" t="inlineStr">
        <is>
          <t>Bridging Innovation and Inclusivity: User Perceptions of Autonomous Shuttles in Luxembourg</t>
        </is>
      </c>
      <c r="F55" s="5" t="inlineStr">
        <is>
          <t>Conference paper</t>
        </is>
      </c>
      <c r="G55" s="10" t="inlineStr">
        <is>
          <t>FT</t>
        </is>
      </c>
      <c r="H55" s="3" t="inlineStr">
        <is>
          <t>INCLUDE</t>
        </is>
      </c>
      <c r="I55" s="3" t="n"/>
      <c r="J55" s="3" t="inlineStr">
        <is>
          <t>Survey</t>
        </is>
      </c>
      <c r="K55" s="3" t="inlineStr">
        <is>
          <t>n=115 autonomous-shuttle users plus supplementary n=42 non-users; Esch-sur-Alzette, Luxembourg; user data collected Dec 2024 and May 2025</t>
        </is>
      </c>
      <c r="L55" s="3" t="n"/>
      <c r="O55" s="3" t="inlineStr">
        <is>
          <t>Published</t>
        </is>
      </c>
      <c r="P55" s="12" t="n">
        <v>46300</v>
      </c>
      <c r="Q55" s="3" t="n"/>
      <c r="R55" s="3" t="inlineStr">
        <is>
          <t>§III–IV; on-board survey assessed autonomous-shuttle acceptance, safety, reliability and accessibility; supervisor presence was strongly reassuring and many respondents were uncomfortable travelling without immediate human support.</t>
        </is>
      </c>
      <c r="S55" s="3" t="inlineStr">
        <is>
          <t>N</t>
        </is>
      </c>
      <c r="T55" s="3" t="inlineStr">
        <is>
          <t>N</t>
        </is>
      </c>
      <c r="U55" s="3" t="inlineStr">
        <is>
          <t>N</t>
        </is>
      </c>
    </row>
    <row r="56" ht="42.75" customHeight="1" s="18">
      <c r="A56" s="5" t="inlineStr">
        <is>
          <t>S2-0174</t>
        </is>
      </c>
      <c r="B56" s="5" t="inlineStr">
        <is>
          <t>A</t>
        </is>
      </c>
      <c r="C56" s="3" t="inlineStr">
        <is>
          <t>Renner, M.; Münzenberger, N.; Von Hammerstein, J.; Lins, S.; Sunyaev, A.</t>
        </is>
      </c>
      <c r="D56" s="6" t="n">
        <v>2020</v>
      </c>
      <c r="E56" s="3" t="inlineStr">
        <is>
          <t>Challenges of vehicle-to-everything communication. interviews among industry experts</t>
        </is>
      </c>
      <c r="F56" s="5" t="inlineStr">
        <is>
          <t>Conference paper</t>
        </is>
      </c>
      <c r="G56" s="10" t="inlineStr">
        <is>
          <t>FT</t>
        </is>
      </c>
      <c r="H56" s="3" t="inlineStr">
        <is>
          <t>INCLUDE</t>
        </is>
      </c>
      <c r="I56" s="3" t="n"/>
      <c r="J56" s="3" t="inlineStr">
        <is>
          <t>Interview/focus group</t>
        </is>
      </c>
      <c r="K56" s="3" t="inlineStr">
        <is>
          <t>n=19 industry experts; 83% Germany, 12% USA, 5% UK; automotive, telecommunications, innovation, research and consultancy stakeholders; collection period not stated</t>
        </is>
      </c>
      <c r="L56" s="3" t="n"/>
      <c r="O56" s="3" t="inlineStr">
        <is>
          <t>Published</t>
        </is>
      </c>
      <c r="P56" s="12" t="n">
        <v>46300</v>
      </c>
      <c r="Q56" s="3" t="n"/>
      <c r="R56" s="3" t="inlineStr">
        <is>
          <t>§3–6; 19 semi-structured expert interviews identified V2X challenges including data security, privacy, cyber-attack exposure, trust, acceptance and regulatory responsibility.</t>
        </is>
      </c>
      <c r="S56" s="3" t="inlineStr">
        <is>
          <t>Y</t>
        </is>
      </c>
      <c r="T56" s="3" t="inlineStr">
        <is>
          <t>N</t>
        </is>
      </c>
      <c r="U56" s="3" t="inlineStr">
        <is>
          <t>Y</t>
        </is>
      </c>
    </row>
    <row r="57" ht="28.5" customHeight="1" s="18">
      <c r="A57" s="5" t="inlineStr">
        <is>
          <t>S2-0106</t>
        </is>
      </c>
      <c r="B57" s="5" t="inlineStr">
        <is>
          <t>A</t>
        </is>
      </c>
      <c r="C57" s="3" t="inlineStr">
        <is>
          <t>Prasetio, E.A.; Novizayanti, D.; Putri, A.N.A.</t>
        </is>
      </c>
      <c r="D57" s="6" t="n">
        <v>2025</v>
      </c>
      <c r="E57" s="3" t="inlineStr">
        <is>
          <t>Cluster analysis of potential autonomous vehicle (AV) adopters in Indonesia's new capital</t>
        </is>
      </c>
      <c r="F57" s="5" t="inlineStr">
        <is>
          <t>Journal article</t>
        </is>
      </c>
      <c r="G57" s="10" t="inlineStr">
        <is>
          <t>FT</t>
        </is>
      </c>
      <c r="H57" s="3" t="inlineStr">
        <is>
          <t>INCLUDE</t>
        </is>
      </c>
      <c r="I57" s="3" t="n"/>
      <c r="J57" s="3" t="inlineStr">
        <is>
          <t>Survey</t>
        </is>
      </c>
      <c r="K57" s="3" t="inlineStr">
        <is>
          <t>n=351 analysed; Indonesian civil servants expected to relocate to Nusantara; Indonesia; convenience-sampled questionnaire; Oct–Nov 2022</t>
        </is>
      </c>
      <c r="L57" s="3" t="n"/>
      <c r="O57" s="3" t="inlineStr">
        <is>
          <t>Published</t>
        </is>
      </c>
      <c r="P57" s="12" t="n">
        <v>46300</v>
      </c>
      <c r="Q57" s="3" t="n"/>
      <c r="R57" s="3" t="inlineStr">
        <is>
          <t>§Methods–Conclusion; cluster analysis segmented potential AV adopters using adoption factors including emotional safety, perceived safety and trust; four adopter clusters were identified. Abstract reports 356 participants but Methods reports final analytical sample n=351.</t>
        </is>
      </c>
      <c r="S57" s="3" t="inlineStr">
        <is>
          <t>N</t>
        </is>
      </c>
      <c r="T57" s="3" t="inlineStr">
        <is>
          <t>N</t>
        </is>
      </c>
      <c r="U57" s="3" t="inlineStr">
        <is>
          <t>N</t>
        </is>
      </c>
    </row>
    <row r="58" ht="42.75" customHeight="1" s="18">
      <c r="A58" s="5" t="inlineStr">
        <is>
          <t>S2-0242</t>
        </is>
      </c>
      <c r="B58" s="5" t="inlineStr">
        <is>
          <t>A</t>
        </is>
      </c>
      <c r="C58" s="3" t="inlineStr">
        <is>
          <t>Li, W.; Li, T.; Meng, Y.; Xu, X.; Ma, Z.</t>
        </is>
      </c>
      <c r="D58" s="6" t="n">
        <v>2024</v>
      </c>
      <c r="E58" s="3" t="inlineStr">
        <is>
          <t>College Students’ Cognition and Attitude Towards Connected and Autonomous Vehicles in China: an Exploratory Study</t>
        </is>
      </c>
      <c r="F58" s="5" t="inlineStr">
        <is>
          <t>Journal article</t>
        </is>
      </c>
      <c r="G58" s="10" t="inlineStr">
        <is>
          <t>FT</t>
        </is>
      </c>
      <c r="H58" s="3" t="inlineStr">
        <is>
          <t>INCLUDE</t>
        </is>
      </c>
      <c r="I58" s="3" t="n"/>
      <c r="J58" s="3" t="inlineStr">
        <is>
          <t>Survey</t>
        </is>
      </c>
      <c r="K58" s="3" t="inlineStr">
        <is>
          <t>n=3111; college students; Mainland China; online questionnaire; 27 Apr–15 May 2022</t>
        </is>
      </c>
      <c r="L58" s="3" t="n"/>
      <c r="O58" s="3" t="inlineStr">
        <is>
          <t>Published</t>
        </is>
      </c>
      <c r="P58" s="12" t="n">
        <v>46300</v>
      </c>
      <c r="Q58" s="3" t="n"/>
      <c r="R58" s="3" t="inlineStr">
        <is>
          <t>§3–Results; 3111 college students assessed CAV cognition and attitudes across safety, privacy, liability, education and acceptance; privacy evaluations varied significantly by gender and student status.</t>
        </is>
      </c>
      <c r="S58" s="3" t="inlineStr">
        <is>
          <t>Y</t>
        </is>
      </c>
      <c r="T58" s="3" t="inlineStr">
        <is>
          <t>N</t>
        </is>
      </c>
      <c r="U58" s="3" t="inlineStr">
        <is>
          <t>N</t>
        </is>
      </c>
    </row>
    <row r="59" ht="28.5" customHeight="1" s="18">
      <c r="A59" s="5" t="inlineStr">
        <is>
          <t>S2-0186</t>
        </is>
      </c>
      <c r="B59" s="5" t="inlineStr">
        <is>
          <t>A</t>
        </is>
      </c>
      <c r="C59" s="3" t="inlineStr">
        <is>
          <t>Kaszas, D.; Roberts, A.C.</t>
        </is>
      </c>
      <c r="D59" s="6" t="n">
        <v>2023</v>
      </c>
      <c r="E59" s="3" t="inlineStr">
        <is>
          <t>Comfort with varying levels of human supervision in self-driving cars: Determining factors in Europe</t>
        </is>
      </c>
      <c r="F59" s="5" t="inlineStr">
        <is>
          <t>Journal article</t>
        </is>
      </c>
      <c r="G59" s="10" t="inlineStr">
        <is>
          <t>FT</t>
        </is>
      </c>
      <c r="H59" s="3" t="inlineStr">
        <is>
          <t>INCLUDE</t>
        </is>
      </c>
      <c r="I59" s="3" t="n"/>
      <c r="J59" s="3" t="inlineStr">
        <is>
          <t>Survey</t>
        </is>
      </c>
      <c r="K59" s="3" t="inlineStr">
        <is>
          <t>n=27565; respondents aged 15+ across EU member states; Eurobarometer 92.1; in-person household survey; 2019</t>
        </is>
      </c>
      <c r="L59" s="3" t="n"/>
      <c r="O59" s="3" t="inlineStr">
        <is>
          <t>Published</t>
        </is>
      </c>
      <c r="P59" s="12" t="n">
        <v>46300</v>
      </c>
      <c r="Q59" s="3" t="n"/>
      <c r="R59" s="3" t="inlineStr">
        <is>
          <t>§Methods–Discussion; secondary analysis compared comfort with fully automated vehicles under in-car, remote and no human supervision; data privacy and willingness to share data were consistently important predictors of comfort.</t>
        </is>
      </c>
      <c r="S59" s="3" t="inlineStr">
        <is>
          <t>Y</t>
        </is>
      </c>
      <c r="T59" s="3" t="inlineStr">
        <is>
          <t>Y</t>
        </is>
      </c>
      <c r="U59" s="3" t="inlineStr">
        <is>
          <t>N</t>
        </is>
      </c>
    </row>
    <row r="60" ht="99.75" customHeight="1" s="18">
      <c r="A60" s="5" t="inlineStr">
        <is>
          <t>S2-0149</t>
        </is>
      </c>
      <c r="B60" s="5" t="inlineStr">
        <is>
          <t>A</t>
        </is>
      </c>
      <c r="C60" s="3" t="inlineStr">
        <is>
          <t>Peng, C.; Carlowitz, S.; Madigan, R.; Marberger, C.; Lee, J.D.; Krems, J.; Beggiato, M.; Romano, R.; Wei, C.; Wooldridge, E.; Happee, R.; Hagenzieker, M.; Merat, N.</t>
        </is>
      </c>
      <c r="D60" s="6" t="n">
        <v>2024</v>
      </c>
      <c r="E60" s="3" t="inlineStr">
        <is>
          <t>Conceptualising user comfort in automated driving: Findings from an expert group workshop</t>
        </is>
      </c>
      <c r="F60" s="5" t="inlineStr">
        <is>
          <t>Conference paper</t>
        </is>
      </c>
      <c r="G60" s="10" t="inlineStr">
        <is>
          <t>FT</t>
        </is>
      </c>
      <c r="H60" s="3" t="inlineStr">
        <is>
          <t>INCLUDE</t>
        </is>
      </c>
      <c r="I60" s="3" t="n"/>
      <c r="J60" s="3" t="inlineStr">
        <is>
          <t>Interview/focus group</t>
        </is>
      </c>
      <c r="K60" s="3" t="inlineStr">
        <is>
          <t>n=9 internationally recognised AV experts with hands-on higher-level AV experience; international expert group; online workshop; 27 Jul 2021</t>
        </is>
      </c>
      <c r="L60" s="3" t="n"/>
      <c r="O60" s="3" t="inlineStr">
        <is>
          <t>Published</t>
        </is>
      </c>
      <c r="P60" s="12" t="n">
        <v>46300</v>
      </c>
      <c r="Q60" s="3" t="n"/>
      <c r="R60" s="3" t="inlineStr">
        <is>
          <t>§Methods–Discussion; expert workshop conceptualised AV user comfort and discomfort; AV-specific concerns included privacy, remote-operator access and use of route/location information.</t>
        </is>
      </c>
      <c r="S60" s="3" t="inlineStr">
        <is>
          <t>Y</t>
        </is>
      </c>
      <c r="T60" s="3" t="inlineStr">
        <is>
          <t>N</t>
        </is>
      </c>
      <c r="U60" s="3" t="inlineStr">
        <is>
          <t>N</t>
        </is>
      </c>
    </row>
    <row r="61" ht="28.5" customHeight="1" s="18">
      <c r="A61" s="5" t="inlineStr">
        <is>
          <t>S2-0111</t>
        </is>
      </c>
      <c r="B61" s="5" t="inlineStr">
        <is>
          <t>A</t>
        </is>
      </c>
      <c r="C61" s="3" t="inlineStr">
        <is>
          <t>Brell, T.; Biermann, H.; Philipsen, R.; Ziefle, M.</t>
        </is>
      </c>
      <c r="D61" s="6" t="n">
        <v>2019</v>
      </c>
      <c r="E61" s="3" t="inlineStr">
        <is>
          <t>Conditional privacy: Users' perception of data privacy in autonomous driving</t>
        </is>
      </c>
      <c r="F61" s="5" t="inlineStr">
        <is>
          <t>Conference paper</t>
        </is>
      </c>
      <c r="G61" s="10" t="inlineStr">
        <is>
          <t>FT</t>
        </is>
      </c>
      <c r="H61" s="3" t="inlineStr">
        <is>
          <t>INCLUDE</t>
        </is>
      </c>
      <c r="I61" s="3" t="n"/>
      <c r="J61" s="3" t="inlineStr">
        <is>
          <t>Mixed</t>
        </is>
      </c>
      <c r="K61" s="3" t="inlineStr">
        <is>
          <t>n=7 semi-structured interview participants plus n=100 valid online-survey participants aged 19–68; Western European/German convenience sample; collection period not stated</t>
        </is>
      </c>
      <c r="L61" s="3" t="n"/>
      <c r="O61" s="3" t="inlineStr">
        <is>
          <t>Published</t>
        </is>
      </c>
      <c r="P61" s="12" t="n">
        <v>46300</v>
      </c>
      <c r="Q61" s="3" t="n"/>
      <c r="R61" s="3" t="inlineStr">
        <is>
          <t>§2–4; interviews and survey examined autonomous/connected-driving data storage, processing and distribution; users preferred the driver as data decision maker and the own car as data receiver.</t>
        </is>
      </c>
      <c r="S61" s="3" t="inlineStr">
        <is>
          <t>Y</t>
        </is>
      </c>
      <c r="T61" s="3" t="inlineStr">
        <is>
          <t>N</t>
        </is>
      </c>
      <c r="U61" s="3" t="inlineStr">
        <is>
          <t>Y</t>
        </is>
      </c>
    </row>
    <row r="62" ht="28.5" customHeight="1" s="18">
      <c r="A62" s="5" t="inlineStr">
        <is>
          <t>S2-0170</t>
        </is>
      </c>
      <c r="B62" s="5" t="inlineStr">
        <is>
          <t>A</t>
        </is>
      </c>
      <c r="C62" s="3" t="inlineStr">
        <is>
          <t>Rykova, E.; Stieben, C.; Dostovalova, O.; Wieker, H.</t>
        </is>
      </c>
      <c r="D62" s="6" t="n">
        <v>2023</v>
      </c>
      <c r="E62" s="3" t="inlineStr">
        <is>
          <t>Connected Driving in German-Speaking Social Media</t>
        </is>
      </c>
      <c r="F62" s="5" t="inlineStr">
        <is>
          <t>Journal article</t>
        </is>
      </c>
      <c r="G62" s="10" t="inlineStr">
        <is>
          <t>FT</t>
        </is>
      </c>
      <c r="H62" s="3" t="inlineStr">
        <is>
          <t>INCLUDE</t>
        </is>
      </c>
      <c r="I62" s="3" t="n"/>
      <c r="J62" s="3" t="inlineStr">
        <is>
          <t>Online-discourse analysis</t>
        </is>
      </c>
      <c r="K62" s="3" t="inlineStr">
        <is>
          <t>n=635 cleaned Twitter entries analysed for 2020 plus relevant German/Germany-linked Reddit posts/comments; German-speaking social media; source posts span 2013–2021</t>
        </is>
      </c>
      <c r="L62" s="3" t="n"/>
      <c r="O62" s="3" t="inlineStr">
        <is>
          <t>Published</t>
        </is>
      </c>
      <c r="P62" s="12" t="n">
        <v>46300</v>
      </c>
      <c r="Q62" s="3" t="n"/>
      <c r="R62" s="3" t="inlineStr">
        <is>
          <t>§2–4; mixed-method social-media analysis found cybersecurity, surveillance and misuse of personal data among the strongest concerns around connected driving, including V2X/V2V/V2I.</t>
        </is>
      </c>
      <c r="S62" s="3" t="inlineStr">
        <is>
          <t>Y</t>
        </is>
      </c>
      <c r="T62" s="3" t="inlineStr">
        <is>
          <t>N</t>
        </is>
      </c>
      <c r="U62" s="3" t="inlineStr">
        <is>
          <t>Y</t>
        </is>
      </c>
    </row>
    <row r="63" ht="28.5" customHeight="1" s="18">
      <c r="A63" s="5" t="inlineStr">
        <is>
          <t>S2-0251</t>
        </is>
      </c>
      <c r="B63" s="5" t="inlineStr">
        <is>
          <t>A</t>
        </is>
      </c>
      <c r="C63" s="3" t="inlineStr">
        <is>
          <t>Xiao, H.; Deng, Y.; Wen, H.; Yi, X.</t>
        </is>
      </c>
      <c r="D63" s="6" t="n">
        <v>2025</v>
      </c>
      <c r="E63" s="3" t="inlineStr">
        <is>
          <t>Consumer Perception and Industrial Barriers in the ADAS Market</t>
        </is>
      </c>
      <c r="F63" s="5" t="inlineStr">
        <is>
          <t>Conference paper</t>
        </is>
      </c>
      <c r="G63" s="10" t="inlineStr">
        <is>
          <t>FT</t>
        </is>
      </c>
      <c r="H63" s="3" t="inlineStr">
        <is>
          <t>INCLUDE</t>
        </is>
      </c>
      <c r="I63" s="3" t="n"/>
      <c r="J63" s="3" t="inlineStr">
        <is>
          <t>Survey</t>
        </is>
      </c>
      <c r="K63" s="3" t="inlineStr">
        <is>
          <t>n=843 valid new-energy-vehicle/ADAS users; Guangdong-Hong Kong-Macao Greater Bay Area, China; questionnaire; collection period not stated</t>
        </is>
      </c>
      <c r="L63" s="3" t="n"/>
      <c r="O63" s="3" t="inlineStr">
        <is>
          <t>Published</t>
        </is>
      </c>
      <c r="P63" s="12" t="n">
        <v>46300</v>
      </c>
      <c r="Q63" s="3" t="n"/>
      <c r="R63" s="3" t="inlineStr">
        <is>
          <t>§Methods–Conclusion; 843 ADAS users rated usefulness, convenience, quality, perceived risk, willingness and satisfaction; perceived risk and technical limitations significantly hindered satisfaction.</t>
        </is>
      </c>
      <c r="S63" s="3" t="inlineStr">
        <is>
          <t>N</t>
        </is>
      </c>
      <c r="T63" s="3" t="inlineStr">
        <is>
          <t>N</t>
        </is>
      </c>
      <c r="U63" s="3" t="inlineStr">
        <is>
          <t>N</t>
        </is>
      </c>
    </row>
    <row r="64" ht="28.5" customHeight="1" s="18">
      <c r="A64" s="5" t="inlineStr">
        <is>
          <t>S2-0032</t>
        </is>
      </c>
      <c r="B64" s="5" t="inlineStr">
        <is>
          <t>A</t>
        </is>
      </c>
      <c r="C64" s="3" t="inlineStr">
        <is>
          <t>S. S. Man; W. Xiong; F. Chang; A. H. S. Chan</t>
        </is>
      </c>
      <c r="D64" s="6" t="n">
        <v>2020</v>
      </c>
      <c r="E64" s="3" t="inlineStr">
        <is>
          <t>Critical Factors Influencing Acceptance of Automated Vehicles by Hong Kong Drivers</t>
        </is>
      </c>
      <c r="F64" s="5" t="inlineStr">
        <is>
          <t>Journal article</t>
        </is>
      </c>
      <c r="G64" s="10" t="inlineStr">
        <is>
          <t>FT</t>
        </is>
      </c>
      <c r="H64" s="3" t="inlineStr">
        <is>
          <t>INCLUDE</t>
        </is>
      </c>
      <c r="I64" s="3" t="n"/>
      <c r="J64" s="3" t="inlineStr">
        <is>
          <t>Survey</t>
        </is>
      </c>
      <c r="K64" s="3" t="inlineStr">
        <is>
          <t>n=237 licensed drivers aged 18–62; Hong Kong; face-to-face cross-sectional questionnaire in public car parks; collection period not stated</t>
        </is>
      </c>
      <c r="L64" s="3" t="n"/>
      <c r="O64" s="3" t="inlineStr">
        <is>
          <t>Published</t>
        </is>
      </c>
      <c r="P64" s="12" t="n">
        <v>46300</v>
      </c>
      <c r="Q64" s="3" t="n"/>
      <c r="R64" s="3" t="inlineStr">
        <is>
          <t>§III–V; 237 Hong Kong drivers assessed SAE Level 3 AV acceptance; perceived privacy risk was directly measured but did not significantly predict usefulness or trust.</t>
        </is>
      </c>
      <c r="S64" s="3" t="inlineStr">
        <is>
          <t>Y</t>
        </is>
      </c>
      <c r="T64" s="3" t="inlineStr">
        <is>
          <t>N</t>
        </is>
      </c>
      <c r="U64" s="3" t="inlineStr">
        <is>
          <t>N</t>
        </is>
      </c>
    </row>
    <row r="65" ht="28.5" customHeight="1" s="18">
      <c r="A65" s="5" t="inlineStr">
        <is>
          <t>S2-0158</t>
        </is>
      </c>
      <c r="B65" s="5" t="inlineStr">
        <is>
          <t>A</t>
        </is>
      </c>
      <c r="C65" s="3" t="inlineStr">
        <is>
          <t>Owens, J.M.; Antin, J.F.; Doerzaph, Z.; Willis, S.</t>
        </is>
      </c>
      <c r="D65" s="6" t="n">
        <v>2015</v>
      </c>
      <c r="E65" s="3" t="inlineStr">
        <is>
          <t>Cross-generational acceptance of and interest in advanced vehicle technologies: A nationwide survey</t>
        </is>
      </c>
      <c r="F65" s="5" t="inlineStr">
        <is>
          <t>Journal article</t>
        </is>
      </c>
      <c r="G65" s="10" t="inlineStr">
        <is>
          <t>FT</t>
        </is>
      </c>
      <c r="H65" s="3" t="inlineStr">
        <is>
          <t>INCLUDE</t>
        </is>
      </c>
      <c r="I65" s="3" t="n"/>
      <c r="J65" s="3" t="inlineStr">
        <is>
          <t>Survey</t>
        </is>
      </c>
      <c r="K65" s="3" t="inlineStr">
        <is>
          <t>n=1019 analysed adult licensed drivers aged 18–85; all 50 US states; random-digit-dial CATI survey; Sep–Nov 2013</t>
        </is>
      </c>
      <c r="L65" s="3" t="n"/>
      <c r="O65" s="3" t="inlineStr">
        <is>
          <t>Published</t>
        </is>
      </c>
      <c r="P65" s="12" t="n">
        <v>46300</v>
      </c>
      <c r="Q65" s="3" t="n"/>
      <c r="R65" s="3" t="inlineStr">
        <is>
          <t>§2–4; nationwide survey compared generations’ attitudes to advanced and connected-vehicle technologies; majorities across generations were concerned about inappropriate data access and system hacking.</t>
        </is>
      </c>
      <c r="S65" s="3" t="inlineStr">
        <is>
          <t>Y</t>
        </is>
      </c>
      <c r="T65" s="3" t="inlineStr">
        <is>
          <t>N</t>
        </is>
      </c>
      <c r="U65" s="3" t="inlineStr">
        <is>
          <t>Y</t>
        </is>
      </c>
    </row>
    <row r="66" ht="42.75" customHeight="1" s="18">
      <c r="A66" s="5" t="inlineStr">
        <is>
          <t>S2-0293</t>
        </is>
      </c>
      <c r="B66" s="5" t="inlineStr">
        <is>
          <t>A</t>
        </is>
      </c>
      <c r="C66" s="3" t="inlineStr">
        <is>
          <t>Liao, F.</t>
        </is>
      </c>
      <c r="D66" s="6" t="n">
        <v>2025</v>
      </c>
      <c r="E66" s="3" t="inlineStr">
        <is>
          <t>Detecting Public Perceptions of Apollo Go on Chinese Social Media Based on Topic Modeling and Sentiment analysis</t>
        </is>
      </c>
      <c r="F66" s="5" t="inlineStr">
        <is>
          <t>Conference paper</t>
        </is>
      </c>
      <c r="G66" s="10" t="inlineStr">
        <is>
          <t>FT</t>
        </is>
      </c>
      <c r="H66" s="3" t="inlineStr">
        <is>
          <t>INCLUDE</t>
        </is>
      </c>
      <c r="I66" s="3" t="n"/>
      <c r="J66" s="3" t="inlineStr">
        <is>
          <t>Online-discourse analysis</t>
        </is>
      </c>
      <c r="K66" s="3" t="inlineStr">
        <is>
          <t>n=11882 Weibo posts; China; Apollo Go-related posts; 29 May–15 Aug 2024</t>
        </is>
      </c>
      <c r="L66" s="3" t="n"/>
      <c r="O66" s="3" t="inlineStr">
        <is>
          <t>Published</t>
        </is>
      </c>
      <c r="P66" s="12" t="n">
        <v>46300</v>
      </c>
      <c r="Q66" s="3" t="n"/>
      <c r="R66" s="3" t="inlineStr">
        <is>
          <t>§2–4; LDA and sentiment analysis identified accident/privacy as a major Apollo Go topic; users raised privacy-invasion and data-leakage concerns associated with in-car cameras.</t>
        </is>
      </c>
      <c r="S66" s="3" t="inlineStr">
        <is>
          <t>Y</t>
        </is>
      </c>
      <c r="T66" s="3" t="inlineStr">
        <is>
          <t>N</t>
        </is>
      </c>
      <c r="U66" s="3" t="inlineStr">
        <is>
          <t>Y</t>
        </is>
      </c>
    </row>
    <row r="67" ht="42.75" customHeight="1" s="18">
      <c r="A67" s="5" t="inlineStr">
        <is>
          <t>S2-0183</t>
        </is>
      </c>
      <c r="B67" s="5" t="inlineStr">
        <is>
          <t>A</t>
        </is>
      </c>
      <c r="C67" s="3" t="inlineStr">
        <is>
          <t>Tang, T.; Wang, X.; Wu, J.; Yuan, M.; Guo, Y.; Xu, X.</t>
        </is>
      </c>
      <c r="D67" s="6" t="n">
        <v>2023</v>
      </c>
      <c r="E67" s="3" t="inlineStr">
        <is>
          <t>Determinants and the Moderating Effects of Individual Characteristics on Autonomous Vehicle Adoption in China</t>
        </is>
      </c>
      <c r="F67" s="5" t="inlineStr">
        <is>
          <t>Journal article</t>
        </is>
      </c>
      <c r="G67" s="10" t="inlineStr">
        <is>
          <t>FT</t>
        </is>
      </c>
      <c r="H67" s="3" t="inlineStr">
        <is>
          <t>INCLUDE</t>
        </is>
      </c>
      <c r="I67" s="3" t="n"/>
      <c r="J67" s="3" t="inlineStr">
        <is>
          <t>Survey</t>
        </is>
      </c>
      <c r="K67" s="3" t="inlineStr">
        <is>
          <t>n=1831 valid residents from first-, second- and third-tier Chinese cities; online Sojump survey; Mar–Apr 2021</t>
        </is>
      </c>
      <c r="L67" s="3" t="n"/>
      <c r="O67" s="3" t="inlineStr">
        <is>
          <t>Published</t>
        </is>
      </c>
      <c r="P67" s="12" t="n">
        <v>46300</v>
      </c>
      <c r="Q67" s="3" t="n"/>
      <c r="R67" s="3" t="inlineStr">
        <is>
          <t>§3–5; 1831 respondents assessed psychological and policy determinants of AV adoption; perceived playfulness and information dissemination were the strongest predictors of adoption intention.</t>
        </is>
      </c>
      <c r="S67" s="3" t="inlineStr">
        <is>
          <t>N</t>
        </is>
      </c>
      <c r="T67" s="3" t="inlineStr">
        <is>
          <t>N</t>
        </is>
      </c>
      <c r="U67" s="3" t="inlineStr">
        <is>
          <t>N</t>
        </is>
      </c>
    </row>
    <row r="68" ht="85.5" customHeight="1" s="18">
      <c r="A68" s="5" t="inlineStr">
        <is>
          <t>S2-0254</t>
        </is>
      </c>
      <c r="B68" s="5" t="inlineStr">
        <is>
          <t>A</t>
        </is>
      </c>
      <c r="C68" s="3" t="inlineStr">
        <is>
          <t>Song, R.; Potoglou, D.; Fayyaz, N.; Ashraf, M.; Stawarz, K.; Theodorakopoulos, G.; Edwards, T.; Thomas, E.; Cherdantseva, Y.</t>
        </is>
      </c>
      <c r="D68" s="6" t="n">
        <v>2025</v>
      </c>
      <c r="E68" s="3" t="inlineStr">
        <is>
          <t>Digital roads and data ethics: Exploring the road users’ perspective</t>
        </is>
      </c>
      <c r="F68" s="5" t="inlineStr">
        <is>
          <t>Journal article</t>
        </is>
      </c>
      <c r="G68" s="10" t="inlineStr">
        <is>
          <t>FT</t>
        </is>
      </c>
      <c r="H68" s="3" t="inlineStr">
        <is>
          <t>INCLUDE</t>
        </is>
      </c>
      <c r="I68" s="3" t="n"/>
      <c r="J68" s="3" t="inlineStr">
        <is>
          <t>Interview/focus group</t>
        </is>
      </c>
      <c r="K68" s="3" t="inlineStr">
        <is>
          <t>n=20 road users/experts; United Kingdom; five workshops, four online and one in-person; Nov 2023–Jan 2024</t>
        </is>
      </c>
      <c r="L68" s="3" t="n"/>
      <c r="O68" s="3" t="inlineStr">
        <is>
          <t>Published</t>
        </is>
      </c>
      <c r="P68" s="12" t="n">
        <v>46300</v>
      </c>
      <c r="Q68" s="3" t="n"/>
      <c r="R68" s="3" t="inlineStr">
        <is>
          <t>§3–5; participants evaluated three digital-road scenarios involving AI monitoring and connected vehicles; major themes included privacy, data security, cyberattacks, data storage and third-party use.</t>
        </is>
      </c>
      <c r="S68" s="3" t="inlineStr">
        <is>
          <t>Y</t>
        </is>
      </c>
      <c r="T68" s="3" t="inlineStr">
        <is>
          <t>Y</t>
        </is>
      </c>
      <c r="U68" s="3" t="inlineStr">
        <is>
          <t>Y</t>
        </is>
      </c>
    </row>
    <row r="69" ht="42.75" customHeight="1" s="18">
      <c r="A69" s="5" t="inlineStr">
        <is>
          <t>S2-0199</t>
        </is>
      </c>
      <c r="B69" s="5" t="inlineStr">
        <is>
          <t>A</t>
        </is>
      </c>
      <c r="C69" s="3" t="inlineStr">
        <is>
          <t>Meidute‐kavaliauskiene, I.; Yıldız, B.; Çiğdem, Ş.; Činčikaitė, R.</t>
        </is>
      </c>
      <c r="D69" s="6" t="n">
        <v>2021</v>
      </c>
      <c r="E69" s="3" t="inlineStr">
        <is>
          <t>Do people prefer cars that people don’t drive? A survey study on autonomous vehicles</t>
        </is>
      </c>
      <c r="F69" s="5" t="inlineStr">
        <is>
          <t>Journal article</t>
        </is>
      </c>
      <c r="G69" s="10" t="inlineStr">
        <is>
          <t>FT</t>
        </is>
      </c>
      <c r="H69" s="3" t="inlineStr">
        <is>
          <t>INCLUDE</t>
        </is>
      </c>
      <c r="I69" s="3" t="n"/>
      <c r="J69" s="3" t="inlineStr">
        <is>
          <t>Survey</t>
        </is>
      </c>
      <c r="K69" s="3" t="inlineStr">
        <is>
          <t>n=611 adults aged 18+; Turkey; convenience-sampled online questionnaire distributed through social media; May–Jun 2021</t>
        </is>
      </c>
      <c r="L69" s="3" t="n"/>
      <c r="O69" s="3" t="inlineStr">
        <is>
          <t>Published</t>
        </is>
      </c>
      <c r="P69" s="12" t="n">
        <v>46300</v>
      </c>
      <c r="Q69" s="3" t="n"/>
      <c r="R69" s="3" t="inlineStr">
        <is>
          <t>§3–6; 611 Turkish respondents assessed AV perceived advantage, risk, safety and intention to use; advantage and safety increased intention while perceived system-failure risk reduced it.</t>
        </is>
      </c>
      <c r="S69" s="3" t="inlineStr">
        <is>
          <t>N</t>
        </is>
      </c>
      <c r="T69" s="3" t="inlineStr">
        <is>
          <t>N</t>
        </is>
      </c>
      <c r="U69" s="3" t="inlineStr">
        <is>
          <t>N</t>
        </is>
      </c>
    </row>
    <row r="70" ht="28.5" customHeight="1" s="18">
      <c r="A70" s="5" t="inlineStr">
        <is>
          <t>S2-0177</t>
        </is>
      </c>
      <c r="B70" s="5" t="inlineStr">
        <is>
          <t>A</t>
        </is>
      </c>
      <c r="C70" s="3" t="inlineStr">
        <is>
          <t>Datta, S.; Sankeerthana, G.; Kadali, B.R.</t>
        </is>
      </c>
      <c r="D70" s="6" t="n">
        <v>2024</v>
      </c>
      <c r="E70" s="3" t="inlineStr">
        <is>
          <t>Do two-wheeler riders propel towards autonomous driving? A path-based probabilistic study in Indian context</t>
        </is>
      </c>
      <c r="F70" s="5" t="inlineStr">
        <is>
          <t>Journal article</t>
        </is>
      </c>
      <c r="G70" s="10" t="inlineStr">
        <is>
          <t>FT</t>
        </is>
      </c>
      <c r="H70" s="3" t="inlineStr">
        <is>
          <t>INCLUDE</t>
        </is>
      </c>
      <c r="I70" s="3" t="n"/>
      <c r="J70" s="3" t="inlineStr">
        <is>
          <t>Mixed</t>
        </is>
      </c>
      <c r="K70" s="3" t="inlineStr">
        <is>
          <t>n=1673 stated-preference responses plus n=21 semi-structured interviews; two-wheeler riders/experts across five districts of Telangana, India; Dec 2021–Feb 2022</t>
        </is>
      </c>
      <c r="L70" s="3" t="n"/>
      <c r="O70" s="3" t="inlineStr">
        <is>
          <t>Published</t>
        </is>
      </c>
      <c r="P70" s="12" t="n">
        <v>46300</v>
      </c>
      <c r="Q70" s="3" t="n"/>
      <c r="R70" s="3" t="inlineStr">
        <is>
          <t>§3–4; study modelled Indian two-wheeler riders’ AV adoption using trust, perceived risk and acceptance constructs; privacy leakage was directly included within perceived risk.</t>
        </is>
      </c>
      <c r="S70" s="3" t="inlineStr">
        <is>
          <t>Y</t>
        </is>
      </c>
      <c r="T70" s="3" t="inlineStr">
        <is>
          <t>N</t>
        </is>
      </c>
      <c r="U70" s="3" t="inlineStr">
        <is>
          <t>N</t>
        </is>
      </c>
    </row>
    <row r="71" ht="28.5" customHeight="1" s="18">
      <c r="A71" s="5" t="inlineStr">
        <is>
          <t>S2-0231</t>
        </is>
      </c>
      <c r="B71" s="5" t="inlineStr">
        <is>
          <t>A</t>
        </is>
      </c>
      <c r="C71" s="3" t="inlineStr">
        <is>
          <t>Schmidt, T.; Philipsen, R.; Ziefle, M.</t>
        </is>
      </c>
      <c r="D71" s="6" t="n">
        <v>2017</v>
      </c>
      <c r="E71" s="3" t="inlineStr">
        <is>
          <t>Dos and don’ts of datasharing in V2X-Technology: User diverse perspectives in different traffic scenarios</t>
        </is>
      </c>
      <c r="F71" s="5" t="inlineStr">
        <is>
          <t>Conference paper</t>
        </is>
      </c>
      <c r="G71" s="10" t="inlineStr">
        <is>
          <t>FT</t>
        </is>
      </c>
      <c r="H71" s="3" t="inlineStr">
        <is>
          <t>INCLUDE</t>
        </is>
      </c>
      <c r="I71" s="3" t="n"/>
      <c r="J71" s="3" t="inlineStr">
        <is>
          <t>Survey</t>
        </is>
      </c>
      <c r="K71" s="3" t="inlineStr">
        <is>
          <t>n=274 licensed drivers aged 17–70; Western European/German sample; online V2X acceptance study; collection period not stated</t>
        </is>
      </c>
      <c r="L71" s="3" t="n"/>
      <c r="O71" s="3" t="inlineStr">
        <is>
          <t>Published</t>
        </is>
      </c>
      <c r="P71" s="12" t="n">
        <v>46300</v>
      </c>
      <c r="Q71" s="3" t="n"/>
      <c r="R71" s="3" t="inlineStr">
        <is>
          <t>§3–5; 274 participants evaluated data sharing across infotainment and traffic-optimisation V2X scenarios, including data types, receivers, storage and privacy; substantial reluctance to share private information with companies or other road users was observed.</t>
        </is>
      </c>
      <c r="S71" s="3" t="inlineStr">
        <is>
          <t>Y</t>
        </is>
      </c>
      <c r="T71" s="3" t="inlineStr">
        <is>
          <t>Y</t>
        </is>
      </c>
      <c r="U71" s="3" t="inlineStr">
        <is>
          <t>Y</t>
        </is>
      </c>
    </row>
    <row r="72" ht="28.5" customHeight="1" s="18">
      <c r="A72" s="5" t="inlineStr">
        <is>
          <t>S2-0240</t>
        </is>
      </c>
      <c r="B72" s="5" t="inlineStr">
        <is>
          <t>A</t>
        </is>
      </c>
      <c r="C72" s="3" t="inlineStr">
        <is>
          <t>Zhou, X.; Li, S.; Ma, L.; Zhang, W.</t>
        </is>
      </c>
      <c r="D72" s="6" t="n">
        <v>2022</v>
      </c>
      <c r="E72" s="3" t="inlineStr">
        <is>
          <t>Driver's attitudes and preferences toward connected vehicle information system</t>
        </is>
      </c>
      <c r="F72" s="5" t="inlineStr">
        <is>
          <t>Journal article</t>
        </is>
      </c>
      <c r="G72" s="10" t="inlineStr">
        <is>
          <t>FT</t>
        </is>
      </c>
      <c r="H72" s="3" t="inlineStr">
        <is>
          <t>INCLUDE</t>
        </is>
      </c>
      <c r="I72" s="3" t="n"/>
      <c r="J72" s="3" t="inlineStr">
        <is>
          <t>Mixed</t>
        </is>
      </c>
      <c r="K72" s="3" t="inlineStr">
        <is>
          <t>n=21 focus-group participants plus n=1065 valid questionnaire respondents; licensed drivers across China; focus groups followed by online survey; collection period not stated</t>
        </is>
      </c>
      <c r="L72" s="3" t="n"/>
      <c r="O72" s="3" t="inlineStr">
        <is>
          <t>Published</t>
        </is>
      </c>
      <c r="P72" s="12" t="n">
        <v>46300</v>
      </c>
      <c r="Q72" s="3" t="n"/>
      <c r="R72" s="3" t="inlineStr">
        <is>
          <t>§2–4; Chinese drivers evaluated connected-vehicle information-system functions and interfaces; privacy expectations concerning location, driving-intention and driving-state data significantly contributed to attitudes toward CVIS.</t>
        </is>
      </c>
      <c r="S72" s="3" t="inlineStr">
        <is>
          <t>Y</t>
        </is>
      </c>
      <c r="T72" s="3" t="inlineStr">
        <is>
          <t>N</t>
        </is>
      </c>
      <c r="U72" s="3" t="inlineStr">
        <is>
          <t>Y</t>
        </is>
      </c>
    </row>
    <row r="73" ht="42.75" customHeight="1" s="18">
      <c r="A73" s="5" t="inlineStr">
        <is>
          <t>S2-0220</t>
        </is>
      </c>
      <c r="B73" s="5" t="inlineStr">
        <is>
          <t>A</t>
        </is>
      </c>
      <c r="C73" s="3" t="inlineStr">
        <is>
          <t>Khan, S.K.; Shiwakoti, N.; Stasinopoulos, P.; Warren, M.</t>
        </is>
      </c>
      <c r="D73" s="6" t="n">
        <v>2024</v>
      </c>
      <c r="E73" s="3" t="inlineStr">
        <is>
          <t>Driving a safer future: Exploring cross-country perspectives in automated vehicle adoption by considering cyber risks, liability, and data concerns</t>
        </is>
      </c>
      <c r="F73" s="5" t="inlineStr">
        <is>
          <t>Journal article</t>
        </is>
      </c>
      <c r="G73" s="10" t="inlineStr">
        <is>
          <t>FT</t>
        </is>
      </c>
      <c r="H73" s="3" t="inlineStr">
        <is>
          <t>INCLUDE</t>
        </is>
      </c>
      <c r="I73" s="3" t="n"/>
      <c r="J73" s="3" t="inlineStr">
        <is>
          <t>Survey</t>
        </is>
      </c>
      <c r="K73" s="3" t="inlineStr">
        <is>
          <t>n=2062 adults; Australia, New Zealand, United Kingdom and United States; online cross-country survey; collection period not stated</t>
        </is>
      </c>
      <c r="L73" s="3" t="n"/>
      <c r="O73" s="3" t="inlineStr">
        <is>
          <t>Published</t>
        </is>
      </c>
      <c r="P73" s="12" t="n">
        <v>46300</v>
      </c>
      <c r="Q73" s="3" t="n"/>
      <c r="R73" s="3" t="inlineStr">
        <is>
          <t>§3–4; 2062 adults were assessed on AV cyber-risk liability, data concerns, data sharing and software patching/updates; about 70% expressed cyber-related liability concerns and higher concern was associated with lower adoption intention.</t>
        </is>
      </c>
      <c r="S73" s="3" t="inlineStr">
        <is>
          <t>Y</t>
        </is>
      </c>
      <c r="T73" s="3" t="inlineStr">
        <is>
          <t>N</t>
        </is>
      </c>
      <c r="U73" s="3" t="inlineStr">
        <is>
          <t>Y</t>
        </is>
      </c>
    </row>
    <row r="74" ht="42.75" customHeight="1" s="18">
      <c r="A74" s="5" t="inlineStr">
        <is>
          <t>S2-0017</t>
        </is>
      </c>
      <c r="B74" s="5" t="inlineStr">
        <is>
          <t>A</t>
        </is>
      </c>
      <c r="C74" s="3" t="inlineStr">
        <is>
          <t>C. Mutzenich; F. McVey; C. Martin; C. Harding</t>
        </is>
      </c>
      <c r="D74" s="6" t="n">
        <v>2024</v>
      </c>
      <c r="E74" s="3" t="inlineStr">
        <is>
          <t>Driving the Future: Addressing Generational Trust and Ownership Barriers in the Adoption of Connected and Autonomous Vehicles</t>
        </is>
      </c>
      <c r="F74" s="5" t="inlineStr">
        <is>
          <t>Conference paper</t>
        </is>
      </c>
      <c r="G74" s="10" t="inlineStr">
        <is>
          <t>FT</t>
        </is>
      </c>
      <c r="H74" s="3" t="inlineStr">
        <is>
          <t>INCLUDE</t>
        </is>
      </c>
      <c r="I74" s="3" t="n"/>
      <c r="J74" s="3" t="inlineStr">
        <is>
          <t>Survey</t>
        </is>
      </c>
      <c r="K74" s="3" t="inlineStr">
        <is>
          <t>n=3097 UK transport users aged 18+ across five generations; nationally representative online Forsta survey; collection period not stated</t>
        </is>
      </c>
      <c r="L74" s="3" t="n"/>
      <c r="O74" s="3" t="inlineStr">
        <is>
          <t>Published</t>
        </is>
      </c>
      <c r="P74" s="12" t="n">
        <v>46300</v>
      </c>
      <c r="Q74" s="3" t="n"/>
      <c r="R74" s="3" t="inlineStr">
        <is>
          <t>§II–IV; 3097 UK transport users were surveyed on CAV/MaaS trust, acceptance, ownership and data sharing; willingness to share travel-related data varied across generations and privacy concerns remained evident among younger cohorts.</t>
        </is>
      </c>
      <c r="S74" s="3" t="inlineStr">
        <is>
          <t>Y</t>
        </is>
      </c>
      <c r="T74" s="3" t="inlineStr">
        <is>
          <t>N</t>
        </is>
      </c>
      <c r="U74" s="3" t="inlineStr">
        <is>
          <t>N</t>
        </is>
      </c>
    </row>
    <row r="75" ht="71.25" customHeight="1" s="18">
      <c r="A75" s="5" t="inlineStr">
        <is>
          <t>S2-0188</t>
        </is>
      </c>
      <c r="B75" s="5" t="inlineStr">
        <is>
          <t>A</t>
        </is>
      </c>
      <c r="C75" s="3" t="inlineStr">
        <is>
          <t>Anastasopoulou, K.; Williams, E.; Whitnall, C.; Tryfonas, T.; Oswald, E.; Morgan, P.; Voinescu, A.; Piechocki, R.; Tassi, A.</t>
        </is>
      </c>
      <c r="D75" s="6" t="n">
        <v>2018</v>
      </c>
      <c r="E75" s="3" t="inlineStr">
        <is>
          <t>Effects of privacy risk perception and cultural bias on intention of connected autonomous vehicle use</t>
        </is>
      </c>
      <c r="F75" s="5" t="inlineStr">
        <is>
          <t>Conference paper</t>
        </is>
      </c>
      <c r="G75" s="10" t="inlineStr">
        <is>
          <t>FT</t>
        </is>
      </c>
      <c r="H75" s="3" t="inlineStr">
        <is>
          <t>INCLUDE</t>
        </is>
      </c>
      <c r="I75" s="3" t="n"/>
      <c r="J75" s="3" t="inlineStr">
        <is>
          <t>Survey</t>
        </is>
      </c>
      <c r="K75" s="3" t="inlineStr">
        <is>
          <t>n=167 students and staff, predominantly aged 18–30; University of Bristol, United Kingdom; web-based pilot survey; collection period not stated</t>
        </is>
      </c>
      <c r="L75" s="3" t="n"/>
      <c r="O75" s="3" t="inlineStr">
        <is>
          <t>Published</t>
        </is>
      </c>
      <c r="P75" s="12" t="n">
        <v>46300</v>
      </c>
      <c r="Q75" s="3" t="n"/>
      <c r="R75" s="3" t="inlineStr">
        <is>
          <t>§3–5; pilot survey examined CAV adoption using perceived privacy risk, willingness to share information, trust, ease of use and cultural bias; privacy risk was directly measured but did not significantly predict willingness to share information or use CAVs.</t>
        </is>
      </c>
      <c r="S75" s="3" t="inlineStr">
        <is>
          <t>Y</t>
        </is>
      </c>
      <c r="T75" s="3" t="inlineStr">
        <is>
          <t>N</t>
        </is>
      </c>
      <c r="U75" s="3" t="inlineStr">
        <is>
          <t>N</t>
        </is>
      </c>
    </row>
    <row r="76" ht="42.75" customHeight="1" s="18">
      <c r="A76" s="5" t="inlineStr">
        <is>
          <t>S2-0109</t>
        </is>
      </c>
      <c r="B76" s="5" t="inlineStr">
        <is>
          <t>A</t>
        </is>
      </c>
      <c r="C76" s="3" t="inlineStr">
        <is>
          <t>Colley, M.; Speidel, O.; Strohbeck, J.; Rixen, J.O.; Belz, J.H.; Rukzio, E.</t>
        </is>
      </c>
      <c r="D76" s="6" t="n">
        <v>2024</v>
      </c>
      <c r="E76" s="3" t="inlineStr">
        <is>
          <t>Effects of Uncertain Trajectory Prediction Visualization in Highly Automated Vehicles on Trust, Situation Awareness, and Cognitive Load</t>
        </is>
      </c>
      <c r="F76" s="5" t="inlineStr">
        <is>
          <t>Journal article</t>
        </is>
      </c>
      <c r="G76" s="10" t="inlineStr">
        <is>
          <t>FT</t>
        </is>
      </c>
      <c r="H76" s="3" t="inlineStr">
        <is>
          <t>INCLUDE</t>
        </is>
      </c>
      <c r="I76" s="3" t="n"/>
      <c r="J76" s="3" t="inlineStr">
        <is>
          <t>Experiment</t>
        </is>
      </c>
      <c r="K76" s="3" t="inlineStr">
        <is>
          <t>n=280 in Study 1 and n=238 in Study 2; online video-based participants recruited predominantly through Prolific; participant geography/collection period not stated</t>
        </is>
      </c>
      <c r="L76" s="3" t="n"/>
      <c r="O76" s="3" t="inlineStr">
        <is>
          <t>Published</t>
        </is>
      </c>
      <c r="P76" s="12" t="n">
        <v>46300</v>
      </c>
      <c r="Q76" s="3" t="n"/>
      <c r="R76" s="3" t="inlineStr">
        <is>
          <t>§4–7; two between-subjects experiments evaluated visualisation of AV trajectory prediction and manoeuvre planning; planned-trajectory visualisation increased trust and predicted-trajectory visualisation increased perceived safety.</t>
        </is>
      </c>
      <c r="S76" s="3" t="inlineStr">
        <is>
          <t>N</t>
        </is>
      </c>
      <c r="T76" s="3" t="inlineStr">
        <is>
          <t>N</t>
        </is>
      </c>
      <c r="U76" s="3" t="inlineStr">
        <is>
          <t>Y</t>
        </is>
      </c>
    </row>
    <row r="77" ht="42.75" customHeight="1" s="18">
      <c r="A77" s="5" t="inlineStr">
        <is>
          <t>S2-0126</t>
        </is>
      </c>
      <c r="B77" s="5" t="inlineStr">
        <is>
          <t>A</t>
        </is>
      </c>
      <c r="C77" s="3" t="inlineStr">
        <is>
          <t>Ho, J.S.; Tan, B.C.; Lau, T.C.; Khan, N.; Pang, S.M.</t>
        </is>
      </c>
      <c r="D77" s="6" t="n">
        <v>2025</v>
      </c>
      <c r="E77" s="3" t="inlineStr">
        <is>
          <t>Elderly Acceptance of Autonomous Vehicles in Malaysia: An Extended Technology Acceptance Model with Multidimensional Trust and Perceived Risk</t>
        </is>
      </c>
      <c r="F77" s="5" t="inlineStr">
        <is>
          <t>Journal article</t>
        </is>
      </c>
      <c r="G77" s="10" t="inlineStr">
        <is>
          <t>FT</t>
        </is>
      </c>
      <c r="H77" s="3" t="inlineStr">
        <is>
          <t>INCLUDE</t>
        </is>
      </c>
      <c r="I77" s="3" t="n"/>
      <c r="J77" s="3" t="inlineStr">
        <is>
          <t>Survey</t>
        </is>
      </c>
      <c r="K77" s="3" t="inlineStr">
        <is>
          <t>n=289; Malaysian adults aged 55+; Klang Valley, Malaysia; questionnaire at community/public locations; 1 Aug–15 Sep 2023</t>
        </is>
      </c>
      <c r="L77" s="3" t="n"/>
      <c r="O77" s="3" t="inlineStr">
        <is>
          <t>Published</t>
        </is>
      </c>
      <c r="P77" s="12" t="n">
        <v>46300</v>
      </c>
      <c r="Q77" s="3" t="n"/>
      <c r="R77" s="3" t="inlineStr">
        <is>
          <t>§II–IV; 289 older Malaysian respondents were modelled using extended TAM; perceived privacy risk was defined as personal-data leakage/misuse and tested directly, but did not significantly predict AV acceptance.</t>
        </is>
      </c>
      <c r="S77" s="3" t="inlineStr">
        <is>
          <t>Y</t>
        </is>
      </c>
      <c r="T77" s="3" t="inlineStr">
        <is>
          <t>N</t>
        </is>
      </c>
      <c r="U77" s="3" t="inlineStr">
        <is>
          <t>N</t>
        </is>
      </c>
    </row>
    <row r="78" ht="28.5" customHeight="1" s="18">
      <c r="A78" s="5" t="inlineStr">
        <is>
          <t>S2-0103</t>
        </is>
      </c>
      <c r="B78" s="5" t="inlineStr">
        <is>
          <t>A</t>
        </is>
      </c>
      <c r="C78" s="3" t="inlineStr">
        <is>
          <t>Barber, F.; Furnell, S.</t>
        </is>
      </c>
      <c r="D78" s="6" t="n">
        <v>2023</v>
      </c>
      <c r="E78" s="3" t="inlineStr">
        <is>
          <t>Evaluating Consumer Understanding and Awareness of Connected and Autonomous Vehicle Data Privacy</t>
        </is>
      </c>
      <c r="F78" s="5" t="inlineStr">
        <is>
          <t>Conference paper</t>
        </is>
      </c>
      <c r="G78" s="10" t="inlineStr">
        <is>
          <t>FT</t>
        </is>
      </c>
      <c r="H78" s="3" t="inlineStr">
        <is>
          <t>INCLUDE</t>
        </is>
      </c>
      <c r="I78" s="3" t="n"/>
      <c r="J78" s="3" t="inlineStr">
        <is>
          <t>Mixed</t>
        </is>
      </c>
      <c r="K78" s="3" t="inlineStr">
        <is>
          <t>n=168 survey respondents from 14 countries, predominantly UK, plus n=6 virtual focus-group participants; survey 5–19 Aug 2021; focus group 21 Aug 2021</t>
        </is>
      </c>
      <c r="L78" s="3" t="n"/>
      <c r="O78" s="3" t="inlineStr">
        <is>
          <t>Published</t>
        </is>
      </c>
      <c r="P78" s="12" t="n">
        <v>46300</v>
      </c>
      <c r="Q78" s="3" t="n"/>
      <c r="R78" s="3" t="inlineStr">
        <is>
          <t>§4–5; consumer survey and focus group directly examined CAV data collection, privacy knowledge and controls; findings identified major uncertainty around vehicle data practices and demand for accessible in-vehicle/app-based privacy controls.</t>
        </is>
      </c>
      <c r="S78" s="3" t="inlineStr">
        <is>
          <t>Y</t>
        </is>
      </c>
      <c r="T78" s="3" t="inlineStr">
        <is>
          <t>N</t>
        </is>
      </c>
      <c r="U78" s="3" t="inlineStr">
        <is>
          <t>Y</t>
        </is>
      </c>
    </row>
    <row r="79" ht="57" customHeight="1" s="18">
      <c r="A79" s="5" t="inlineStr">
        <is>
          <t>S2-0205</t>
        </is>
      </c>
      <c r="B79" s="5" t="inlineStr">
        <is>
          <t>A</t>
        </is>
      </c>
      <c r="C79" s="3" t="inlineStr">
        <is>
          <t>Rezaei, A.; Caulfield, B.</t>
        </is>
      </c>
      <c r="D79" s="6" t="n">
        <v>2020</v>
      </c>
      <c r="E79" s="3" t="inlineStr">
        <is>
          <t>Examining public acceptance of autonomous mobility</t>
        </is>
      </c>
      <c r="F79" s="5" t="inlineStr">
        <is>
          <t>Journal article</t>
        </is>
      </c>
      <c r="G79" s="10" t="inlineStr">
        <is>
          <t>FT</t>
        </is>
      </c>
      <c r="H79" s="3" t="inlineStr">
        <is>
          <t>INCLUDE</t>
        </is>
      </c>
      <c r="I79" s="3" t="n"/>
      <c r="J79" s="3" t="inlineStr">
        <is>
          <t>Survey</t>
        </is>
      </c>
      <c r="K79" s="3" t="inlineStr">
        <is>
          <t>n=475 usable respondents; nationally sampled Irish adults; Ireland; online panel survey; Jan 2019</t>
        </is>
      </c>
      <c r="L79" s="3" t="n"/>
      <c r="O79" s="3" t="inlineStr">
        <is>
          <t>Published</t>
        </is>
      </c>
      <c r="P79" s="12" t="n">
        <v>46300</v>
      </c>
      <c r="Q79" s="3" t="n"/>
      <c r="R79" s="3" t="inlineStr">
        <is>
          <t>§3–4.2; national Irish survey directly measured concern about AV travel-data recording and privacy; privacy concern strongly reduced willingness to permit AV data recording and was associated with AV acceptance.</t>
        </is>
      </c>
      <c r="S79" s="3" t="inlineStr">
        <is>
          <t>Y</t>
        </is>
      </c>
      <c r="T79" s="3" t="inlineStr">
        <is>
          <t>N</t>
        </is>
      </c>
      <c r="U79" s="3" t="inlineStr">
        <is>
          <t>N</t>
        </is>
      </c>
    </row>
    <row r="80" ht="42.75" customHeight="1" s="18">
      <c r="A80" s="5" t="inlineStr">
        <is>
          <t>S2-0212</t>
        </is>
      </c>
      <c r="B80" s="5" t="inlineStr">
        <is>
          <t>A</t>
        </is>
      </c>
      <c r="C80" s="3" t="inlineStr">
        <is>
          <t>Kinra, A.; Beheshti-Kashi, S.; Buch, R.; Nielsen, T.A.S.; Pereira, F.</t>
        </is>
      </c>
      <c r="D80" s="6" t="n">
        <v>2020</v>
      </c>
      <c r="E80" s="3" t="inlineStr">
        <is>
          <t>Examining the potential of textual big data analytics for public policy decision-making: A case study with driverless cars in Denmark</t>
        </is>
      </c>
      <c r="F80" s="5" t="inlineStr">
        <is>
          <t>Journal article</t>
        </is>
      </c>
      <c r="G80" s="10" t="inlineStr">
        <is>
          <t>FT</t>
        </is>
      </c>
      <c r="H80" s="3" t="inlineStr">
        <is>
          <t>INCLUDE</t>
        </is>
      </c>
      <c r="I80" s="3" t="n"/>
      <c r="J80" s="3" t="inlineStr">
        <is>
          <t>Online-discourse analysis</t>
        </is>
      </c>
      <c r="K80" s="3" t="inlineStr">
        <is>
          <t>1338 Danish newspaper publications from 7 Feb 2012–7 Feb 2017 plus 157000 English-language tweets collected Dec 2016–Apr 2017; Danish Road Directorate case study</t>
        </is>
      </c>
      <c r="L80" s="3" t="inlineStr">
        <is>
          <t>Hacking and data privacy appeared in the empirical textual analysis but were much less prominent than safety, congestion, labour-market and liability themes; newspaper classification counted 35 hacking and 27 data-privacy paragraphs.</t>
        </is>
      </c>
      <c r="M80" t="inlineStr">
        <is>
          <t>Directly relevant online/textual public-opinion evidence; combines LDA topic modelling, dictionary-based document classification and sentiment analysis. Findings received expert face-validity review rather than held-out predictive classifier validation, and limited Danish Twitter volume required use of a global English-language tweet sample.</t>
        </is>
      </c>
      <c r="O80" s="3" t="inlineStr">
        <is>
          <t>Published</t>
        </is>
      </c>
      <c r="P80" s="12" t="n">
        <v>46300</v>
      </c>
      <c r="Q80" s="3" t="n"/>
      <c r="R80" s="3" t="inlineStr">
        <is>
          <t>§3.3–5; 1338 Danish publications and 157000 tweets were analysed using topic modelling, document classification and sentiment analysis; hacking/privacy were empirically detected but comparatively infrequent.</t>
        </is>
      </c>
      <c r="S80" s="3" t="inlineStr">
        <is>
          <t>Y</t>
        </is>
      </c>
      <c r="T80" s="3" t="inlineStr">
        <is>
          <t>N</t>
        </is>
      </c>
      <c r="U80" s="3" t="inlineStr">
        <is>
          <t>N</t>
        </is>
      </c>
    </row>
    <row r="81" ht="28.5" customHeight="1" s="18">
      <c r="A81" s="5" t="inlineStr">
        <is>
          <t>S2-0047</t>
        </is>
      </c>
      <c r="B81" s="5" t="inlineStr">
        <is>
          <t>A</t>
        </is>
      </c>
      <c r="C81" s="3" t="inlineStr">
        <is>
          <t>L. Tang; M. Bashir</t>
        </is>
      </c>
      <c r="D81" s="6" t="n">
        <v>2024</v>
      </c>
      <c r="E81" s="3" t="inlineStr">
        <is>
          <t>Examining Trust’s Influence on Autonomous Vehicle Perceptions</t>
        </is>
      </c>
      <c r="F81" s="5" t="inlineStr">
        <is>
          <t>Conference paper</t>
        </is>
      </c>
      <c r="G81" s="10" t="inlineStr">
        <is>
          <t>FT</t>
        </is>
      </c>
      <c r="H81" s="3" t="inlineStr">
        <is>
          <t>INCLUDE</t>
        </is>
      </c>
      <c r="I81" s="3" t="n"/>
      <c r="J81" s="3" t="inlineStr">
        <is>
          <t>Survey</t>
        </is>
      </c>
      <c r="K81" s="3" t="inlineStr">
        <is>
          <t>n=248 analysed from 344 US participants; United States; Amazon Mechanical Turk online survey; collection period not stated</t>
        </is>
      </c>
      <c r="L81" s="3" t="n"/>
      <c r="O81" s="3" t="inlineStr">
        <is>
          <t>Published</t>
        </is>
      </c>
      <c r="P81" s="12" t="n">
        <v>46300</v>
      </c>
      <c r="Q81" s="3" t="n"/>
      <c r="R81" s="3" t="inlineStr">
        <is>
          <t>§III–V; 248 US respondents were analysed by trust/complacency level; cybersecurity and privacy emerged as participant-reported AV concerns, with data-privacy concern particularly evident among medium- and high-trust respondents.</t>
        </is>
      </c>
      <c r="S81" s="3" t="inlineStr">
        <is>
          <t>Y</t>
        </is>
      </c>
      <c r="T81" s="3" t="inlineStr">
        <is>
          <t>N</t>
        </is>
      </c>
      <c r="U81" s="3" t="inlineStr">
        <is>
          <t>N</t>
        </is>
      </c>
    </row>
    <row r="82" ht="42.75" customHeight="1" s="18">
      <c r="A82" s="5" t="inlineStr">
        <is>
          <t>S2-0133</t>
        </is>
      </c>
      <c r="B82" s="5" t="inlineStr">
        <is>
          <t>A</t>
        </is>
      </c>
      <c r="C82" s="3" t="inlineStr">
        <is>
          <t>Khalid Khan, S.; Shiwakoti, N.; Stasinopoulos, P.; Chen, Y.; Warren, M.</t>
        </is>
      </c>
      <c r="D82" s="6" t="n">
        <v>2024</v>
      </c>
      <c r="E82" s="3" t="inlineStr">
        <is>
          <t>Exploratory factor analysis for cybersecurity regulation and consumer data in autonomous vehicle acceptance: Insights from four OECD countries</t>
        </is>
      </c>
      <c r="F82" s="5" t="inlineStr">
        <is>
          <t>Journal article</t>
        </is>
      </c>
      <c r="G82" s="10" t="inlineStr">
        <is>
          <t>FT</t>
        </is>
      </c>
      <c r="H82" s="3" t="inlineStr">
        <is>
          <t>INCLUDE</t>
        </is>
      </c>
      <c r="I82" s="3" t="n"/>
      <c r="J82" s="3" t="inlineStr">
        <is>
          <t>Survey</t>
        </is>
      </c>
      <c r="K82" s="3" t="inlineStr">
        <is>
          <t>n=2062 adults; US n=525, New Zealand n=511, Australia n=524, UK n=502; Qualtrics online survey; collection period not stated</t>
        </is>
      </c>
      <c r="L82" s="3" t="n"/>
      <c r="O82" s="3" t="inlineStr">
        <is>
          <t>Published</t>
        </is>
      </c>
      <c r="P82" s="12" t="n">
        <v>46300</v>
      </c>
      <c r="Q82" s="3" t="n"/>
      <c r="R82" s="3" t="inlineStr">
        <is>
          <t>§3–5; four-country survey directly measured cybersecurity regulation, AV data sharing, data usage and privacy concerns; support for cyber regulation was high and respondents differentiated data sharing with other AVs, ITS infrastructure and other stakeholders.</t>
        </is>
      </c>
      <c r="S82" s="3" t="inlineStr">
        <is>
          <t>Y</t>
        </is>
      </c>
      <c r="T82" s="3" t="inlineStr">
        <is>
          <t>N</t>
        </is>
      </c>
      <c r="U82" s="3" t="inlineStr">
        <is>
          <t>Y</t>
        </is>
      </c>
    </row>
    <row r="83" ht="42.75" customHeight="1" s="18">
      <c r="A83" s="5" t="inlineStr">
        <is>
          <t>S2-0116</t>
        </is>
      </c>
      <c r="B83" s="5" t="inlineStr">
        <is>
          <t>A</t>
        </is>
      </c>
      <c r="C83" s="3" t="inlineStr">
        <is>
          <t>Ekman, F.; Johansson, M.; Bligård, L.-O.; Karlsson, M.; Strömberg, H.</t>
        </is>
      </c>
      <c r="D83" s="6" t="n">
        <v>2019</v>
      </c>
      <c r="E83" s="3" t="inlineStr">
        <is>
          <t>Exploring automated vehicle driving styles as a source of trust information</t>
        </is>
      </c>
      <c r="F83" s="5" t="inlineStr">
        <is>
          <t>Journal article</t>
        </is>
      </c>
      <c r="G83" s="10" t="inlineStr">
        <is>
          <t>FT</t>
        </is>
      </c>
      <c r="H83" s="3" t="inlineStr">
        <is>
          <t>INCLUDE</t>
        </is>
      </c>
      <c r="I83" s="3" t="n"/>
      <c r="J83" s="3" t="inlineStr">
        <is>
          <t>Experiment</t>
        </is>
      </c>
      <c r="K83" s="3" t="inlineStr">
        <is>
          <t>n=18 licensed drivers aged 20–55; Gothenburg area, Sweden; Wizard-of-Oz on-road/test-track within-subject experiment; collection period not stated</t>
        </is>
      </c>
      <c r="L83" s="3" t="n"/>
      <c r="O83" s="3" t="inlineStr">
        <is>
          <t>Published</t>
        </is>
      </c>
      <c r="P83" s="12" t="n">
        <v>46300</v>
      </c>
      <c r="Q83" s="3" t="n"/>
      <c r="R83" s="3" t="inlineStr">
        <is>
          <t>§3–Results; 18 participants experienced defensive and aggressive automated-driving styles; repeated trust measures showed the defensive, smoother and more predictable style was perceived as more trustworthy.</t>
        </is>
      </c>
      <c r="S83" s="3" t="inlineStr">
        <is>
          <t>N</t>
        </is>
      </c>
      <c r="T83" s="3" t="inlineStr">
        <is>
          <t>Y</t>
        </is>
      </c>
      <c r="U83" s="3" t="inlineStr">
        <is>
          <t>Y</t>
        </is>
      </c>
    </row>
    <row r="84" ht="42.75" customHeight="1" s="18">
      <c r="A84" s="5" t="inlineStr">
        <is>
          <t>S2-0117</t>
        </is>
      </c>
      <c r="B84" s="5" t="inlineStr">
        <is>
          <t>A</t>
        </is>
      </c>
      <c r="C84" s="3" t="inlineStr">
        <is>
          <t>Liu, N.; Nikitas, A.; Parkinson, S.</t>
        </is>
      </c>
      <c r="D84" s="6" t="n">
        <v>2020</v>
      </c>
      <c r="E84" s="3" t="inlineStr">
        <is>
          <t>Exploring expert perceptions about the cyber security and privacy of Connected and Autonomous Vehicles: A thematic analysis approach</t>
        </is>
      </c>
      <c r="F84" s="5" t="inlineStr">
        <is>
          <t>Journal article</t>
        </is>
      </c>
      <c r="G84" s="10" t="inlineStr">
        <is>
          <t>FT</t>
        </is>
      </c>
      <c r="H84" s="3" t="inlineStr">
        <is>
          <t>INCLUDE</t>
        </is>
      </c>
      <c r="I84" s="3" t="n"/>
      <c r="J84" s="3" t="inlineStr">
        <is>
          <t>Interview/focus group</t>
        </is>
      </c>
      <c r="K84" s="3" t="inlineStr">
        <is>
          <t>n=36 CAV experts from academia, industry and policymaking; nine countries across Europe, Asia and North America; face-to-face/Skype semi-structured interviews; Mar–May 2019</t>
        </is>
      </c>
      <c r="L84" s="3" t="n"/>
      <c r="O84" s="3" t="inlineStr">
        <is>
          <t>Published</t>
        </is>
      </c>
      <c r="P84" s="12" t="n">
        <v>46300</v>
      </c>
      <c r="Q84" s="3" t="n"/>
      <c r="R84" s="3" t="inlineStr">
        <is>
          <t>§3–7; 36 international CAV experts identified privacy and cybersecurity challenges affecting acceptance, including hacking, data exploitation, software/connectivity risks, responsibility, legislation, education and trust.</t>
        </is>
      </c>
      <c r="S84" s="3" t="inlineStr">
        <is>
          <t>Y</t>
        </is>
      </c>
      <c r="T84" s="3" t="inlineStr">
        <is>
          <t>N</t>
        </is>
      </c>
      <c r="U84" s="3" t="inlineStr">
        <is>
          <t>Y</t>
        </is>
      </c>
    </row>
    <row r="85" ht="28.5" customHeight="1" s="18">
      <c r="A85" s="5" t="inlineStr">
        <is>
          <t>S2-0193</t>
        </is>
      </c>
      <c r="B85" s="5" t="inlineStr">
        <is>
          <t>A</t>
        </is>
      </c>
      <c r="C85" s="3" t="inlineStr">
        <is>
          <t>Zheng, L.; Guo, Y.; Zou, Y.</t>
        </is>
      </c>
      <c r="D85" s="6" t="n">
        <v>2024</v>
      </c>
      <c r="E85" s="3" t="inlineStr">
        <is>
          <t>Exploring Factors Affecting People’s Acceptance of Connected Vehicle Technology in China</t>
        </is>
      </c>
      <c r="F85" s="5" t="inlineStr">
        <is>
          <t>Journal article</t>
        </is>
      </c>
      <c r="G85" s="10" t="inlineStr">
        <is>
          <t>FT</t>
        </is>
      </c>
      <c r="H85" s="3" t="inlineStr">
        <is>
          <t>INCLUDE</t>
        </is>
      </c>
      <c r="I85" s="3" t="n"/>
      <c r="J85" s="3" t="inlineStr">
        <is>
          <t>Survey</t>
        </is>
      </c>
      <c r="K85" s="3" t="inlineStr">
        <is>
          <t>n=567 Chinese drivers; China; online questionnaire; two-month collection period in early 2023</t>
        </is>
      </c>
      <c r="L85" s="3" t="n"/>
      <c r="O85" s="3" t="inlineStr">
        <is>
          <t>Published</t>
        </is>
      </c>
      <c r="P85" s="12" t="n">
        <v>46300</v>
      </c>
      <c r="Q85" s="3" t="n"/>
      <c r="R85" s="3" t="inlineStr">
        <is>
          <t>§3–5; 567 drivers assessed V2X acceptance; data-security trust and perceived risks from automatic recording, data misuse, interception, location and movement monitoring were directly measured.</t>
        </is>
      </c>
      <c r="S85" s="3" t="inlineStr">
        <is>
          <t>Y</t>
        </is>
      </c>
      <c r="T85" s="3" t="inlineStr">
        <is>
          <t>N</t>
        </is>
      </c>
      <c r="U85" s="3" t="inlineStr">
        <is>
          <t>Y</t>
        </is>
      </c>
    </row>
    <row r="86" ht="42.75" customHeight="1" s="18">
      <c r="A86" s="5" t="inlineStr">
        <is>
          <t>S2-0083</t>
        </is>
      </c>
      <c r="B86" s="5" t="inlineStr">
        <is>
          <t>A</t>
        </is>
      </c>
      <c r="C86" s="3" t="inlineStr">
        <is>
          <t>S. Balali; J. Parham-Mocello; B. Steel; M. D. Jones; W. Billah</t>
        </is>
      </c>
      <c r="D86" s="6" t="n">
        <v>2025</v>
      </c>
      <c r="E86" s="3" t="inlineStr">
        <is>
          <t>Exploring Graduate Student Views on Robotics Policy Relevant Information</t>
        </is>
      </c>
      <c r="F86" s="5" t="inlineStr">
        <is>
          <t>Conference paper</t>
        </is>
      </c>
      <c r="G86" s="10" t="inlineStr">
        <is>
          <t>FT</t>
        </is>
      </c>
      <c r="H86" s="3" t="inlineStr">
        <is>
          <t>INCLUDE</t>
        </is>
      </c>
      <c r="I86" s="3" t="n"/>
      <c r="J86" s="3" t="inlineStr">
        <is>
          <t>Interview/focus group</t>
        </is>
      </c>
      <c r="K86" s="3" t="inlineStr">
        <is>
          <t>n=7 graduate students, 3 Computer Science and 4 Public Policy; six Zoom interviews and one in-person interview; participant location and collection period not stated</t>
        </is>
      </c>
      <c r="L86" s="3" t="n"/>
      <c r="O86" s="3" t="inlineStr">
        <is>
          <t>Published</t>
        </is>
      </c>
      <c r="P86" s="12" t="n">
        <v>46300</v>
      </c>
      <c r="Q86" s="3" t="n"/>
      <c r="R86" s="3" t="inlineStr">
        <is>
          <t>§IV–V; self-driving cars were among the most concerning robot types; participants specifically raised vehicle hacking, cybersecurity, tracking and persistent trip/data logging as policy concerns.</t>
        </is>
      </c>
      <c r="S86" s="3" t="inlineStr">
        <is>
          <t>Y</t>
        </is>
      </c>
      <c r="T86" s="3" t="inlineStr">
        <is>
          <t>N</t>
        </is>
      </c>
      <c r="U86" s="3" t="inlineStr">
        <is>
          <t>Y</t>
        </is>
      </c>
    </row>
    <row r="87" ht="99.75" customHeight="1" s="18">
      <c r="A87" s="5" t="inlineStr">
        <is>
          <t>S2-0142</t>
        </is>
      </c>
      <c r="B87" s="5" t="inlineStr">
        <is>
          <t>A</t>
        </is>
      </c>
      <c r="C87" s="3" t="inlineStr">
        <is>
          <t>Duboz, A.; Mourtzouchou, A.; Grosso, M.; Kolarova, V.; Cordera, R.; Nägele, S.; Alonso Raposo, M.; Krause, J.; Garus, A.; Eisenmann, C.; dell'Olio, L.; Alonso, B.; Ciuffo, B.</t>
        </is>
      </c>
      <c r="D87" s="6" t="n">
        <v>2022</v>
      </c>
      <c r="E87" s="3" t="inlineStr">
        <is>
          <t>Exploring the acceptance of connected and automated vehicles: Focus group discussions with experts and non-experts in transport</t>
        </is>
      </c>
      <c r="F87" s="5" t="inlineStr">
        <is>
          <t>Journal article</t>
        </is>
      </c>
      <c r="G87" s="10" t="inlineStr">
        <is>
          <t>FT</t>
        </is>
      </c>
      <c r="H87" s="3" t="inlineStr">
        <is>
          <t>INCLUDE</t>
        </is>
      </c>
      <c r="I87" s="3" t="n"/>
      <c r="J87" s="3" t="inlineStr">
        <is>
          <t>Interview/focus group</t>
        </is>
      </c>
      <c r="K87" s="3" t="inlineStr">
        <is>
          <t>n=72; 40 transport experts and 32 non-experts from 15 EU and 8 non-EU countries; 15 online focus groups; Jun 2020–Jan 2021</t>
        </is>
      </c>
      <c r="L87" s="3" t="n"/>
      <c r="O87" s="3" t="inlineStr">
        <is>
          <t>Published</t>
        </is>
      </c>
      <c r="P87" s="12" t="n">
        <v>46300</v>
      </c>
      <c r="Q87" s="3" t="n"/>
      <c r="R87" s="3" t="inlineStr">
        <is>
          <t>§3–5; participants discussed CAV acceptance, privacy, cyber-attacks, hacking, personal-data sharing and dependence on connected IT/sensor systems; final questioning also assessed whether views changed during the discussion.</t>
        </is>
      </c>
      <c r="S87" s="3" t="inlineStr">
        <is>
          <t>Y</t>
        </is>
      </c>
      <c r="T87" s="3" t="inlineStr">
        <is>
          <t>Y</t>
        </is>
      </c>
      <c r="U87" s="3" t="inlineStr">
        <is>
          <t>Y</t>
        </is>
      </c>
    </row>
    <row r="88" ht="28.5" customHeight="1" s="18">
      <c r="A88" s="5" t="inlineStr">
        <is>
          <t>S2-0229</t>
        </is>
      </c>
      <c r="B88" s="5" t="inlineStr">
        <is>
          <t>A</t>
        </is>
      </c>
      <c r="C88" s="3" t="inlineStr">
        <is>
          <t>Kreps, S.; George, J.; Lushenko, P.; Rao, A.</t>
        </is>
      </c>
      <c r="D88" s="6" t="n">
        <v>2023</v>
      </c>
      <c r="E88" s="3" t="inlineStr">
        <is>
          <t>Exploring the artificial intelligence “Trust paradox”: Evidence from a survey experiment in the United States</t>
        </is>
      </c>
      <c r="F88" s="5" t="inlineStr">
        <is>
          <t>Journal article</t>
        </is>
      </c>
      <c r="G88" s="10" t="inlineStr">
        <is>
          <t>FT</t>
        </is>
      </c>
      <c r="H88" s="3" t="inlineStr">
        <is>
          <t>INCLUDE</t>
        </is>
      </c>
      <c r="I88" s="3" t="n"/>
      <c r="J88" s="3" t="inlineStr">
        <is>
          <t>Experiment</t>
        </is>
      </c>
      <c r="K88" s="3" t="inlineStr">
        <is>
          <t>n=1008 US adults; nationally quota-matched Lucid sample; United States; conjoint plus second survey experiment; 7–21 Oct 2022</t>
        </is>
      </c>
      <c r="L88" s="3" t="n"/>
      <c r="O88" s="3" t="inlineStr">
        <is>
          <t>Published</t>
        </is>
      </c>
      <c r="P88" s="12" t="n">
        <v>46300</v>
      </c>
      <c r="Q88" s="3" t="n"/>
      <c r="R88" s="3" t="inlineStr">
        <is>
          <t>§Materials and Methods–Results; within-subject conjoint and subsequent experiment compared trust and support across AI applications including driverless cars; support for AI-enabled cars significantly exceeded trust.</t>
        </is>
      </c>
      <c r="S88" s="3" t="inlineStr">
        <is>
          <t>N</t>
        </is>
      </c>
      <c r="T88" s="3" t="inlineStr">
        <is>
          <t>Y</t>
        </is>
      </c>
      <c r="U88" s="3" t="inlineStr">
        <is>
          <t>N</t>
        </is>
      </c>
    </row>
    <row r="89" ht="42.75" customHeight="1" s="18">
      <c r="A89" s="5" t="inlineStr">
        <is>
          <t>S2-0206</t>
        </is>
      </c>
      <c r="B89" s="5" t="inlineStr">
        <is>
          <t>A</t>
        </is>
      </c>
      <c r="C89" s="3" t="inlineStr">
        <is>
          <t>Chen, Y.; Shiwakoti, N.; Stasinopoulos, P.; Khan, S.K.; Aghabayk, K.</t>
        </is>
      </c>
      <c r="D89" s="6" t="n">
        <v>2024</v>
      </c>
      <c r="E89" s="3" t="inlineStr">
        <is>
          <t>Exploring the association between socio-demographic factors and public acceptance towards fully automated vehicles: Insights from a survey in Australia</t>
        </is>
      </c>
      <c r="F89" s="5" t="inlineStr">
        <is>
          <t>Journal article</t>
        </is>
      </c>
      <c r="G89" s="10" t="inlineStr">
        <is>
          <t>FT</t>
        </is>
      </c>
      <c r="H89" s="3" t="inlineStr">
        <is>
          <t>INCLUDE</t>
        </is>
      </c>
      <c r="I89" s="3" t="n"/>
      <c r="J89" s="3" t="inlineStr">
        <is>
          <t>Survey</t>
        </is>
      </c>
      <c r="K89" s="3" t="inlineStr">
        <is>
          <t>n=809; Australian adults aged 18+ with sample distribution aligned to ABS age, gender and state data; Australia; Qualtrics online survey; mid-Oct–early Nov 2022</t>
        </is>
      </c>
      <c r="L89" s="3" t="n"/>
      <c r="O89" s="3" t="inlineStr">
        <is>
          <t>Published</t>
        </is>
      </c>
      <c r="P89" s="12" t="n">
        <v>46300</v>
      </c>
      <c r="Q89" s="3" t="n"/>
      <c r="R89" s="3" t="inlineStr">
        <is>
          <t>§3–4; 809 Australian respondents assessed seven fully automated-vehicle acceptance dimensions; data privacy was directly measured through concerns about personal-information collection and sharing.</t>
        </is>
      </c>
      <c r="S89" s="3" t="inlineStr">
        <is>
          <t>Y</t>
        </is>
      </c>
      <c r="T89" s="3" t="inlineStr">
        <is>
          <t>N</t>
        </is>
      </c>
      <c r="U89" s="3" t="inlineStr">
        <is>
          <t>N</t>
        </is>
      </c>
    </row>
    <row r="90" ht="42.75" customHeight="1" s="18">
      <c r="A90" s="5" t="inlineStr">
        <is>
          <t>S2-0128</t>
        </is>
      </c>
      <c r="B90" s="5" t="inlineStr">
        <is>
          <t>A</t>
        </is>
      </c>
      <c r="C90" s="3" t="inlineStr">
        <is>
          <t>Cheng, Y.-H.; Fu, C.; Huang, C.-C.; Lai, Y.-C.</t>
        </is>
      </c>
      <c r="D90" s="6" t="n">
        <v>2025</v>
      </c>
      <c r="E90" s="3" t="inlineStr">
        <is>
          <t>Exploring the impact of the pandemic on the autonomous bus connecting service preferences with latent segmentation approach</t>
        </is>
      </c>
      <c r="F90" s="5" t="inlineStr">
        <is>
          <t>Journal article</t>
        </is>
      </c>
      <c r="G90" s="10" t="inlineStr">
        <is>
          <t>FT</t>
        </is>
      </c>
      <c r="H90" s="3" t="inlineStr">
        <is>
          <t>INCLUDE</t>
        </is>
      </c>
      <c r="I90" s="3" t="n"/>
      <c r="J90" s="3" t="inlineStr">
        <is>
          <t>Survey</t>
        </is>
      </c>
      <c r="K90" s="3" t="inlineStr">
        <is>
          <t>n=479 regular public-transport users aged 18+; Taiwan; online and on-site stated-preference survey at major rail stations; Feb–Mar 2021</t>
        </is>
      </c>
      <c r="L90" s="3" t="n"/>
      <c r="O90" s="3" t="inlineStr">
        <is>
          <t>Published</t>
        </is>
      </c>
      <c r="P90" s="12" t="n">
        <v>46300</v>
      </c>
      <c r="Q90" s="3" t="n"/>
      <c r="R90" s="3" t="inlineStr">
        <is>
          <t>§4–6; 479 Taiwanese PT users completed six repeated choice experiments across controlled-pandemic and outbreak scenarios; four segments were identified, including a privacy-conscious group whose preference reflected crowd avoidance, comfort and infection exposure rather than data privacy.</t>
        </is>
      </c>
      <c r="S90" s="3" t="inlineStr">
        <is>
          <t>N</t>
        </is>
      </c>
      <c r="T90" s="3" t="inlineStr">
        <is>
          <t>Y</t>
        </is>
      </c>
      <c r="U90" s="3" t="inlineStr">
        <is>
          <t>N</t>
        </is>
      </c>
    </row>
    <row r="91" ht="28.5" customHeight="1" s="18">
      <c r="A91" s="5" t="inlineStr">
        <is>
          <t>S2-0171</t>
        </is>
      </c>
      <c r="B91" s="5" t="inlineStr">
        <is>
          <t>A</t>
        </is>
      </c>
      <c r="C91" s="3" t="inlineStr">
        <is>
          <t>Lee, J.D.; Kolodge, K.</t>
        </is>
      </c>
      <c r="D91" s="6" t="n">
        <v>2020</v>
      </c>
      <c r="E91" s="3" t="inlineStr">
        <is>
          <t>Exploring Trust in Self-Driving Vehicles Through Text Analysis</t>
        </is>
      </c>
      <c r="F91" s="5" t="inlineStr">
        <is>
          <t>Journal article</t>
        </is>
      </c>
      <c r="G91" s="10" t="inlineStr">
        <is>
          <t>FT</t>
        </is>
      </c>
      <c r="H91" s="3" t="inlineStr">
        <is>
          <t>INCLUDE</t>
        </is>
      </c>
      <c r="I91" s="3" t="n"/>
      <c r="J91" s="3" t="inlineStr">
        <is>
          <t>Survey</t>
        </is>
      </c>
      <c r="K91" s="3" t="inlineStr">
        <is>
          <t>n=15,568 valid trust responses (7,459 in 2016; 8,109 in 2017), including 6,489 analysable open comments; US drivers; Feb–Mar 2016 and Jan–Feb 2017</t>
        </is>
      </c>
      <c r="L91" s="3" t="n"/>
      <c r="O91" s="3" t="inlineStr">
        <is>
          <t>Published</t>
        </is>
      </c>
      <c r="P91" s="12" t="n">
        <v>46300</v>
      </c>
      <c r="Q91" s="3" t="n"/>
      <c r="R91" s="3" t="inlineStr">
        <is>
          <t>Method–Results; 15,568 valid US trust ratings; topic modelling found “Hacking &amp; glitches”, including software/computer-system takeover concerns.</t>
        </is>
      </c>
      <c r="S91" s="3" t="inlineStr">
        <is>
          <t>Y</t>
        </is>
      </c>
      <c r="T91" s="3" t="inlineStr">
        <is>
          <t>N</t>
        </is>
      </c>
      <c r="U91" s="3" t="inlineStr">
        <is>
          <t>Y</t>
        </is>
      </c>
    </row>
    <row r="92" ht="42.75" customHeight="1" s="18">
      <c r="A92" s="5" t="inlineStr">
        <is>
          <t>S2-0044</t>
        </is>
      </c>
      <c r="B92" s="5" t="inlineStr">
        <is>
          <t>A</t>
        </is>
      </c>
      <c r="C92" s="3" t="inlineStr">
        <is>
          <t>Y. Ma; S. Li; S. Qin; Y. Qi</t>
        </is>
      </c>
      <c r="D92" s="6" t="n">
        <v>2021</v>
      </c>
      <c r="E92" s="3" t="inlineStr">
        <is>
          <t>Factors Affecting Trust in the Autonomous Vehicle: A Survey of Primary School Students and Parent Perceptions</t>
        </is>
      </c>
      <c r="F92" s="5" t="inlineStr">
        <is>
          <t>Conference paper</t>
        </is>
      </c>
      <c r="G92" s="10" t="inlineStr">
        <is>
          <t>FT</t>
        </is>
      </c>
      <c r="H92" s="3" t="inlineStr">
        <is>
          <t>INCLUDE</t>
        </is>
      </c>
      <c r="I92" s="3" t="n"/>
      <c r="J92" s="3" t="inlineStr">
        <is>
          <t>Survey</t>
        </is>
      </c>
      <c r="K92" s="3" t="inlineStr">
        <is>
          <t>n=264 valid respondents; 131 primary-school students and 133 parents; China; online questionnaire; collection period not stated</t>
        </is>
      </c>
      <c r="L92" s="3" t="n"/>
      <c r="O92" s="3" t="inlineStr">
        <is>
          <t>Published</t>
        </is>
      </c>
      <c r="P92" s="12" t="n">
        <v>46300</v>
      </c>
      <c r="Q92" s="3" t="n"/>
      <c r="R92" s="3" t="inlineStr">
        <is>
          <t>§III–IV; 264 parent/child respondents measured privacy-safety risk, including concern that AV computer systems could be hacked, alongside trust.</t>
        </is>
      </c>
      <c r="S92" s="3" t="inlineStr">
        <is>
          <t>Y</t>
        </is>
      </c>
      <c r="T92" s="3" t="inlineStr">
        <is>
          <t>N</t>
        </is>
      </c>
      <c r="U92" s="3" t="inlineStr">
        <is>
          <t>Y</t>
        </is>
      </c>
    </row>
    <row r="93" ht="42.75" customHeight="1" s="18">
      <c r="A93" s="5" t="inlineStr">
        <is>
          <t>S2-0262</t>
        </is>
      </c>
      <c r="B93" s="5" t="inlineStr">
        <is>
          <t>A</t>
        </is>
      </c>
      <c r="C93" s="3" t="inlineStr">
        <is>
          <t>Iranmanesh, M.; Ghobakhloo, M.; Foroughi, B.; Nilashi, M.; Yadegaridehkordi, E.</t>
        </is>
      </c>
      <c r="D93" s="6" t="n">
        <v>2024</v>
      </c>
      <c r="E93" s="3" t="inlineStr">
        <is>
          <t>Factors influencing attitude and intention to use autonomous vehicles in Vietnam: findings from PLS-SEM and ANFIS</t>
        </is>
      </c>
      <c r="F93" s="5" t="inlineStr">
        <is>
          <t>Journal article</t>
        </is>
      </c>
      <c r="G93" s="10" t="inlineStr">
        <is>
          <t>FT</t>
        </is>
      </c>
      <c r="H93" s="3" t="inlineStr">
        <is>
          <t>INCLUDE</t>
        </is>
      </c>
      <c r="I93" s="3" t="n"/>
      <c r="J93" s="3" t="inlineStr">
        <is>
          <t>Survey</t>
        </is>
      </c>
      <c r="K93" s="3" t="inlineStr">
        <is>
          <t>n=378 Vietnamese respondents planning to purchase a car within three years and with no prior AV; Vietnam; Facebook-based online survey; collection period not stated</t>
        </is>
      </c>
      <c r="L93" s="3" t="n"/>
      <c r="O93" s="3" t="inlineStr">
        <is>
          <t>Published</t>
        </is>
      </c>
      <c r="P93" s="12" t="n">
        <v>46300</v>
      </c>
      <c r="Q93" s="3" t="n"/>
      <c r="R93" s="3" t="inlineStr">
        <is>
          <t>§5–6, Table 1; 378 Vietnamese respondents; privacy items covered route/location data, hacking and breaches, and privacy concern moderated AV attitude.</t>
        </is>
      </c>
      <c r="S93" s="3" t="inlineStr">
        <is>
          <t>Y</t>
        </is>
      </c>
      <c r="T93" s="3" t="inlineStr">
        <is>
          <t>N</t>
        </is>
      </c>
      <c r="U93" s="3" t="inlineStr">
        <is>
          <t>Y</t>
        </is>
      </c>
    </row>
    <row r="94" ht="57" customHeight="1" s="18">
      <c r="A94" s="5" t="inlineStr">
        <is>
          <t>S2-0241</t>
        </is>
      </c>
      <c r="B94" s="5" t="inlineStr">
        <is>
          <t>A</t>
        </is>
      </c>
      <c r="C94" s="3" t="inlineStr">
        <is>
          <t>Koppel, S.; Logan, D.B.; Zou, X.; Kaviani, F.; McDonald, H.; Hair Jr, J.F.; St. Louis, R.M.; Molnar, L.J.; Charlton, J.L.</t>
        </is>
      </c>
      <c r="D94" s="6" t="n">
        <v>2024</v>
      </c>
      <c r="E94" s="3" t="inlineStr">
        <is>
          <t>Factors influencing behavioral intentions to use conditionally automated vehicles</t>
        </is>
      </c>
      <c r="F94" s="5" t="inlineStr">
        <is>
          <t>Journal article</t>
        </is>
      </c>
      <c r="G94" s="10" t="inlineStr">
        <is>
          <t>FT</t>
        </is>
      </c>
      <c r="H94" s="3" t="inlineStr">
        <is>
          <t>INCLUDE</t>
        </is>
      </c>
      <c r="I94" s="3" t="n"/>
      <c r="J94" s="3" t="inlineStr">
        <is>
          <t>Survey</t>
        </is>
      </c>
      <c r="K94" s="3" t="inlineStr">
        <is>
          <t>n=844 licensed active drivers aged 18+; Australia; Qualtrics online survey; 2023</t>
        </is>
      </c>
      <c r="L94" s="3" t="n"/>
      <c r="O94" s="3" t="inlineStr">
        <is>
          <t>Published</t>
        </is>
      </c>
      <c r="P94" s="12" t="n">
        <v>46300</v>
      </c>
      <c r="Q94" s="3" t="n"/>
      <c r="R94" s="3" t="inlineStr">
        <is>
          <t>§2–3; 844 Australian drivers surveyed in 2023; perceived privacy/security risk negatively affected intention indirectly through trust and attitude.</t>
        </is>
      </c>
      <c r="S94" s="3" t="inlineStr">
        <is>
          <t>Y</t>
        </is>
      </c>
      <c r="T94" s="3" t="inlineStr">
        <is>
          <t>N</t>
        </is>
      </c>
      <c r="U94" s="3" t="inlineStr">
        <is>
          <t>N</t>
        </is>
      </c>
    </row>
    <row r="95" ht="42.75" customHeight="1" s="18">
      <c r="A95" s="5" t="inlineStr">
        <is>
          <t>S2-0263</t>
        </is>
      </c>
      <c r="B95" s="5" t="inlineStr">
        <is>
          <t>A</t>
        </is>
      </c>
      <c r="C95" s="3" t="inlineStr">
        <is>
          <t>Liu, M.; Wu, J.; Zhu, C.; Hu, K.</t>
        </is>
      </c>
      <c r="D95" s="6" t="n">
        <v>2022</v>
      </c>
      <c r="E95" s="3" t="inlineStr">
        <is>
          <t>Factors Influencing the Acceptance of Robo-Taxi Services in China: An Extended Technology Acceptance Model Analysis</t>
        </is>
      </c>
      <c r="F95" s="5" t="inlineStr">
        <is>
          <t>Journal article</t>
        </is>
      </c>
      <c r="G95" s="10" t="inlineStr">
        <is>
          <t>FT</t>
        </is>
      </c>
      <c r="H95" s="3" t="inlineStr">
        <is>
          <t>INCLUDE</t>
        </is>
      </c>
      <c r="I95" s="3" t="n"/>
      <c r="J95" s="3" t="inlineStr">
        <is>
          <t>Survey</t>
        </is>
      </c>
      <c r="K95" s="3" t="inlineStr">
        <is>
          <t>n=403 valid respondents; China; Wenjuanxing/social-network online questionnaire; Feb–Mar 2020</t>
        </is>
      </c>
      <c r="L95" s="3" t="n"/>
      <c r="O95" s="3" t="inlineStr">
        <is>
          <t>Published</t>
        </is>
      </c>
      <c r="P95" s="12" t="n">
        <v>46300</v>
      </c>
      <c r="Q95" s="3" t="n"/>
      <c r="R95" s="3" t="inlineStr">
        <is>
          <t>§3–5, Table 1; 403 Chinese respondents; perceived trust directly included concern about robo-taxi system security and data privacy.</t>
        </is>
      </c>
      <c r="S95" s="3" t="inlineStr">
        <is>
          <t>Y</t>
        </is>
      </c>
      <c r="T95" s="3" t="inlineStr">
        <is>
          <t>N</t>
        </is>
      </c>
      <c r="U95" s="3" t="inlineStr">
        <is>
          <t>N</t>
        </is>
      </c>
    </row>
    <row r="96" ht="42.75" customHeight="1" s="18">
      <c r="A96" s="5" t="inlineStr">
        <is>
          <t>S2-0130</t>
        </is>
      </c>
      <c r="B96" s="5" t="inlineStr">
        <is>
          <t>A</t>
        </is>
      </c>
      <c r="C96" s="3" t="inlineStr">
        <is>
          <t>Brill, S.; Kumar Debnath, A.; Payre, W.; Horan, B.; Birrell, S.</t>
        </is>
      </c>
      <c r="D96" s="6" t="n">
        <v>2024</v>
      </c>
      <c r="E96" s="3" t="inlineStr">
        <is>
          <t>Factors influencing the perception of safety for pedestrians and cyclists through interactions with automated vehicles in shared spaces</t>
        </is>
      </c>
      <c r="F96" s="5" t="inlineStr">
        <is>
          <t>Journal article</t>
        </is>
      </c>
      <c r="G96" s="10" t="inlineStr">
        <is>
          <t>FT</t>
        </is>
      </c>
      <c r="H96" s="3" t="inlineStr">
        <is>
          <t>INCLUDE</t>
        </is>
      </c>
      <c r="I96" s="3" t="n"/>
      <c r="J96" s="3" t="inlineStr">
        <is>
          <t>Survey</t>
        </is>
      </c>
      <c r="K96" s="3" t="inlineStr">
        <is>
          <t>n=254 adults, cyclists and pedestrians; Australia and UK; online Qualtrics scenario survey; collection period not stated</t>
        </is>
      </c>
      <c r="L96" s="3" t="n"/>
      <c r="O96" s="3" t="inlineStr">
        <is>
          <t>Published</t>
        </is>
      </c>
      <c r="P96" s="12" t="n">
        <v>46300</v>
      </c>
      <c r="Q96" s="3" t="n"/>
      <c r="R96" s="3" t="inlineStr">
        <is>
          <t>§3–4; 254 UK/Australian VRUs rated ten AV scenarios; eHMI presence increased willingness to cross, security and relaxation.</t>
        </is>
      </c>
      <c r="S96" s="3" t="inlineStr">
        <is>
          <t>N</t>
        </is>
      </c>
      <c r="T96" s="3" t="inlineStr">
        <is>
          <t>N</t>
        </is>
      </c>
      <c r="U96" s="3" t="inlineStr">
        <is>
          <t>Y</t>
        </is>
      </c>
    </row>
    <row r="97" ht="42.75" customHeight="1" s="18">
      <c r="A97" s="5" t="inlineStr">
        <is>
          <t>S2-0115</t>
        </is>
      </c>
      <c r="B97" s="5" t="inlineStr">
        <is>
          <t>A</t>
        </is>
      </c>
      <c r="C97" s="3" t="inlineStr">
        <is>
          <t>Arpaci, I.; Al-Sharafi, M.A.; Mahmoud, M.A.</t>
        </is>
      </c>
      <c r="D97" s="6" t="n">
        <v>2024</v>
      </c>
      <c r="E97" s="3" t="inlineStr">
        <is>
          <t>Factors predicting green behavior and environmental sustainability in autonomous vehicles: A deep learning-based ANN and PLS-SEM approach</t>
        </is>
      </c>
      <c r="F97" s="5" t="inlineStr">
        <is>
          <t>Journal article</t>
        </is>
      </c>
      <c r="G97" s="10" t="inlineStr">
        <is>
          <t>FT</t>
        </is>
      </c>
      <c r="H97" s="3" t="inlineStr">
        <is>
          <t>INCLUDE</t>
        </is>
      </c>
      <c r="I97" s="3" t="n"/>
      <c r="J97" s="3" t="inlineStr">
        <is>
          <t>Survey</t>
        </is>
      </c>
      <c r="K97" s="3" t="inlineStr">
        <is>
          <t>n=1266; adults; Marmara region, Türkiye; Google Forms/social-media survey; two months in 2023 (paper reports Nov–Oct 2023)</t>
        </is>
      </c>
      <c r="L97" s="3" t="n"/>
      <c r="O97" s="3" t="inlineStr">
        <is>
          <t>Published</t>
        </is>
      </c>
      <c r="P97" s="12" t="n">
        <v>46300</v>
      </c>
      <c r="Q97" s="3" t="n"/>
      <c r="R97" s="3" t="inlineStr">
        <is>
          <t>§3.1, Appendix A; n=1266 survey directly measured AV data security, privacy, cyberattack and communication-security concerns; these negatively predicted green behaviour.</t>
        </is>
      </c>
      <c r="S97" s="3" t="inlineStr">
        <is>
          <t>Y</t>
        </is>
      </c>
      <c r="T97" s="3" t="inlineStr">
        <is>
          <t>N</t>
        </is>
      </c>
      <c r="U97" s="3" t="inlineStr">
        <is>
          <t>Y</t>
        </is>
      </c>
    </row>
    <row r="98" ht="42.75" customHeight="1" s="18">
      <c r="A98" s="5" t="inlineStr">
        <is>
          <t>S2-0278</t>
        </is>
      </c>
      <c r="B98" s="5" t="inlineStr">
        <is>
          <t>A</t>
        </is>
      </c>
      <c r="C98" s="3" t="inlineStr">
        <is>
          <t>Dichabeng, P.; Merat, N.; Markkula, G.</t>
        </is>
      </c>
      <c r="D98" s="6" t="n">
        <v>2021</v>
      </c>
      <c r="E98" s="3" t="inlineStr">
        <is>
          <t>Factors that influence the acceptance of future shared automated vehicles – A focus group study with United Kingdom drivers</t>
        </is>
      </c>
      <c r="F98" s="5" t="inlineStr">
        <is>
          <t>Journal article</t>
        </is>
      </c>
      <c r="G98" s="10" t="inlineStr">
        <is>
          <t>FT</t>
        </is>
      </c>
      <c r="H98" s="3" t="inlineStr">
        <is>
          <t>INCLUDE</t>
        </is>
      </c>
      <c r="I98" s="3" t="n"/>
      <c r="J98" s="3" t="inlineStr">
        <is>
          <t>Interview/focus group</t>
        </is>
      </c>
      <c r="K98" s="3" t="inlineStr">
        <is>
          <t>n=21; British private-car users with car-sharing experience; England, United Kingdom; five-day online asynchronous focus group; May 2019</t>
        </is>
      </c>
      <c r="L98" s="3" t="n"/>
      <c r="O98" s="3" t="inlineStr">
        <is>
          <t>Published</t>
        </is>
      </c>
      <c r="P98" s="12" t="n">
        <v>46300</v>
      </c>
      <c r="Q98" s="3" t="n"/>
      <c r="R98" s="3" t="inlineStr">
        <is>
          <t>§2–3.4.5; 21 UK drivers discussed SAV acceptance; cybersecurity, privacy, software hacking, trip-history access and secure storage emerged within the security theme.</t>
        </is>
      </c>
      <c r="S98" s="3" t="inlineStr">
        <is>
          <t>Y</t>
        </is>
      </c>
      <c r="T98" s="3" t="inlineStr">
        <is>
          <t>N</t>
        </is>
      </c>
      <c r="U98" s="3" t="inlineStr">
        <is>
          <t>Y</t>
        </is>
      </c>
    </row>
    <row r="99" ht="42.75" customHeight="1" s="18">
      <c r="A99" s="5" t="inlineStr">
        <is>
          <t>S2-0141</t>
        </is>
      </c>
      <c r="B99" s="5" t="inlineStr">
        <is>
          <t>A</t>
        </is>
      </c>
      <c r="C99" s="3" t="inlineStr">
        <is>
          <t>Wu, L.; Mvondo, G.F.N.</t>
        </is>
      </c>
      <c r="D99" s="6" t="n">
        <v>2025</v>
      </c>
      <c r="E99" s="3" t="inlineStr">
        <is>
          <t>From sci-fi to reality: exploring user satisfaction and loyalty toward autonomous vehicle services through an extended expectation-confirmation model</t>
        </is>
      </c>
      <c r="F99" s="5" t="inlineStr">
        <is>
          <t>Journal article</t>
        </is>
      </c>
      <c r="G99" s="10" t="inlineStr">
        <is>
          <t>FT</t>
        </is>
      </c>
      <c r="H99" s="3" t="inlineStr">
        <is>
          <t>INCLUDE</t>
        </is>
      </c>
      <c r="I99" s="3" t="n"/>
      <c r="J99" s="3" t="inlineStr">
        <is>
          <t>Survey</t>
        </is>
      </c>
      <c r="K99" s="3" t="inlineStr">
        <is>
          <t>n=489; actual fully driverless robotaxi users; Beijing, Guangdong, Chongqing and Wuhan, China; purposive self-administered survey; Aug–Sep 2024</t>
        </is>
      </c>
      <c r="L99" s="3" t="n"/>
      <c r="O99" s="3" t="inlineStr">
        <is>
          <t>Published</t>
        </is>
      </c>
      <c r="P99" s="12" t="n">
        <v>46300</v>
      </c>
      <c r="Q99" s="3" t="n"/>
      <c r="R99" s="3" t="inlineStr">
        <is>
          <t>§5–6; 489 recent robotaxi users assessed post-adoption satisfaction; perceived personal/property security significantly predicted satisfaction with fully driverless services.</t>
        </is>
      </c>
      <c r="S99" s="3" t="inlineStr">
        <is>
          <t>N</t>
        </is>
      </c>
      <c r="T99" s="3" t="inlineStr">
        <is>
          <t>N</t>
        </is>
      </c>
      <c r="U99" s="3" t="inlineStr">
        <is>
          <t>N</t>
        </is>
      </c>
    </row>
    <row r="100" ht="28.5" customHeight="1" s="18">
      <c r="A100" s="5" t="inlineStr">
        <is>
          <t>S2-0225</t>
        </is>
      </c>
      <c r="B100" s="5" t="inlineStr">
        <is>
          <t>A</t>
        </is>
      </c>
      <c r="C100" s="3" t="inlineStr">
        <is>
          <t>Schmidt, T.; Philipsen, R.; Ziefle, M.</t>
        </is>
      </c>
      <c r="D100" s="6" t="n">
        <v>2015</v>
      </c>
      <c r="E100" s="3" t="inlineStr">
        <is>
          <t>From V2X to control2trust why trust and control are major attributes in vehicle2X technologies</t>
        </is>
      </c>
      <c r="F100" s="5" t="inlineStr">
        <is>
          <t>Conference paper</t>
        </is>
      </c>
      <c r="G100" s="10" t="inlineStr">
        <is>
          <t>FT</t>
        </is>
      </c>
      <c r="H100" s="3" t="inlineStr">
        <is>
          <t>INCLUDE</t>
        </is>
      </c>
      <c r="I100" s="3" t="n"/>
      <c r="J100" s="3" t="inlineStr">
        <is>
          <t>Survey</t>
        </is>
      </c>
      <c r="K100" s="3" t="inlineStr">
        <is>
          <t>n=110; adults aged 21–66; V2X questionnaire; participant country and collection period not stated</t>
        </is>
      </c>
      <c r="L100" s="3" t="n"/>
      <c r="O100" s="3" t="inlineStr">
        <is>
          <t>Published</t>
        </is>
      </c>
      <c r="P100" s="12" t="n">
        <v>46300</v>
      </c>
      <c r="Q100" s="3" t="n"/>
      <c r="R100" s="3" t="inlineStr">
        <is>
          <t>§2–3.3; n=110 V2X survey measured personal-data disclosure and storage by local infrastructure and central servers; long-term central storage was least accepted.</t>
        </is>
      </c>
      <c r="S100" s="3" t="inlineStr">
        <is>
          <t>Y</t>
        </is>
      </c>
      <c r="T100" s="3" t="inlineStr">
        <is>
          <t>N</t>
        </is>
      </c>
      <c r="U100" s="3" t="inlineStr">
        <is>
          <t>Y</t>
        </is>
      </c>
    </row>
    <row r="101" ht="57" customHeight="1" s="18">
      <c r="A101" s="5" t="inlineStr">
        <is>
          <t>S2-0172</t>
        </is>
      </c>
      <c r="B101" s="5" t="inlineStr">
        <is>
          <t>A</t>
        </is>
      </c>
      <c r="C101" s="3" t="inlineStr">
        <is>
          <t>Wexler, N.; Fan, Y.</t>
        </is>
      </c>
      <c r="D101" s="6" t="n">
        <v>2022</v>
      </c>
      <c r="E101" s="3" t="inlineStr">
        <is>
          <t>Gauging Public Attitudes and Preferences Toward a Hypothetical Future Public Shared Automated Vehicle System: Examining the Roles of Gender, Race, Income, and Health</t>
        </is>
      </c>
      <c r="F101" s="5" t="inlineStr">
        <is>
          <t>Journal article</t>
        </is>
      </c>
      <c r="G101" s="10" t="inlineStr">
        <is>
          <t>FT</t>
        </is>
      </c>
      <c r="H101" s="3" t="inlineStr">
        <is>
          <t>INCLUDE</t>
        </is>
      </c>
      <c r="I101" s="3" t="n"/>
      <c r="J101" s="3" t="inlineStr">
        <is>
          <t>Survey</t>
        </is>
      </c>
      <c r="K101" s="3" t="inlineStr">
        <is>
          <t>n=413; Twin Cities metropolitan-area residents; Minneapolis–St Paul, USA; Qualtrics/Facebook/Instagram survey; 3 Jul 2020–9 Jan 2021</t>
        </is>
      </c>
      <c r="L101" s="3" t="n"/>
      <c r="O101" s="3" t="inlineStr">
        <is>
          <t>Published</t>
        </is>
      </c>
      <c r="P101" s="12" t="n">
        <v>46300</v>
      </c>
      <c r="Q101" s="3" t="n"/>
      <c r="R101" s="3" t="inlineStr">
        <is>
          <t>§Survey Background–Results; 413 Twin Cities residents rated SAV willingness and design preferences, including onboard camera and attendant security features.</t>
        </is>
      </c>
      <c r="S101" s="3" t="inlineStr">
        <is>
          <t>N</t>
        </is>
      </c>
      <c r="T101" s="3" t="inlineStr">
        <is>
          <t>N</t>
        </is>
      </c>
      <c r="U101" s="3" t="inlineStr">
        <is>
          <t>N</t>
        </is>
      </c>
    </row>
    <row r="102" ht="28.5" customHeight="1" s="18">
      <c r="A102" s="5" t="inlineStr">
        <is>
          <t>S2-0105</t>
        </is>
      </c>
      <c r="B102" s="5" t="inlineStr">
        <is>
          <t>A</t>
        </is>
      </c>
      <c r="C102" s="3" t="inlineStr">
        <is>
          <t>Viktor, P.; Kiss, G.</t>
        </is>
      </c>
      <c r="D102" s="6" t="n">
        <v>2025</v>
      </c>
      <c r="E102" s="3" t="inlineStr">
        <is>
          <t>Generational Differences Among Users of Self-Driving Vehicles</t>
        </is>
      </c>
      <c r="F102" s="5" t="inlineStr">
        <is>
          <t>Journal article</t>
        </is>
      </c>
      <c r="G102" s="10" t="inlineStr">
        <is>
          <t>FT</t>
        </is>
      </c>
      <c r="H102" s="3" t="inlineStr">
        <is>
          <t>INCLUDE</t>
        </is>
      </c>
      <c r="I102" s="3" t="n"/>
      <c r="J102" s="3" t="inlineStr">
        <is>
          <t>Survey</t>
        </is>
      </c>
      <c r="K102" s="3" t="inlineStr">
        <is>
          <t>n=8663; Baby Boomer, X, Y, Z and Alpha generations; Hungary; online quota/non-random questionnaire; 2024</t>
        </is>
      </c>
      <c r="L102" s="3" t="n"/>
      <c r="O102" s="3" t="inlineStr">
        <is>
          <t>Published</t>
        </is>
      </c>
      <c r="P102" s="12" t="n">
        <v>46300</v>
      </c>
      <c r="Q102" s="3" t="n"/>
      <c r="R102" s="3" t="inlineStr">
        <is>
          <t>§3–4; 8663 Hungarian respondents compared generational differences in AV safety, trust and use intentions; younger cohorts generally showed greater openness.</t>
        </is>
      </c>
      <c r="S102" s="3" t="inlineStr">
        <is>
          <t>N</t>
        </is>
      </c>
      <c r="T102" s="3" t="inlineStr">
        <is>
          <t>N</t>
        </is>
      </c>
      <c r="U102" s="3" t="inlineStr">
        <is>
          <t>N</t>
        </is>
      </c>
    </row>
    <row r="103" ht="42.75" customHeight="1" s="18">
      <c r="A103" s="5" t="inlineStr">
        <is>
          <t>S2-0228</t>
        </is>
      </c>
      <c r="B103" s="5" t="inlineStr">
        <is>
          <t>A</t>
        </is>
      </c>
      <c r="C103" s="3" t="inlineStr">
        <is>
          <t>Zámečník, P.; Havlíčková, D.; Gregorovič, A.; Děcký, P.; Klečková, S.</t>
        </is>
      </c>
      <c r="D103" s="6" t="n">
        <v>2021</v>
      </c>
      <c r="E103" s="3" t="inlineStr">
        <is>
          <t>How people speak about autonomous cars – an analysis of internet discussions in Czech Republic</t>
        </is>
      </c>
      <c r="F103" s="5" t="inlineStr">
        <is>
          <t>Journal article</t>
        </is>
      </c>
      <c r="G103" s="10" t="inlineStr">
        <is>
          <t>FT</t>
        </is>
      </c>
      <c r="H103" s="3" t="inlineStr">
        <is>
          <t>INCLUDE</t>
        </is>
      </c>
      <c r="I103" s="3" t="n"/>
      <c r="J103" s="3" t="inlineStr">
        <is>
          <t>Online-discourse analysis</t>
        </is>
      </c>
      <c r="K103" s="3" t="inlineStr">
        <is>
          <t>17 Czech internet news-article discussions; 7 articles Jul 2014–Jun 2018 and 10 Nov 2018–Feb 2020; collections Oct 2018 and Apr 2020</t>
        </is>
      </c>
      <c r="L103" s="3" t="inlineStr">
        <is>
          <t>Two-wave Czech discussion analysis found persistent scepticism; hacker attacks recurred, while privacy and personal-data misuse did not emerge as explicit themes.</t>
        </is>
      </c>
      <c r="M103" t="inlineStr">
        <is>
          <t>Longitudinal online discourse but no subsystem resolution; manual qualitative coding, so no classifier validation/prevalence correction; on-topic retrieval share was not reported.</t>
        </is>
      </c>
      <c r="O103" s="3" t="inlineStr">
        <is>
          <t>Published</t>
        </is>
      </c>
      <c r="P103" s="12" t="n">
        <v>46300</v>
      </c>
      <c r="Q103" s="3" t="n"/>
      <c r="R103" s="3" t="inlineStr">
        <is>
          <t>§2–4; qualitative content analysis compared 17 Czech AV discussions across two periods; hacker attacks emerged, but privacy/personal-data misuse did not.</t>
        </is>
      </c>
      <c r="S103" s="3" t="inlineStr">
        <is>
          <t>Y</t>
        </is>
      </c>
      <c r="T103" s="3" t="inlineStr">
        <is>
          <t>Y</t>
        </is>
      </c>
      <c r="U103" s="3" t="inlineStr">
        <is>
          <t>N</t>
        </is>
      </c>
    </row>
    <row r="104" ht="42.75" customHeight="1" s="18">
      <c r="A104" s="5" t="inlineStr">
        <is>
          <t>S2-0150</t>
        </is>
      </c>
      <c r="B104" s="5" t="inlineStr">
        <is>
          <t>A</t>
        </is>
      </c>
      <c r="C104" s="3" t="inlineStr">
        <is>
          <t>Rahman, M.M.; Deb, S.; Strawderman, L.; Burch, R.; Smith, B.</t>
        </is>
      </c>
      <c r="D104" s="6" t="n">
        <v>2019</v>
      </c>
      <c r="E104" s="3" t="inlineStr">
        <is>
          <t>How the older population perceives self-driving vehicles</t>
        </is>
      </c>
      <c r="F104" s="5" t="inlineStr">
        <is>
          <t>Journal article</t>
        </is>
      </c>
      <c r="G104" s="10" t="inlineStr">
        <is>
          <t>FT</t>
        </is>
      </c>
      <c r="H104" s="3" t="inlineStr">
        <is>
          <t>INCLUDE</t>
        </is>
      </c>
      <c r="I104" s="3" t="n"/>
      <c r="J104" s="3" t="inlineStr">
        <is>
          <t>Survey</t>
        </is>
      </c>
      <c r="K104" s="3" t="inlineStr">
        <is>
          <t>n=173; US adults aged 60+ from 39 states; SurveyMonkey/MTurk online survey; collection period not stated</t>
        </is>
      </c>
      <c r="L104" s="3" t="n"/>
      <c r="O104" s="3" t="inlineStr">
        <is>
          <t>Published</t>
        </is>
      </c>
      <c r="P104" s="12" t="n">
        <v>46300</v>
      </c>
      <c r="Q104" s="3" t="n"/>
      <c r="R104" s="3" t="inlineStr">
        <is>
          <t>§2–4; 173 older US adults rated AV perceptions as users and pedestrians; user perceptions were generally more favourable than pedestrian perceptions.</t>
        </is>
      </c>
      <c r="S104" s="3" t="inlineStr">
        <is>
          <t>N</t>
        </is>
      </c>
      <c r="T104" s="3" t="inlineStr">
        <is>
          <t>N</t>
        </is>
      </c>
      <c r="U104" s="3" t="inlineStr">
        <is>
          <t>N</t>
        </is>
      </c>
    </row>
    <row r="105" ht="42.75" customHeight="1" s="18">
      <c r="A105" s="5" t="inlineStr">
        <is>
          <t>S2-0257</t>
        </is>
      </c>
      <c r="B105" s="5" t="inlineStr">
        <is>
          <t>A</t>
        </is>
      </c>
      <c r="C105" s="3" t="inlineStr">
        <is>
          <t>Pattinson, J.-A.; Holter, C.T.; Grieman, K.; Salvini, P.; Kunze, L.; Jirotka, M.</t>
        </is>
      </c>
      <c r="D105" s="6" t="n">
        <v>2024</v>
      </c>
      <c r="E105" s="3" t="inlineStr">
        <is>
          <t>I can do anything with my AV data (but I won't do that): Public attitudes towards data recorders in self-driving cars</t>
        </is>
      </c>
      <c r="F105" s="5" t="inlineStr">
        <is>
          <t>Conference paper</t>
        </is>
      </c>
      <c r="G105" s="10" t="inlineStr">
        <is>
          <t>FT</t>
        </is>
      </c>
      <c r="H105" s="3" t="inlineStr">
        <is>
          <t>INCLUDE</t>
        </is>
      </c>
      <c r="I105" s="3" t="n"/>
      <c r="J105" s="3" t="inlineStr">
        <is>
          <t>Survey</t>
        </is>
      </c>
      <c r="K105" s="3" t="inlineStr">
        <is>
          <t>n=317; UK road users, proportionally recruited across key demographics; United Kingdom; Prolific public survey; 2022</t>
        </is>
      </c>
      <c r="L105" s="3" t="n"/>
      <c r="O105" s="3" t="inlineStr">
        <is>
          <t>Published</t>
        </is>
      </c>
      <c r="P105" s="12" t="n">
        <v>46300</v>
      </c>
      <c r="Q105" s="3" t="n"/>
      <c r="R105" s="3" t="inlineStr">
        <is>
          <t>§3–4; 317 UK road users evaluated AV data recording, use and access; privacy concerns were strongest for in-cabin audio/video recording.</t>
        </is>
      </c>
      <c r="S105" s="3" t="inlineStr">
        <is>
          <t>Y</t>
        </is>
      </c>
      <c r="T105" s="3" t="inlineStr">
        <is>
          <t>N</t>
        </is>
      </c>
      <c r="U105" s="3" t="inlineStr">
        <is>
          <t>Y</t>
        </is>
      </c>
    </row>
    <row r="106" ht="57" customHeight="1" s="18">
      <c r="A106" s="5" t="inlineStr">
        <is>
          <t>S2-0012</t>
        </is>
      </c>
      <c r="B106" s="5" t="inlineStr">
        <is>
          <t>A</t>
        </is>
      </c>
      <c r="C106" s="3" t="inlineStr">
        <is>
          <t>J. S. Brar; B. Caulfield</t>
        </is>
      </c>
      <c r="D106" s="6" t="n">
        <v>2017</v>
      </c>
      <c r="E106" s="3" t="inlineStr">
        <is>
          <t>Impact of autonomous vehicles on pedestrians' safety</t>
        </is>
      </c>
      <c r="F106" s="5" t="inlineStr">
        <is>
          <t>Conference paper</t>
        </is>
      </c>
      <c r="G106" s="10" t="inlineStr">
        <is>
          <t>FT</t>
        </is>
      </c>
      <c r="H106" s="3" t="inlineStr">
        <is>
          <t>INCLUDE</t>
        </is>
      </c>
      <c r="I106" s="3" t="n"/>
      <c r="J106" s="3" t="inlineStr">
        <is>
          <t>Survey</t>
        </is>
      </c>
      <c r="K106" s="3" t="inlineStr">
        <is>
          <t>n=255; pedestrians, mainly Trinity College Dublin students/residents; Dublin, Ireland; SurveyMonkey online survey; 15 Dec 2016–10 Feb 2017</t>
        </is>
      </c>
      <c r="L106" s="3" t="n"/>
      <c r="O106" s="3" t="inlineStr">
        <is>
          <t>Published</t>
        </is>
      </c>
      <c r="P106" s="12" t="n">
        <v>46300</v>
      </c>
      <c r="Q106" s="3" t="n"/>
      <c r="R106" s="3" t="inlineStr">
        <is>
          <t>§III–IV; 255 Dublin respondents reported high AV concerns including system failure, vehicle security and data privacy, while retaining generally positive attitudes.</t>
        </is>
      </c>
      <c r="S106" s="3" t="inlineStr">
        <is>
          <t>Y</t>
        </is>
      </c>
      <c r="T106" s="3" t="inlineStr">
        <is>
          <t>N</t>
        </is>
      </c>
      <c r="U106" s="3" t="inlineStr">
        <is>
          <t>N</t>
        </is>
      </c>
    </row>
    <row r="107" ht="42.75" customHeight="1" s="18">
      <c r="A107" s="5" t="inlineStr">
        <is>
          <t>S2-0108</t>
        </is>
      </c>
      <c r="B107" s="5" t="inlineStr">
        <is>
          <t>A</t>
        </is>
      </c>
      <c r="C107" s="3" t="inlineStr">
        <is>
          <t>Feng, Z.; Gao, Y.; Zhu, D.; Chan, H.-Y.; Zhao, M.; Xue, R.</t>
        </is>
      </c>
      <c r="D107" s="6" t="n">
        <v>2024</v>
      </c>
      <c r="E107" s="3" t="inlineStr">
        <is>
          <t>Impact of risk perception and trust in autonomous vehicles on pedestrian crossing decision: Navigating the social-technological intersection with the ICLV model</t>
        </is>
      </c>
      <c r="F107" s="5" t="inlineStr">
        <is>
          <t>Journal article</t>
        </is>
      </c>
      <c r="G107" s="10" t="inlineStr">
        <is>
          <t>FT</t>
        </is>
      </c>
      <c r="H107" s="3" t="inlineStr">
        <is>
          <t>INCLUDE</t>
        </is>
      </c>
      <c r="I107" s="3" t="n"/>
      <c r="J107" s="3" t="inlineStr">
        <is>
          <t>Survey</t>
        </is>
      </c>
      <c r="K107" s="3" t="inlineStr">
        <is>
          <t>n=589; Chinese pedestrians; China; Tencent video-based stated-preference questionnaire; 18 May–8 Jun 2023</t>
        </is>
      </c>
      <c r="L107" s="3" t="n"/>
      <c r="O107" s="3" t="inlineStr">
        <is>
          <t>Published</t>
        </is>
      </c>
      <c r="P107" s="12" t="n">
        <v>46300</v>
      </c>
      <c r="Q107" s="3" t="n"/>
      <c r="R107" s="3" t="inlineStr">
        <is>
          <t>§3–6; 589 Chinese pedestrians completed video-based SP scenarios; AV presence, speed, distance, risk perception and AV trust influenced crossing decisions.</t>
        </is>
      </c>
      <c r="S107" s="3" t="inlineStr">
        <is>
          <t>N</t>
        </is>
      </c>
      <c r="T107" s="3" t="inlineStr">
        <is>
          <t>N</t>
        </is>
      </c>
      <c r="U107" s="3" t="inlineStr">
        <is>
          <t>N</t>
        </is>
      </c>
    </row>
    <row r="108" ht="42.75" customHeight="1" s="18">
      <c r="A108" s="5" t="inlineStr">
        <is>
          <t>S2-0161</t>
        </is>
      </c>
      <c r="B108" s="5" t="inlineStr">
        <is>
          <t>A</t>
        </is>
      </c>
      <c r="C108" s="3" t="inlineStr">
        <is>
          <t>Miskolczi, M.; Kökény, L.; Ásványi, K.; Jászberényi, M.; Gyulavári, T.; Syahrivar, J.</t>
        </is>
      </c>
      <c r="D108" s="6" t="n">
        <v>2021</v>
      </c>
      <c r="E108" s="3" t="inlineStr">
        <is>
          <t>IMPACTS AND POTENTIAL OF AUTONOMOUS VEHICLES IN TOURISM</t>
        </is>
      </c>
      <c r="F108" s="5" t="inlineStr">
        <is>
          <t>Journal article</t>
        </is>
      </c>
      <c r="G108" s="10" t="inlineStr">
        <is>
          <t>FT</t>
        </is>
      </c>
      <c r="H108" s="3" t="inlineStr">
        <is>
          <t>INCLUDE</t>
        </is>
      </c>
      <c r="I108" s="3" t="n"/>
      <c r="J108" s="3" t="inlineStr">
        <is>
          <t>Survey</t>
        </is>
      </c>
      <c r="K108" s="3" t="inlineStr">
        <is>
          <t>n=671; Hungarian tourists; Hungary; online survey; Oct–Dec 2020</t>
        </is>
      </c>
      <c r="L108" s="3" t="n"/>
      <c r="O108" s="3" t="inlineStr">
        <is>
          <t>Published</t>
        </is>
      </c>
      <c r="P108" s="12" t="n">
        <v>46300</v>
      </c>
      <c r="Q108" s="3" t="n"/>
      <c r="R108" s="3" t="inlineStr">
        <is>
          <t>§Data and Methods–Results; 671 Hungarian tourists reported generally positive attitudes towards AV-based tourism and willingness to surrender driving control in foreign environments.</t>
        </is>
      </c>
      <c r="S108" s="3" t="inlineStr">
        <is>
          <t>N</t>
        </is>
      </c>
      <c r="T108" s="3" t="inlineStr">
        <is>
          <t>N</t>
        </is>
      </c>
      <c r="U108" s="3" t="inlineStr">
        <is>
          <t>N</t>
        </is>
      </c>
    </row>
    <row r="109" ht="28.5" customHeight="1" s="18">
      <c r="A109" s="5" t="inlineStr">
        <is>
          <t>S2-0196</t>
        </is>
      </c>
      <c r="B109" s="5" t="inlineStr">
        <is>
          <t>A</t>
        </is>
      </c>
      <c r="C109" s="3" t="inlineStr">
        <is>
          <t>Acharya, S.; Mekker, M.</t>
        </is>
      </c>
      <c r="D109" s="6" t="n">
        <v>2022</v>
      </c>
      <c r="E109" s="3" t="inlineStr">
        <is>
          <t>Importance of the reputation of data manager in the acceptance of connected vehicles</t>
        </is>
      </c>
      <c r="F109" s="5" t="inlineStr">
        <is>
          <t>Journal article</t>
        </is>
      </c>
      <c r="G109" s="10" t="inlineStr">
        <is>
          <t>FT</t>
        </is>
      </c>
      <c r="H109" s="3" t="inlineStr">
        <is>
          <t>INCLUDE</t>
        </is>
      </c>
      <c r="I109" s="3" t="n"/>
      <c r="J109" s="3" t="inlineStr">
        <is>
          <t>Survey</t>
        </is>
      </c>
      <c r="K109" s="3" t="inlineStr">
        <is>
          <t>n=2400; US adults; United States; online questionnaire; Nov 2020–Feb 2021</t>
        </is>
      </c>
      <c r="L109" s="3" t="n"/>
      <c r="O109" s="3" t="inlineStr">
        <is>
          <t>Published</t>
        </is>
      </c>
      <c r="P109" s="12" t="n">
        <v>46300</v>
      </c>
      <c r="Q109" s="3" t="n"/>
      <c r="R109" s="3" t="inlineStr">
        <is>
          <t>§3–4; 2400 US adults rated CV data privacy/security and data-manager reputation; privacy had a stronger negative effect on acceptance than security.</t>
        </is>
      </c>
      <c r="S109" s="3" t="inlineStr">
        <is>
          <t>Y</t>
        </is>
      </c>
      <c r="T109" s="3" t="inlineStr">
        <is>
          <t>N</t>
        </is>
      </c>
      <c r="U109" s="3" t="inlineStr">
        <is>
          <t>Y</t>
        </is>
      </c>
    </row>
    <row r="110" ht="42.75" customHeight="1" s="18">
      <c r="A110" s="5" t="inlineStr">
        <is>
          <t>S2-0282</t>
        </is>
      </c>
      <c r="B110" s="5" t="inlineStr">
        <is>
          <t>A</t>
        </is>
      </c>
      <c r="C110" s="3" t="inlineStr">
        <is>
          <t>Rodwell, D.; Ho, B.; Pascale, M.T.; Elrose, F.; Neary, A.; Lewis, I.</t>
        </is>
      </c>
      <c r="D110" s="6" t="n">
        <v>2023</v>
      </c>
      <c r="E110" s="3" t="inlineStr">
        <is>
          <t>In their own words: A qualitative study of users’ acceptance of connected vehicle technology after nine months of experience with the technology</t>
        </is>
      </c>
      <c r="F110" s="5" t="inlineStr">
        <is>
          <t>Journal article</t>
        </is>
      </c>
      <c r="G110" s="10" t="inlineStr">
        <is>
          <t>FT</t>
        </is>
      </c>
      <c r="H110" s="3" t="inlineStr">
        <is>
          <t>INCLUDE</t>
        </is>
      </c>
      <c r="I110" s="3" t="n"/>
      <c r="J110" s="3" t="inlineStr">
        <is>
          <t>Interview/focus group</t>
        </is>
      </c>
      <c r="K110" s="3" t="inlineStr">
        <is>
          <t>n=53 phased interviews plus n=47 focus-group/interview participants; ICVP drivers; Ipswich, Queensland, Australia; 2021</t>
        </is>
      </c>
      <c r="L110" s="3" t="n"/>
      <c r="O110" s="3" t="inlineStr">
        <is>
          <t>Published</t>
        </is>
      </c>
      <c r="P110" s="12" t="n">
        <v>46300</v>
      </c>
      <c r="Q110" s="3" t="n"/>
      <c r="R110" s="3" t="inlineStr">
        <is>
          <t>§2–3.2.4; ICVP interviews/focus groups assessed C-ITS acceptance; participants discussed V2V data sharing, privacy, marketing misuse and hacking concerns.</t>
        </is>
      </c>
      <c r="S110" s="3" t="inlineStr">
        <is>
          <t>Y</t>
        </is>
      </c>
      <c r="T110" s="3" t="inlineStr">
        <is>
          <t>N</t>
        </is>
      </c>
      <c r="U110" s="3" t="inlineStr">
        <is>
          <t>Y</t>
        </is>
      </c>
    </row>
    <row r="111" ht="42.75" customHeight="1" s="18">
      <c r="A111" s="5" t="inlineStr">
        <is>
          <t>S2-0280</t>
        </is>
      </c>
      <c r="B111" s="5" t="inlineStr">
        <is>
          <t>A</t>
        </is>
      </c>
      <c r="C111" s="3" t="inlineStr">
        <is>
          <t>Sangrar, R.; Murphy, D.J.; Porter, M.M.</t>
        </is>
      </c>
      <c r="D111" s="6" t="n">
        <v>2025</v>
      </c>
      <c r="E111" s="3" t="inlineStr">
        <is>
          <t>Inclusive autonomous shuttles as public transportation options for older people: A qualitative study of user and service provider perspectives</t>
        </is>
      </c>
      <c r="F111" s="5" t="inlineStr">
        <is>
          <t>Journal article</t>
        </is>
      </c>
      <c r="G111" s="10" t="inlineStr">
        <is>
          <t>FT</t>
        </is>
      </c>
      <c r="H111" s="3" t="inlineStr">
        <is>
          <t>INCLUDE</t>
        </is>
      </c>
      <c r="I111" s="3" t="n"/>
      <c r="J111" s="3" t="inlineStr">
        <is>
          <t>Interview/focus group</t>
        </is>
      </c>
      <c r="K111" s="3" t="inlineStr">
        <is>
          <t>n=16 older adults aged 67–87 plus n=9 transport service providers; Winnipeg, Manitoba, Canada; focus groups/interviews; May–Dec 2021</t>
        </is>
      </c>
      <c r="L111" s="3" t="n"/>
      <c r="O111" s="3" t="inlineStr">
        <is>
          <t>Published</t>
        </is>
      </c>
      <c r="P111" s="12" t="n">
        <v>46300</v>
      </c>
      <c r="Q111" s="3" t="n"/>
      <c r="R111" s="3" t="inlineStr">
        <is>
          <t>§2–3; 25 Winnipeg users/providers discussed autonomous-shuttle adoption; accessibility, weather, technical malfunction, emergencies and personal security shaped perceived suitability.</t>
        </is>
      </c>
      <c r="S111" s="3" t="inlineStr">
        <is>
          <t>N</t>
        </is>
      </c>
      <c r="T111" s="3" t="inlineStr">
        <is>
          <t>N</t>
        </is>
      </c>
      <c r="U111" s="3" t="inlineStr">
        <is>
          <t>N</t>
        </is>
      </c>
    </row>
    <row r="112" ht="42.75" customHeight="1" s="18">
      <c r="A112" s="5" t="inlineStr">
        <is>
          <t>S2-0110</t>
        </is>
      </c>
      <c r="B112" s="5" t="inlineStr">
        <is>
          <t>A</t>
        </is>
      </c>
      <c r="C112" s="3" t="inlineStr">
        <is>
          <t>Liang, Y.; Tang, J.; Wu, Z.; Jia, M.</t>
        </is>
      </c>
      <c r="D112" s="6" t="n">
        <v>2023</v>
      </c>
      <c r="E112" s="3" t="inlineStr">
        <is>
          <t>Influence of Psychological and Socioeconomic Factors on Purchase Likelihood for Autonomous Vehicles: A Hybrid Choice Modeling Approach</t>
        </is>
      </c>
      <c r="F112" s="5" t="inlineStr">
        <is>
          <t>Journal article</t>
        </is>
      </c>
      <c r="G112" s="10" t="inlineStr">
        <is>
          <t>FT</t>
        </is>
      </c>
      <c r="H112" s="3" t="inlineStr">
        <is>
          <t>INCLUDE</t>
        </is>
      </c>
      <c r="I112" s="3" t="n"/>
      <c r="J112" s="3" t="inlineStr">
        <is>
          <t>Survey</t>
        </is>
      </c>
      <c r="K112" s="3" t="inlineStr">
        <is>
          <t>n=302 effective respondents/potential AV users; China; stated-preference online/on-site survey; Apr–Jun 2023</t>
        </is>
      </c>
      <c r="L112" s="3" t="n"/>
      <c r="O112" s="3" t="inlineStr">
        <is>
          <t>Published</t>
        </is>
      </c>
      <c r="P112" s="12" t="n">
        <v>46300</v>
      </c>
      <c r="Q112" s="3" t="n"/>
      <c r="R112" s="3" t="inlineStr">
        <is>
          <t>§4.2–4.5, Results; 302-person SP survey measured purchase likelihood and perceived risk, including privacy breaches; perceived risk significantly reduced purchase likelihood.</t>
        </is>
      </c>
      <c r="S112" s="3" t="inlineStr">
        <is>
          <t>Y</t>
        </is>
      </c>
      <c r="T112" s="3" t="inlineStr">
        <is>
          <t>N</t>
        </is>
      </c>
      <c r="U112" s="3" t="inlineStr">
        <is>
          <t>N</t>
        </is>
      </c>
    </row>
    <row r="113" ht="42.75" customHeight="1" s="18">
      <c r="A113" s="5" t="inlineStr">
        <is>
          <t>S2-0065</t>
        </is>
      </c>
      <c r="B113" s="5" t="inlineStr">
        <is>
          <t>A</t>
        </is>
      </c>
      <c r="C113" s="3" t="inlineStr">
        <is>
          <t>S. Bai; D. D. Legge; A. Young; S. Bao; F. Zhou</t>
        </is>
      </c>
      <c r="D113" s="6" t="n">
        <v>2021</v>
      </c>
      <c r="E113" s="3" t="inlineStr">
        <is>
          <t>Investigating External Interaction Modality and Design Between Automated Vehicles and Pedestrians at Crossings</t>
        </is>
      </c>
      <c r="F113" s="5" t="inlineStr">
        <is>
          <t>Conference paper</t>
        </is>
      </c>
      <c r="G113" s="10" t="inlineStr">
        <is>
          <t>FT</t>
        </is>
      </c>
      <c r="H113" s="3" t="inlineStr">
        <is>
          <t>INCLUDE</t>
        </is>
      </c>
      <c r="I113" s="3" t="n"/>
      <c r="J113" s="3" t="inlineStr">
        <is>
          <t>Experiment</t>
        </is>
      </c>
      <c r="K113" s="3" t="inlineStr">
        <is>
          <t>n=67 analysed (68 recruited); US licensed drivers; United States; Qualtrics online AV-pedestrian interface experiment; collection period not stated</t>
        </is>
      </c>
      <c r="L113" s="3" t="n"/>
      <c r="O113" s="3" t="inlineStr">
        <is>
          <t>Published</t>
        </is>
      </c>
      <c r="P113" s="12" t="n">
        <v>46300</v>
      </c>
      <c r="Q113" s="3" t="n"/>
      <c r="R113" s="3" t="inlineStr">
        <is>
          <t>§II–IV; 67 analysed participants compared AV-pedestrian interfaces; smartphone alerts were rejected partly because of privacy intrusion and vehicle-hacking concerns.</t>
        </is>
      </c>
      <c r="S113" s="3" t="inlineStr">
        <is>
          <t>Y</t>
        </is>
      </c>
      <c r="T113" s="3" t="inlineStr">
        <is>
          <t>N</t>
        </is>
      </c>
      <c r="U113" s="3" t="inlineStr">
        <is>
          <t>Y</t>
        </is>
      </c>
    </row>
    <row r="114" ht="42.75" customHeight="1" s="18">
      <c r="A114" s="5" t="inlineStr">
        <is>
          <t>S2-0271</t>
        </is>
      </c>
      <c r="B114" s="5" t="inlineStr">
        <is>
          <t>A</t>
        </is>
      </c>
      <c r="C114" s="3" t="inlineStr">
        <is>
          <t>Pervez, A.; Marazi, N.F.; Majumdar, B.B.; Ruizhi, M.; Lee, J.; Sahu, P.K.</t>
        </is>
      </c>
      <c r="D114" s="6" t="n">
        <v>2025</v>
      </c>
      <c r="E114" s="3" t="inlineStr">
        <is>
          <t>Investigating Indian Commuters’ Perceived Crime Risk on Autonomous Public Buses and Ride-Pooling Services</t>
        </is>
      </c>
      <c r="F114" s="5" t="inlineStr">
        <is>
          <t>Journal article</t>
        </is>
      </c>
      <c r="G114" s="10" t="inlineStr">
        <is>
          <t>FT</t>
        </is>
      </c>
      <c r="H114" s="3" t="inlineStr">
        <is>
          <t>INCLUDE</t>
        </is>
      </c>
      <c r="I114" s="3" t="n"/>
      <c r="J114" s="3" t="inlineStr">
        <is>
          <t>Survey</t>
        </is>
      </c>
      <c r="K114" s="3" t="inlineStr">
        <is>
          <t>n=732 complete commuters; India; stated-preference survey; Jul–Oct 2022</t>
        </is>
      </c>
      <c r="L114" s="3" t="n"/>
      <c r="O114" s="3" t="inlineStr">
        <is>
          <t>Published</t>
        </is>
      </c>
      <c r="P114" s="12" t="n">
        <v>46300</v>
      </c>
      <c r="Q114" s="3" t="n"/>
      <c r="R114" s="3" t="inlineStr">
        <is>
          <t>§Methods–Results; 732 Indian commuters rated crime risk and willingness for autonomous buses/ride-pooling; security officers, CCTV and emergency buttons reduced perceived crime risk.</t>
        </is>
      </c>
      <c r="S114" s="3" t="inlineStr">
        <is>
          <t>N</t>
        </is>
      </c>
      <c r="T114" s="3" t="inlineStr">
        <is>
          <t>N</t>
        </is>
      </c>
      <c r="U114" s="3" t="inlineStr">
        <is>
          <t>N</t>
        </is>
      </c>
    </row>
    <row r="115" ht="42.75" customHeight="1" s="18">
      <c r="A115" s="5" t="inlineStr">
        <is>
          <t>S2-0043</t>
        </is>
      </c>
      <c r="B115" s="5" t="inlineStr">
        <is>
          <t>A</t>
        </is>
      </c>
      <c r="C115" s="3" t="inlineStr">
        <is>
          <t>J. C. Sekhar; J. Ramu; V. K. Pratap</t>
        </is>
      </c>
      <c r="D115" s="6" t="n">
        <v>2023</v>
      </c>
      <c r="E115" s="3" t="inlineStr">
        <is>
          <t>Investigating the Efficacy of In-Process Feedback in Improving Human-Machine Interaction in Autonomous Vehicles</t>
        </is>
      </c>
      <c r="F115" s="5" t="inlineStr">
        <is>
          <t>Conference paper</t>
        </is>
      </c>
      <c r="G115" s="10" t="inlineStr">
        <is>
          <t>FT</t>
        </is>
      </c>
      <c r="H115" s="3" t="inlineStr">
        <is>
          <t>INCLUDE</t>
        </is>
      </c>
      <c r="I115" s="3" t="n"/>
      <c r="J115" s="3" t="inlineStr">
        <is>
          <t>Experiment</t>
        </is>
      </c>
      <c r="K115" s="3" t="inlineStr">
        <is>
          <t>n=90; participants with autonomous-driving experience; simulated urban driving experiment; participant country and collection period not stated</t>
        </is>
      </c>
      <c r="L115" s="3" t="n"/>
      <c r="O115" s="3" t="inlineStr">
        <is>
          <t>Published</t>
        </is>
      </c>
      <c r="P115" s="12" t="n">
        <v>46300</v>
      </c>
      <c r="Q115" s="3" t="n"/>
      <c r="R115" s="3" t="inlineStr">
        <is>
          <t>§II–IV; 90 participants completed pre/post simulated driving; in-process HMI feedback significantly improved HMI performance and trust compared with control.</t>
        </is>
      </c>
      <c r="S115" s="3" t="inlineStr">
        <is>
          <t>N</t>
        </is>
      </c>
      <c r="T115" s="3" t="inlineStr">
        <is>
          <t>Y</t>
        </is>
      </c>
      <c r="U115" s="3" t="inlineStr">
        <is>
          <t>Y</t>
        </is>
      </c>
    </row>
    <row r="116" ht="28.5" customHeight="1" s="18">
      <c r="A116" s="5" t="inlineStr">
        <is>
          <t>S2-0224</t>
        </is>
      </c>
      <c r="B116" s="5" t="inlineStr">
        <is>
          <t>A</t>
        </is>
      </c>
      <c r="C116" s="3" t="inlineStr">
        <is>
          <t>Burgese, L.; Cha, K.J.</t>
        </is>
      </c>
      <c r="D116" s="6" t="n">
        <v>2024</v>
      </c>
      <c r="E116" s="3" t="inlineStr">
        <is>
          <t>Investigating trust leap with AI: a consumer’s behavioural model on autonomous vehicle acceptance</t>
        </is>
      </c>
      <c r="F116" s="5" t="inlineStr">
        <is>
          <t>Journal article</t>
        </is>
      </c>
      <c r="G116" s="10" t="inlineStr">
        <is>
          <t>FT</t>
        </is>
      </c>
      <c r="H116" s="3" t="inlineStr">
        <is>
          <t>INCLUDE</t>
        </is>
      </c>
      <c r="I116" s="3" t="n"/>
      <c r="J116" s="3" t="inlineStr">
        <is>
          <t>Mixed</t>
        </is>
      </c>
      <c r="K116" s="3" t="inlineStr">
        <is>
          <t>n=227; Korean and foreign residents aged 18+ living in South Korea; Korean/English online survey; three-week collection period, date not stated</t>
        </is>
      </c>
      <c r="L116" s="3" t="n"/>
      <c r="O116" s="3" t="inlineStr">
        <is>
          <t>Published</t>
        </is>
      </c>
      <c r="P116" s="12" t="n">
        <v>46300</v>
      </c>
      <c r="Q116" s="3" t="n"/>
      <c r="R116" s="3" t="inlineStr">
        <is>
          <t>§4–5; 227 South Korea residents assessed AV trust/acceptance; transparent data privacy handling was the strongest predictor of AI trustworthiness perception.</t>
        </is>
      </c>
      <c r="S116" s="3" t="inlineStr">
        <is>
          <t>Y</t>
        </is>
      </c>
      <c r="T116" s="3" t="inlineStr">
        <is>
          <t>N</t>
        </is>
      </c>
      <c r="U116" s="3" t="inlineStr">
        <is>
          <t>Y</t>
        </is>
      </c>
    </row>
    <row r="117" ht="28.5" customHeight="1" s="18">
      <c r="A117" s="5" t="inlineStr">
        <is>
          <t>S2-0247</t>
        </is>
      </c>
      <c r="B117" s="5" t="inlineStr">
        <is>
          <t>A</t>
        </is>
      </c>
      <c r="C117" s="3" t="inlineStr">
        <is>
          <t>Ghaith, A.; Ma, H.; Ding, X.-H.</t>
        </is>
      </c>
      <c r="D117" s="6" t="n">
        <v>2025</v>
      </c>
      <c r="E117" s="3" t="inlineStr">
        <is>
          <t>Investigating user acceptance of fully autonomous vehicles in MENA region</t>
        </is>
      </c>
      <c r="F117" s="5" t="inlineStr">
        <is>
          <t>Journal article</t>
        </is>
      </c>
      <c r="G117" s="10" t="inlineStr">
        <is>
          <t>FT</t>
        </is>
      </c>
      <c r="H117" s="3" t="inlineStr">
        <is>
          <t>INCLUDE</t>
        </is>
      </c>
      <c r="I117" s="3" t="n"/>
      <c r="J117" s="3" t="inlineStr">
        <is>
          <t>Mixed</t>
        </is>
      </c>
      <c r="K117" s="3" t="inlineStr">
        <is>
          <t>Study 1 n=25 focus-group participants across North Africa, GCC and Levant; Study 2 n=339 respondents across Saudi Arabia, Qatar, UAE, Egypt, Morocco and Jordan; survey Dec 2024–Jan 2025</t>
        </is>
      </c>
      <c r="L117" s="3" t="n"/>
      <c r="O117" s="3" t="inlineStr">
        <is>
          <t>Published</t>
        </is>
      </c>
      <c r="P117" s="12" t="n">
        <v>46300</v>
      </c>
      <c r="Q117" s="3" t="n"/>
      <c r="R117" s="3" t="inlineStr">
        <is>
          <t>§2–5, Table 4; mixed MENA study found privacy reduced acceptance and participants raised hacking, authentication, communication-network and data-security concerns.</t>
        </is>
      </c>
      <c r="S117" s="3" t="inlineStr">
        <is>
          <t>Y</t>
        </is>
      </c>
      <c r="T117" s="3" t="inlineStr">
        <is>
          <t>N</t>
        </is>
      </c>
      <c r="U117" s="3" t="inlineStr">
        <is>
          <t>Y</t>
        </is>
      </c>
    </row>
    <row r="118" ht="42.75" customHeight="1" s="18">
      <c r="A118" s="5" t="inlineStr">
        <is>
          <t>S2-0266</t>
        </is>
      </c>
      <c r="B118" s="5" t="inlineStr">
        <is>
          <t>A</t>
        </is>
      </c>
      <c r="C118" s="3" t="inlineStr">
        <is>
          <t>Cai, Y.; Wang, H.; Ong, G.P.; Meng, Q.; Lee, D.-H.</t>
        </is>
      </c>
      <c r="D118" s="6" t="n">
        <v>2019</v>
      </c>
      <c r="E118" s="3" t="inlineStr">
        <is>
          <t>Investigating user perception on autonomous vehicle (AV) based mobility-on-demand (MOD) services in Singapore using the logit kernel approach</t>
        </is>
      </c>
      <c r="F118" s="5" t="inlineStr">
        <is>
          <t>Journal article</t>
        </is>
      </c>
      <c r="G118" s="10" t="inlineStr">
        <is>
          <t>FT</t>
        </is>
      </c>
      <c r="H118" s="3" t="inlineStr">
        <is>
          <t>INCLUDE</t>
        </is>
      </c>
      <c r="I118" s="3" t="n"/>
      <c r="J118" s="3" t="inlineStr">
        <is>
          <t>Survey</t>
        </is>
      </c>
      <c r="K118" s="3" t="inlineStr">
        <is>
          <t>n=1,477 commuters; Singapore; 927 complete online responses plus 550 on-site field surveys; Sep–Dec 2017</t>
        </is>
      </c>
      <c r="L118" s="3" t="n"/>
      <c r="O118" s="3" t="inlineStr">
        <is>
          <t>Published</t>
        </is>
      </c>
      <c r="P118" s="12" t="n">
        <v>46300</v>
      </c>
      <c r="Q118" s="3" t="n"/>
      <c r="R118" s="3" t="inlineStr">
        <is>
          <t>Questionnaire/Results; 1,477 Singapore commuters completed AV-MOD stated-preference surveys; privacy preference differentiated premium, economy and shared service choices.</t>
        </is>
      </c>
      <c r="S118" s="3" t="inlineStr">
        <is>
          <t>N</t>
        </is>
      </c>
      <c r="T118" s="3" t="inlineStr">
        <is>
          <t>N</t>
        </is>
      </c>
      <c r="U118" s="3" t="inlineStr">
        <is>
          <t>N</t>
        </is>
      </c>
    </row>
    <row r="119" ht="42.75" customHeight="1" s="18">
      <c r="A119" s="5" t="inlineStr">
        <is>
          <t>S2-0097</t>
        </is>
      </c>
      <c r="B119" s="5" t="inlineStr">
        <is>
          <t>A</t>
        </is>
      </c>
      <c r="C119" s="3" t="inlineStr">
        <is>
          <t>Niavis, S.; Gavanas, N.; Anastasiadou, K.; Arvanitidis, P.</t>
        </is>
      </c>
      <c r="D119" s="6" t="n">
        <v>2025</v>
      </c>
      <c r="E119" s="3" t="inlineStr">
        <is>
          <t>Investigating Users’ Acceptance of Autonomous Buses by Examining Their Willingness to Use and Willingness to Pay: The Case of the City of Trikala, Greece</t>
        </is>
      </c>
      <c r="F119" s="5" t="inlineStr">
        <is>
          <t>Journal article</t>
        </is>
      </c>
      <c r="G119" s="10" t="inlineStr">
        <is>
          <t>FT</t>
        </is>
      </c>
      <c r="H119" s="3" t="inlineStr">
        <is>
          <t>INCLUDE</t>
        </is>
      </c>
      <c r="I119" s="3" t="n"/>
      <c r="J119" s="3" t="inlineStr">
        <is>
          <t>Survey</t>
        </is>
      </c>
      <c r="K119" s="3" t="inlineStr">
        <is>
          <t>n=654 adult Trikala residents who had used the autonomous-bus pilot; Greece; personal questionnaire survey; 2018</t>
        </is>
      </c>
      <c r="L119" s="3" t="n"/>
      <c r="O119" s="3" t="inlineStr">
        <is>
          <t>Published</t>
        </is>
      </c>
      <c r="P119" s="12" t="n">
        <v>46300</v>
      </c>
      <c r="Q119" s="3" t="n"/>
      <c r="R119" s="3" t="inlineStr">
        <is>
          <t>§3.1–3.2, Table 2; 654 experienced Trikala users surveyed in 2018; willingness to use/pay modelled from safety, usefulness and provider trust.</t>
        </is>
      </c>
      <c r="S119" s="3" t="inlineStr">
        <is>
          <t>N</t>
        </is>
      </c>
      <c r="T119" s="3" t="inlineStr">
        <is>
          <t>N</t>
        </is>
      </c>
      <c r="U119" s="3" t="inlineStr">
        <is>
          <t>N</t>
        </is>
      </c>
    </row>
    <row r="120" ht="28.5" customHeight="1" s="18">
      <c r="A120" s="5" t="inlineStr">
        <is>
          <t>S2-0120</t>
        </is>
      </c>
      <c r="B120" s="5" t="inlineStr">
        <is>
          <t>A</t>
        </is>
      </c>
      <c r="C120" s="3" t="inlineStr">
        <is>
          <t>Vrščaj, D.; Nyholm, S.; Verbong, G.P.J.</t>
        </is>
      </c>
      <c r="D120" s="6" t="n">
        <v>2020</v>
      </c>
      <c r="E120" s="3" t="inlineStr">
        <is>
          <t>Is tomorrow’s car appealing today? Ethical issues and user attitudes beyond automation</t>
        </is>
      </c>
      <c r="F120" s="5" t="inlineStr">
        <is>
          <t>Journal article</t>
        </is>
      </c>
      <c r="G120" s="10" t="inlineStr">
        <is>
          <t>FT</t>
        </is>
      </c>
      <c r="H120" s="3" t="inlineStr">
        <is>
          <t>INCLUDE</t>
        </is>
      </c>
      <c r="I120" s="3" t="n"/>
      <c r="J120" s="3" t="inlineStr">
        <is>
          <t>Mixed</t>
        </is>
      </c>
      <c r="K120" s="3" t="inlineStr">
        <is>
          <t>Study I n=221; Study II 271 responses, with n=251 reported in Study II results; bachelor students aged 17–25; collection period/country not stated</t>
        </is>
      </c>
      <c r="L120" s="3" t="n"/>
      <c r="O120" s="3" t="inlineStr">
        <is>
          <t>Published</t>
        </is>
      </c>
      <c r="P120" s="12" t="n">
        <v>46300</v>
      </c>
      <c r="Q120" s="3" t="n"/>
      <c r="R120" s="3" t="inlineStr">
        <is>
          <t>§4–6, Table 1; two student survey rounds measured AV attitudes; personal-data compromise, cross-device data merging and AI/recommender-system invasiveness were reported.</t>
        </is>
      </c>
      <c r="S120" s="3" t="inlineStr">
        <is>
          <t>Y</t>
        </is>
      </c>
      <c r="T120" s="3" t="inlineStr">
        <is>
          <t>N</t>
        </is>
      </c>
      <c r="U120" s="3" t="inlineStr">
        <is>
          <t>Y</t>
        </is>
      </c>
    </row>
    <row r="121" ht="42.75" customHeight="1" s="18">
      <c r="A121" s="5" t="inlineStr">
        <is>
          <t>S2-0067</t>
        </is>
      </c>
      <c r="B121" s="5" t="inlineStr">
        <is>
          <t>A</t>
        </is>
      </c>
      <c r="C121" s="3" t="inlineStr">
        <is>
          <t>Y. Strigina; O. Singler-Hack; R. M. Kramm; J. Ehlers; F. Schrödel</t>
        </is>
      </c>
      <c r="D121" s="6" t="n">
        <v>2025</v>
      </c>
      <c r="E121" s="3" t="inlineStr">
        <is>
          <t>Keep Your Distance: A Cognitive Approach to Mobile Robot-Cyclist Interaction</t>
        </is>
      </c>
      <c r="F121" s="5" t="inlineStr">
        <is>
          <t>Conference paper</t>
        </is>
      </c>
      <c r="G121" s="10" t="inlineStr">
        <is>
          <t>FT</t>
        </is>
      </c>
      <c r="H121" s="3" t="inlineStr">
        <is>
          <t>EXCLUDE</t>
        </is>
      </c>
      <c r="I121" s="3" t="inlineStr">
        <is>
          <t>E1</t>
        </is>
      </c>
      <c r="J121" s="3" t="n"/>
      <c r="K121" s="3" t="n"/>
      <c r="L121" s="3" t="n"/>
      <c r="O121" s="3" t="inlineStr">
        <is>
          <t>Published</t>
        </is>
      </c>
      <c r="P121" s="12" t="n">
        <v>46300</v>
      </c>
      <c r="Q121" s="3" t="n"/>
      <c r="R121" s="3" t="inlineStr">
        <is>
          <t>§I, §III; cyclist safety experiments use a last-mile autonomous mobile delivery robot on cycle paths, not a road CAV.</t>
        </is>
      </c>
      <c r="S121" s="3" t="n"/>
      <c r="T121" s="3" t="n"/>
      <c r="U121" s="3" t="n"/>
    </row>
    <row r="122" ht="42.75" customHeight="1" s="18">
      <c r="A122" s="5" t="inlineStr">
        <is>
          <t>S2-0202</t>
        </is>
      </c>
      <c r="B122" s="5" t="inlineStr">
        <is>
          <t>A</t>
        </is>
      </c>
      <c r="C122" s="3" t="inlineStr">
        <is>
          <t>Debbaghi, F.-Z.; Rombaut, E.; Vanhaverbeke, L.</t>
        </is>
      </c>
      <c r="D122" s="6" t="n">
        <v>2025</v>
      </c>
      <c r="E122" s="3" t="inlineStr">
        <is>
          <t>Lessons learned from shared automated vehicles pilots in Europe: An evaluation of safety, traffic, and user acceptance</t>
        </is>
      </c>
      <c r="F122" s="5" t="inlineStr">
        <is>
          <t>Journal article</t>
        </is>
      </c>
      <c r="G122" s="10" t="inlineStr">
        <is>
          <t>FT</t>
        </is>
      </c>
      <c r="H122" s="3" t="inlineStr">
        <is>
          <t>INCLUDE</t>
        </is>
      </c>
      <c r="I122" s="3" t="n"/>
      <c r="J122" s="3" t="inlineStr">
        <is>
          <t>Secondary data</t>
        </is>
      </c>
      <c r="K122" s="3" t="inlineStr">
        <is>
          <t>SHOW shared-automated-mobility pilot-site data across Europe; local vehicle-user surveys; project ran Dec 2019–Sep 2024; survey-response counts varied by site</t>
        </is>
      </c>
      <c r="L122" s="3" t="n"/>
      <c r="O122" s="3" t="inlineStr">
        <is>
          <t>Published</t>
        </is>
      </c>
      <c r="P122" s="12" t="n">
        <v>46300</v>
      </c>
      <c r="Q122" s="3" t="n"/>
      <c r="R122" s="3" t="inlineStr">
        <is>
          <t>§3.1, Table 2; secondary SHOW pilot data include vehicle-user surveys measuring reliability, safety, comfort, usefulness and speed perception across European automated-mobility pilots.</t>
        </is>
      </c>
      <c r="S122" s="3" t="inlineStr">
        <is>
          <t>N</t>
        </is>
      </c>
      <c r="T122" s="3" t="inlineStr">
        <is>
          <t>N</t>
        </is>
      </c>
      <c r="U122" s="3" t="inlineStr">
        <is>
          <t>N</t>
        </is>
      </c>
    </row>
    <row r="123" ht="42.75" customHeight="1" s="18">
      <c r="A123" s="5" t="inlineStr">
        <is>
          <t>S2-0235</t>
        </is>
      </c>
      <c r="B123" s="5" t="inlineStr">
        <is>
          <t>A</t>
        </is>
      </c>
      <c r="C123" s="3" t="inlineStr">
        <is>
          <t>Schub, M.; Wintersberger, P.; Riener, A.</t>
        </is>
      </c>
      <c r="D123" s="6" t="n">
        <v>2021</v>
      </c>
      <c r="E123" s="3" t="inlineStr">
        <is>
          <t>Let's Share a Ride into the Future A Qalitative Study Comparing Hypothetical Implementation Scenarios of Automated Vehicles</t>
        </is>
      </c>
      <c r="F123" s="5" t="inlineStr">
        <is>
          <t>Conference paper</t>
        </is>
      </c>
      <c r="G123" s="10" t="inlineStr">
        <is>
          <t>FT</t>
        </is>
      </c>
      <c r="H123" s="3" t="inlineStr">
        <is>
          <t>INCLUDE</t>
        </is>
      </c>
      <c r="I123" s="3" t="n"/>
      <c r="J123" s="3" t="inlineStr">
        <is>
          <t>Interview/focus group</t>
        </is>
      </c>
      <c r="K123" s="3" t="inlineStr">
        <is>
          <t>n=11 adults aged 21–57; Germany; interviews, enactment and UX cards; early summer 2020</t>
        </is>
      </c>
      <c r="L123" s="3" t="n"/>
      <c r="O123" s="3" t="inlineStr">
        <is>
          <t>Published</t>
        </is>
      </c>
      <c r="P123" s="12" t="n">
        <v>46300</v>
      </c>
      <c r="Q123" s="3" t="n"/>
      <c r="R123" s="3" t="inlineStr">
        <is>
          <t>§4–5; 11 participants compared private/shared AV scenarios through interviews and enactments; reported acceptance plus crime-related security and social/spatial privacy concerns.</t>
        </is>
      </c>
      <c r="S123" s="3" t="inlineStr">
        <is>
          <t>N</t>
        </is>
      </c>
      <c r="T123" s="3" t="inlineStr">
        <is>
          <t>N</t>
        </is>
      </c>
      <c r="U123" s="3" t="inlineStr">
        <is>
          <t>N</t>
        </is>
      </c>
    </row>
    <row r="124" ht="28.5" customHeight="1" s="18">
      <c r="A124" s="5" t="inlineStr">
        <is>
          <t>S2-0187</t>
        </is>
      </c>
      <c r="B124" s="5" t="inlineStr">
        <is>
          <t>A</t>
        </is>
      </c>
      <c r="C124" s="3" t="inlineStr">
        <is>
          <t>Acharya, S.; Mekker, M.</t>
        </is>
      </c>
      <c r="D124" s="6" t="n">
        <v>2022</v>
      </c>
      <c r="E124" s="3" t="inlineStr">
        <is>
          <t>Measuring data sharing intention and its association with the acceptance of connected vehicles</t>
        </is>
      </c>
      <c r="F124" s="5" t="inlineStr">
        <is>
          <t>Journal article</t>
        </is>
      </c>
      <c r="G124" s="10" t="inlineStr">
        <is>
          <t>FT</t>
        </is>
      </c>
      <c r="H124" s="3" t="inlineStr">
        <is>
          <t>INCLUDE</t>
        </is>
      </c>
      <c r="I124" s="3" t="n"/>
      <c r="J124" s="3" t="inlineStr">
        <is>
          <t>Survey</t>
        </is>
      </c>
      <c r="K124" s="3" t="inlineStr">
        <is>
          <t>n=2400 US adults; online questionnaire; United States; Nov 2020–Feb 2021</t>
        </is>
      </c>
      <c r="L124" s="3" t="n"/>
      <c r="O124" s="3" t="inlineStr">
        <is>
          <t>Published</t>
        </is>
      </c>
      <c r="P124" s="12" t="n">
        <v>46300</v>
      </c>
      <c r="Q124" s="3" t="n"/>
      <c r="R124" s="3" t="inlineStr">
        <is>
          <t>§3, Table 2; 2,400 US adults surveyed on connected-vehicle data sharing, privacy, database handling, unauthorised access and security.</t>
        </is>
      </c>
      <c r="S124" s="3" t="inlineStr">
        <is>
          <t>Y</t>
        </is>
      </c>
      <c r="T124" s="3" t="inlineStr">
        <is>
          <t>N</t>
        </is>
      </c>
      <c r="U124" s="3" t="inlineStr">
        <is>
          <t>Y</t>
        </is>
      </c>
    </row>
    <row r="125" ht="42.75" customHeight="1" s="18">
      <c r="A125" s="5" t="inlineStr">
        <is>
          <t>S2-0080</t>
        </is>
      </c>
      <c r="B125" s="5" t="inlineStr">
        <is>
          <t>A</t>
        </is>
      </c>
      <c r="C125" s="3" t="inlineStr">
        <is>
          <t>P. Clement; H. Danzinger; O. Veledar; C. Könczöl; G. Macher; A. Eichberger</t>
        </is>
      </c>
      <c r="D125" s="6" t="n">
        <v>2021</v>
      </c>
      <c r="E125" s="3" t="inlineStr">
        <is>
          <t>Measuring trust in automated driving using a multi-level approach to human factors</t>
        </is>
      </c>
      <c r="F125" s="5" t="inlineStr">
        <is>
          <t>Conference paper</t>
        </is>
      </c>
      <c r="G125" s="10" t="inlineStr">
        <is>
          <t>FT</t>
        </is>
      </c>
      <c r="H125" s="3" t="inlineStr">
        <is>
          <t>INCLUDE</t>
        </is>
      </c>
      <c r="I125" s="3" t="n"/>
      <c r="J125" s="3" t="inlineStr">
        <is>
          <t>Experiment</t>
        </is>
      </c>
      <c r="K125" s="3" t="inlineStr">
        <is>
          <t>n=49 valid participants; automated-driving simulator experiment; country and collection period not stated</t>
        </is>
      </c>
      <c r="L125" s="3" t="n"/>
      <c r="O125" s="3" t="inlineStr">
        <is>
          <t>Published</t>
        </is>
      </c>
      <c r="P125" s="12" t="n">
        <v>46300</v>
      </c>
      <c r="Q125" s="3" t="n"/>
      <c r="R125" s="3" t="inlineStr">
        <is>
          <t>§II–III; 49 valid simulator participants repeatedly rated comfort, trust and overall perception across AD scenarios; trust changed over repeated measurements.</t>
        </is>
      </c>
      <c r="S125" s="3" t="inlineStr">
        <is>
          <t>N</t>
        </is>
      </c>
      <c r="T125" s="3" t="inlineStr">
        <is>
          <t>Y</t>
        </is>
      </c>
      <c r="U125" s="3" t="inlineStr">
        <is>
          <t>N</t>
        </is>
      </c>
    </row>
    <row r="126" ht="28.5" customHeight="1" s="18">
      <c r="A126" s="5" t="inlineStr">
        <is>
          <t>S2-0008</t>
        </is>
      </c>
      <c r="B126" s="5" t="inlineStr">
        <is>
          <t>A</t>
        </is>
      </c>
      <c r="C126" s="3" t="inlineStr">
        <is>
          <t>R. Du; H. Du; J. Wu</t>
        </is>
      </c>
      <c r="D126" s="6" t="n">
        <v>2022</v>
      </c>
      <c r="E126" s="3" t="inlineStr">
        <is>
          <t>Media and Trust Influence Consumers' Acceptance of Self-driving Cars</t>
        </is>
      </c>
      <c r="F126" s="5" t="inlineStr">
        <is>
          <t>Conference paper</t>
        </is>
      </c>
      <c r="G126" s="10" t="inlineStr">
        <is>
          <t>FT</t>
        </is>
      </c>
      <c r="H126" s="3" t="inlineStr">
        <is>
          <t>INCLUDE</t>
        </is>
      </c>
      <c r="I126" s="3" t="n"/>
      <c r="J126" s="3" t="inlineStr">
        <is>
          <t>Survey</t>
        </is>
      </c>
      <c r="K126" s="3" t="inlineStr">
        <is>
          <t>n=437 valid respondents; online and offline questionnaire; country not explicitly stated; 10-day collection period</t>
        </is>
      </c>
      <c r="L126" s="3" t="n"/>
      <c r="O126" s="3" t="inlineStr">
        <is>
          <t>Published</t>
        </is>
      </c>
      <c r="P126" s="12" t="n">
        <v>46300</v>
      </c>
      <c r="Q126" s="3" t="n"/>
      <c r="R126" s="3" t="inlineStr">
        <is>
          <t>§III–IV, Table 1; 437 valid respondents measured perceived security risk, privacy risk, initial trust and self-driving-car acceptance in one survey.</t>
        </is>
      </c>
      <c r="S126" s="3" t="inlineStr">
        <is>
          <t>Y</t>
        </is>
      </c>
      <c r="T126" s="3" t="inlineStr">
        <is>
          <t>N</t>
        </is>
      </c>
      <c r="U126" s="3" t="inlineStr">
        <is>
          <t>N</t>
        </is>
      </c>
    </row>
    <row r="127" ht="28.5" customHeight="1" s="18">
      <c r="A127" s="5" t="inlineStr">
        <is>
          <t>S2-0214</t>
        </is>
      </c>
      <c r="B127" s="5" t="inlineStr">
        <is>
          <t>A</t>
        </is>
      </c>
      <c r="C127" s="3" t="inlineStr">
        <is>
          <t>Lee, J.; Baig, F.; Li, X.</t>
        </is>
      </c>
      <c r="D127" s="6" t="n">
        <v>2022</v>
      </c>
      <c r="E127" s="3" t="inlineStr">
        <is>
          <t>Media Influence, Trust, and the Public Adoption of Automated Vehicles</t>
        </is>
      </c>
      <c r="F127" s="5" t="inlineStr">
        <is>
          <t>Journal article</t>
        </is>
      </c>
      <c r="G127" s="10" t="inlineStr">
        <is>
          <t>FT</t>
        </is>
      </c>
      <c r="H127" s="3" t="inlineStr">
        <is>
          <t>INCLUDE</t>
        </is>
      </c>
      <c r="I127" s="3" t="n"/>
      <c r="J127" s="3" t="inlineStr">
        <is>
          <t>Survey</t>
        </is>
      </c>
      <c r="K127" s="3" t="inlineStr">
        <is>
          <t>n=825 valid respondents; web and paper questionnaires; Changsha, China; 964 responses collected before cleaning</t>
        </is>
      </c>
      <c r="L127" s="3" t="n"/>
      <c r="O127" s="3" t="inlineStr">
        <is>
          <t>Published</t>
        </is>
      </c>
      <c r="P127" s="12" t="n">
        <v>46300</v>
      </c>
      <c r="Q127" s="3" t="n"/>
      <c r="R127" s="3" t="inlineStr">
        <is>
          <t>Table 1/§Data Collection; 825 valid Changsha responses measured unauthorised personal-data collection, use and sharing alongside trust and adoption.</t>
        </is>
      </c>
      <c r="S127" s="3" t="inlineStr">
        <is>
          <t>Y</t>
        </is>
      </c>
      <c r="T127" s="3" t="inlineStr">
        <is>
          <t>N</t>
        </is>
      </c>
      <c r="U127" s="3" t="inlineStr">
        <is>
          <t>Y</t>
        </is>
      </c>
    </row>
    <row r="128" ht="28.5" customHeight="1" s="18">
      <c r="A128" s="5" t="inlineStr">
        <is>
          <t>S2-0185</t>
        </is>
      </c>
      <c r="B128" s="5" t="inlineStr">
        <is>
          <t>A</t>
        </is>
      </c>
      <c r="C128" s="3" t="inlineStr">
        <is>
          <t>Soe, R.-M.; Müür, J.</t>
        </is>
      </c>
      <c r="D128" s="6" t="n">
        <v>2020</v>
      </c>
      <c r="E128" s="3" t="inlineStr">
        <is>
          <t>Mobility acceptance factors of an automated shuttle bus last-mile service</t>
        </is>
      </c>
      <c r="F128" s="5" t="inlineStr">
        <is>
          <t>Journal article</t>
        </is>
      </c>
      <c r="G128" s="10" t="inlineStr">
        <is>
          <t>FT</t>
        </is>
      </c>
      <c r="H128" s="3" t="inlineStr">
        <is>
          <t>INCLUDE</t>
        </is>
      </c>
      <c r="I128" s="3" t="n"/>
      <c r="J128" s="3" t="inlineStr">
        <is>
          <t>Mixed</t>
        </is>
      </c>
      <c r="K128" s="3" t="inlineStr">
        <is>
          <t>n=152 passengers + n=55 student controls; Tallinn, Estonia; late 2019; operator logs/panel interview</t>
        </is>
      </c>
      <c r="L128" s="3" t="n"/>
      <c r="O128" s="3" t="inlineStr">
        <is>
          <t>Published</t>
        </is>
      </c>
      <c r="P128" s="12" t="n">
        <v>46300</v>
      </c>
      <c r="Q128" s="3" t="n"/>
      <c r="R128" s="3" t="inlineStr">
        <is>
          <t>§3.1–4.1; mixed Tallinn pilot: 152 passenger surveys plus 55-student control; safety/security measured; sensor-triggered braking linked to risk.</t>
        </is>
      </c>
      <c r="S128" s="3" t="inlineStr">
        <is>
          <t>N</t>
        </is>
      </c>
      <c r="T128" s="3" t="inlineStr">
        <is>
          <t>N</t>
        </is>
      </c>
      <c r="U128" s="3" t="inlineStr">
        <is>
          <t>Y</t>
        </is>
      </c>
    </row>
    <row r="129" ht="42.75" customHeight="1" s="18">
      <c r="A129" s="5" t="inlineStr">
        <is>
          <t>S2-0274</t>
        </is>
      </c>
      <c r="B129" s="5" t="inlineStr">
        <is>
          <t>A</t>
        </is>
      </c>
      <c r="C129" s="3" t="inlineStr">
        <is>
          <t>Gurumurthy, K.M.; Kockelman, K.M.</t>
        </is>
      </c>
      <c r="D129" s="6" t="n">
        <v>2020</v>
      </c>
      <c r="E129" s="3" t="inlineStr">
        <is>
          <t>Modeling Americans’ autonomous vehicle preferences: A focus on dynamic ride-sharing, privacy &amp; long-distance mode choices</t>
        </is>
      </c>
      <c r="F129" s="5" t="inlineStr">
        <is>
          <t>Journal article</t>
        </is>
      </c>
      <c r="G129" s="10" t="inlineStr">
        <is>
          <t>FT</t>
        </is>
      </c>
      <c r="H129" s="3" t="inlineStr">
        <is>
          <t>INCLUDE</t>
        </is>
      </c>
      <c r="I129" s="3" t="n"/>
      <c r="J129" s="3" t="inlineStr">
        <is>
          <t>Survey</t>
        </is>
      </c>
      <c r="K129" s="3" t="inlineStr">
        <is>
          <t>n=2588 complete U.S. respondents; online Qualtrics survey; United States; June 2017; Texas purposefully oversampled</t>
        </is>
      </c>
      <c r="L129" s="3" t="n"/>
      <c r="O129" s="3" t="inlineStr">
        <is>
          <t>Published</t>
        </is>
      </c>
      <c r="P129" s="12" t="n">
        <v>46300</v>
      </c>
      <c r="Q129" s="3" t="n"/>
      <c r="R129" s="3" t="inlineStr">
        <is>
          <t>§2.1, §3.2/Table 7; 2,588 U.S. respondents directly rated privacy, trip-location use and willingness to pay for anonymisation.</t>
        </is>
      </c>
      <c r="S129" s="3" t="inlineStr">
        <is>
          <t>Y</t>
        </is>
      </c>
      <c r="T129" s="3" t="inlineStr">
        <is>
          <t>N</t>
        </is>
      </c>
      <c r="U129" s="3" t="inlineStr">
        <is>
          <t>Y</t>
        </is>
      </c>
    </row>
    <row r="130" ht="42.75" customHeight="1" s="18">
      <c r="A130" s="5" t="inlineStr">
        <is>
          <t>S2-0021</t>
        </is>
      </c>
      <c r="B130" s="5" t="inlineStr">
        <is>
          <t>A</t>
        </is>
      </c>
      <c r="C130" s="3" t="inlineStr">
        <is>
          <t>S. Majumdar; A. Awasthi; S. E. Kirkley</t>
        </is>
      </c>
      <c r="D130" s="6" t="n">
        <v>2025</v>
      </c>
      <c r="E130" s="3" t="inlineStr">
        <is>
          <t>Navigating the Future: Predictive Modeling of Safety Perceptions and Adoption Readiness of Autonomous Vehicles for Public Safety Enhancement</t>
        </is>
      </c>
      <c r="F130" s="5" t="inlineStr">
        <is>
          <t>Conference paper</t>
        </is>
      </c>
      <c r="G130" s="10" t="inlineStr">
        <is>
          <t>FT</t>
        </is>
      </c>
      <c r="H130" s="3" t="inlineStr">
        <is>
          <t>INCLUDE</t>
        </is>
      </c>
      <c r="I130" s="3" t="n"/>
      <c r="J130" s="3" t="inlineStr">
        <is>
          <t>Secondary data</t>
        </is>
      </c>
      <c r="K130" s="3" t="inlineStr">
        <is>
          <t>Approximately 1,000 observations from 2019 Pittsburgh Autonomous Vehicle Survey; BikePGH members and residents; 2017 aggregate survey also compared</t>
        </is>
      </c>
      <c r="L130" s="3" t="n"/>
      <c r="O130" s="3" t="inlineStr">
        <is>
          <t>Published</t>
        </is>
      </c>
      <c r="P130" s="12" t="n">
        <v>46300</v>
      </c>
      <c r="Q130" s="3" t="n"/>
      <c r="R130" s="3" t="inlineStr">
        <is>
          <t>Methodology; 2019 Pittsburgh AV survey (~1,000 observations), with 2017 aggregate comparison; safety perceptions and adoption were modelled.</t>
        </is>
      </c>
      <c r="S130" s="3" t="inlineStr">
        <is>
          <t>N</t>
        </is>
      </c>
      <c r="T130" s="3" t="inlineStr">
        <is>
          <t>N</t>
        </is>
      </c>
      <c r="U130" s="3" t="inlineStr">
        <is>
          <t>N</t>
        </is>
      </c>
    </row>
    <row r="131" ht="28.5" customHeight="1" s="18">
      <c r="A131" s="5" t="inlineStr">
        <is>
          <t>S2-0264</t>
        </is>
      </c>
      <c r="B131" s="5" t="inlineStr">
        <is>
          <t>A</t>
        </is>
      </c>
      <c r="C131" s="3" t="inlineStr">
        <is>
          <t>Lokshina, I.; Kniezova, J.; Lanting, C.</t>
        </is>
      </c>
      <c r="D131" s="6" t="n">
        <v>2021</v>
      </c>
      <c r="E131" s="3" t="inlineStr">
        <is>
          <t>On Building Users' Initial Trust in Autonomous Vehicles</t>
        </is>
      </c>
      <c r="F131" s="5" t="inlineStr">
        <is>
          <t>Conference paper</t>
        </is>
      </c>
      <c r="G131" s="10" t="inlineStr">
        <is>
          <t>FT</t>
        </is>
      </c>
      <c r="H131" s="3" t="inlineStr">
        <is>
          <t>INCLUDE</t>
        </is>
      </c>
      <c r="I131" s="3" t="n"/>
      <c r="J131" s="3" t="inlineStr">
        <is>
          <t>Survey</t>
        </is>
      </c>
      <c r="K131" s="3" t="inlineStr">
        <is>
          <t>n=208 valid U.S. undergraduate students from a public university; online survey; collection period not stated</t>
        </is>
      </c>
      <c r="L131" s="3" t="n"/>
      <c r="O131" s="3" t="inlineStr">
        <is>
          <t>Published</t>
        </is>
      </c>
      <c r="P131" s="12" t="n">
        <v>46300</v>
      </c>
      <c r="Q131" s="3" t="n"/>
      <c r="R131" s="3" t="inlineStr">
        <is>
          <t>§3–4; 208 valid U.S. student surveys modelled initial trust; privacy concerns were proposed only for future work.</t>
        </is>
      </c>
      <c r="S131" s="3" t="inlineStr">
        <is>
          <t>N</t>
        </is>
      </c>
      <c r="T131" s="3" t="inlineStr">
        <is>
          <t>N</t>
        </is>
      </c>
      <c r="U131" s="3" t="inlineStr">
        <is>
          <t>N</t>
        </is>
      </c>
    </row>
    <row r="132" ht="28.5" customHeight="1" s="18">
      <c r="A132" s="5" t="inlineStr">
        <is>
          <t>S2-0118</t>
        </is>
      </c>
      <c r="B132" s="5" t="inlineStr">
        <is>
          <t>A</t>
        </is>
      </c>
      <c r="C132" s="3" t="inlineStr">
        <is>
          <t>Rahim, A.N.; Fonzone, A.; Fountas, G.; Downey, L.</t>
        </is>
      </c>
      <c r="D132" s="6" t="n">
        <v>2023</v>
      </c>
      <c r="E132" s="3" t="inlineStr">
        <is>
          <t>On the Attitudes Toward Automation in Determining the Intention to Use Automated Buses in Scotland</t>
        </is>
      </c>
      <c r="F132" s="5" t="inlineStr">
        <is>
          <t>Journal article</t>
        </is>
      </c>
      <c r="G132" s="10" t="inlineStr">
        <is>
          <t>FT</t>
        </is>
      </c>
      <c r="H132" s="3" t="inlineStr">
        <is>
          <t>INCLUDE</t>
        </is>
      </c>
      <c r="I132" s="3" t="n"/>
      <c r="J132" s="3" t="inlineStr">
        <is>
          <t>Survey</t>
        </is>
      </c>
      <c r="K132" s="3" t="inlineStr">
        <is>
          <t>n=1054 Scottish bus passengers; online Qualtrics survey via Stagecoach mailing list; Scotland; 15 Oct–5 Nov 2021</t>
        </is>
      </c>
      <c r="L132" s="3" t="n"/>
      <c r="O132" s="3" t="inlineStr">
        <is>
          <t>Published</t>
        </is>
      </c>
      <c r="P132" s="12" t="n">
        <v>46300</v>
      </c>
      <c r="Q132" s="3" t="n"/>
      <c r="R132" s="3" t="inlineStr">
        <is>
          <t>Table 1/§Data; 1,054 Scottish bus users surveyed; computer-virus/hacking risk was directly measured within perceived safety/security.</t>
        </is>
      </c>
      <c r="S132" s="3" t="inlineStr">
        <is>
          <t>Y</t>
        </is>
      </c>
      <c r="T132" s="3" t="inlineStr">
        <is>
          <t>N</t>
        </is>
      </c>
      <c r="U132" s="3" t="inlineStr">
        <is>
          <t>N</t>
        </is>
      </c>
    </row>
    <row r="133" ht="42.75" customHeight="1" s="18">
      <c r="A133" s="5" t="inlineStr">
        <is>
          <t>S2-0099</t>
        </is>
      </c>
      <c r="B133" s="5" t="inlineStr">
        <is>
          <t>A</t>
        </is>
      </c>
      <c r="C133" s="3" t="inlineStr">
        <is>
          <t>Walter, J.; Abendroth, B.</t>
        </is>
      </c>
      <c r="D133" s="6" t="n">
        <v>2020</v>
      </c>
      <c r="E133" s="3" t="inlineStr">
        <is>
          <t>On the role of informational privacy in connected vehicles: A privacy-aware acceptance modelling approach for connected vehicular services</t>
        </is>
      </c>
      <c r="F133" s="5" t="inlineStr">
        <is>
          <t>Journal article</t>
        </is>
      </c>
      <c r="G133" s="10" t="inlineStr">
        <is>
          <t>FT</t>
        </is>
      </c>
      <c r="H133" s="3" t="inlineStr">
        <is>
          <t>INCLUDE</t>
        </is>
      </c>
      <c r="I133" s="3" t="n"/>
      <c r="J133" s="3" t="inlineStr">
        <is>
          <t>Experiment</t>
        </is>
      </c>
      <c r="K133" s="3" t="inlineStr">
        <is>
          <t>n=116 valid licensed smartphone-owning participants; high-fidelity driving simulator; TU Darmstadt, Germany; collection period not stated</t>
        </is>
      </c>
      <c r="L133" s="3" t="n"/>
      <c r="O133" s="3" t="inlineStr">
        <is>
          <t>Published</t>
        </is>
      </c>
      <c r="P133" s="12" t="n">
        <v>46300</v>
      </c>
      <c r="Q133" s="3" t="n"/>
      <c r="R133" s="3" t="inlineStr">
        <is>
          <t>§3/Appendix A1; 116 simulator participants used a connected parking service; privacy concerns, privacy risk and information control were directly measured.</t>
        </is>
      </c>
      <c r="S133" s="3" t="inlineStr">
        <is>
          <t>Y</t>
        </is>
      </c>
      <c r="T133" s="3" t="inlineStr">
        <is>
          <t>N</t>
        </is>
      </c>
      <c r="U133" s="3" t="inlineStr">
        <is>
          <t>Y</t>
        </is>
      </c>
    </row>
    <row r="134" ht="42.75" customHeight="1" s="18">
      <c r="A134" s="5" t="inlineStr">
        <is>
          <t>S2-0296</t>
        </is>
      </c>
      <c r="B134" s="5" t="inlineStr">
        <is>
          <t>A</t>
        </is>
      </c>
      <c r="C134" s="3" t="inlineStr">
        <is>
          <t>Salonen, A.O.</t>
        </is>
      </c>
      <c r="D134" s="6" t="n">
        <v>2018</v>
      </c>
      <c r="E134" s="3" t="inlineStr">
        <is>
          <t>Passenger's subjective traffic safety, in-vehicle security and emergency management in the driverless shuttle bus in Finland</t>
        </is>
      </c>
      <c r="F134" s="5" t="inlineStr">
        <is>
          <t>Journal article</t>
        </is>
      </c>
      <c r="G134" s="10" t="inlineStr">
        <is>
          <t>FT</t>
        </is>
      </c>
      <c r="H134" s="3" t="inlineStr">
        <is>
          <t>INCLUDE</t>
        </is>
      </c>
      <c r="I134" s="3" t="n"/>
      <c r="J134" s="3" t="inlineStr">
        <is>
          <t>Interview/focus group</t>
        </is>
      </c>
      <c r="K134" s="3" t="inlineStr">
        <is>
          <t>n=197 post-ride shuttle passengers; Vantaa, Finland; interviews immediately after EasyMile EZ-10 journey; 10 Jul–9 Aug 2015</t>
        </is>
      </c>
      <c r="L134" s="3" t="n"/>
      <c r="O134" s="3" t="inlineStr">
        <is>
          <t>Published</t>
        </is>
      </c>
      <c r="P134" s="12" t="n">
        <v>46300</v>
      </c>
      <c r="Q134" s="3" t="n"/>
      <c r="R134" s="3" t="inlineStr">
        <is>
          <t>§2–3; 197 post-ride passengers interviewed; in-vehicle security explicitly meant fear of crime, not informational or cyber security.</t>
        </is>
      </c>
      <c r="S134" s="3" t="inlineStr">
        <is>
          <t>Y</t>
        </is>
      </c>
      <c r="T134" s="3" t="inlineStr">
        <is>
          <t>N</t>
        </is>
      </c>
      <c r="U134" s="3" t="inlineStr">
        <is>
          <t>N</t>
        </is>
      </c>
    </row>
    <row r="135" ht="42.75" customHeight="1" s="18">
      <c r="A135" s="5" t="inlineStr">
        <is>
          <t>S2-0292</t>
        </is>
      </c>
      <c r="B135" s="5" t="inlineStr">
        <is>
          <t>A</t>
        </is>
      </c>
      <c r="C135" s="3" t="inlineStr">
        <is>
          <t>Olaru, D.; Greaves, S.; Leighton, C.; Smith, B.; Arnold, T.</t>
        </is>
      </c>
      <c r="D135" s="6" t="n">
        <v>2021</v>
      </c>
      <c r="E135" s="3" t="inlineStr">
        <is>
          <t>Peer-to-Peer (P2P) carsharing and driverless vehicles: Attitudes and values of vehicle owners</t>
        </is>
      </c>
      <c r="F135" s="5" t="inlineStr">
        <is>
          <t>Journal article</t>
        </is>
      </c>
      <c r="G135" s="10" t="inlineStr">
        <is>
          <t>FT</t>
        </is>
      </c>
      <c r="H135" s="3" t="inlineStr">
        <is>
          <t>INCLUDE</t>
        </is>
      </c>
      <c r="I135" s="3" t="n"/>
      <c r="J135" s="3" t="inlineStr">
        <is>
          <t>Survey</t>
        </is>
      </c>
      <c r="K135" s="3" t="inlineStr">
        <is>
          <t>n=751 Australian vehicle owners; Sydney and Perth; online questionnaire; Oct–Dec 2017</t>
        </is>
      </c>
      <c r="L135" s="3" t="n"/>
      <c r="O135" s="3" t="inlineStr">
        <is>
          <t>Published</t>
        </is>
      </c>
      <c r="P135" s="12" t="n">
        <v>46300</v>
      </c>
      <c r="Q135" s="3" t="n"/>
      <c r="R135" s="3" t="inlineStr">
        <is>
          <t>§3.1–3.2, Table 1; n=751 vehicle owners; DV concerns directly included system hacking, safety and liability.</t>
        </is>
      </c>
      <c r="S135" s="3" t="inlineStr">
        <is>
          <t>Y</t>
        </is>
      </c>
      <c r="T135" s="3" t="inlineStr">
        <is>
          <t>N</t>
        </is>
      </c>
      <c r="U135" s="3" t="inlineStr">
        <is>
          <t>N</t>
        </is>
      </c>
    </row>
    <row r="136" ht="42.75" customHeight="1" s="18">
      <c r="A136" s="5" t="inlineStr">
        <is>
          <t>S2-0270</t>
        </is>
      </c>
      <c r="B136" s="5" t="inlineStr">
        <is>
          <t>A</t>
        </is>
      </c>
      <c r="C136" s="3" t="inlineStr">
        <is>
          <t>Woldeamanuel, M.; Nguyen, D.</t>
        </is>
      </c>
      <c r="D136" s="6" t="n">
        <v>2018</v>
      </c>
      <c r="E136" s="3" t="inlineStr">
        <is>
          <t>Perceived benefits and concerns of autonomous vehicles: An exploratory study of millennials’ sentiments of an emerging market</t>
        </is>
      </c>
      <c r="F136" s="5" t="inlineStr">
        <is>
          <t>Journal article</t>
        </is>
      </c>
      <c r="G136" s="10" t="inlineStr">
        <is>
          <t>FT</t>
        </is>
      </c>
      <c r="H136" s="3" t="inlineStr">
        <is>
          <t>INCLUDE</t>
        </is>
      </c>
      <c r="I136" s="3" t="n"/>
      <c r="J136" s="3" t="inlineStr">
        <is>
          <t>Survey</t>
        </is>
      </c>
      <c r="K136" s="3" t="inlineStr">
        <is>
          <t>n=919 students and faculty; California State University Northridge, USA; collection period not stated</t>
        </is>
      </c>
      <c r="L136" s="3" t="n"/>
      <c r="O136" s="3" t="inlineStr">
        <is>
          <t>Published</t>
        </is>
      </c>
      <c r="P136" s="12" t="n">
        <v>46300</v>
      </c>
      <c r="Q136" s="3" t="n"/>
      <c r="R136" s="3" t="inlineStr">
        <is>
          <t>§3, §4.13; n=919 students/faculty; measured data-privacy/system-security and hacker concerns alongside AV benefits and attitudes.</t>
        </is>
      </c>
      <c r="S136" s="3" t="inlineStr">
        <is>
          <t>Y</t>
        </is>
      </c>
      <c r="T136" s="3" t="inlineStr">
        <is>
          <t>N</t>
        </is>
      </c>
      <c r="U136" s="3" t="inlineStr">
        <is>
          <t>N</t>
        </is>
      </c>
    </row>
    <row r="137" ht="28.5" customHeight="1" s="18">
      <c r="A137" s="5" t="inlineStr">
        <is>
          <t>S2-0094</t>
        </is>
      </c>
      <c r="B137" s="5" t="inlineStr">
        <is>
          <t>A</t>
        </is>
      </c>
      <c r="C137" s="3" t="inlineStr">
        <is>
          <t>Lee, J.; Mao, R.; Pervez, A.</t>
        </is>
      </c>
      <c r="D137" s="6" t="n">
        <v>2024</v>
      </c>
      <c r="E137" s="3" t="inlineStr">
        <is>
          <t>Perceived risk of crime on driverless public bus and ride-pooling services in China</t>
        </is>
      </c>
      <c r="F137" s="5" t="inlineStr">
        <is>
          <t>Journal article</t>
        </is>
      </c>
      <c r="G137" s="10" t="inlineStr">
        <is>
          <t>FT</t>
        </is>
      </c>
      <c r="H137" s="3" t="inlineStr">
        <is>
          <t>INCLUDE</t>
        </is>
      </c>
      <c r="I137" s="3" t="n"/>
      <c r="J137" s="3" t="inlineStr">
        <is>
          <t>Survey</t>
        </is>
      </c>
      <c r="K137" s="3" t="inlineStr">
        <is>
          <t>n=842 valid respondents; China; online and field scenario survey; 5 Jun–1 Jul 2022</t>
        </is>
      </c>
      <c r="L137" s="3" t="n"/>
      <c r="O137" s="3" t="inlineStr">
        <is>
          <t>Published</t>
        </is>
      </c>
      <c r="P137" s="12" t="n">
        <v>46300</v>
      </c>
      <c r="Q137" s="3" t="n"/>
      <c r="R137" s="3" t="inlineStr">
        <is>
          <t>§3.1–3.2; n=842 valid respondents; measured crime occurrence, victimisation risk and willingness to use driverless transport.</t>
        </is>
      </c>
      <c r="S137" s="3" t="inlineStr">
        <is>
          <t>Y</t>
        </is>
      </c>
      <c r="T137" s="3" t="inlineStr">
        <is>
          <t>N</t>
        </is>
      </c>
      <c r="U137" s="3" t="inlineStr">
        <is>
          <t>N</t>
        </is>
      </c>
    </row>
    <row r="138" ht="28.5" customHeight="1" s="18">
      <c r="A138" s="5" t="inlineStr">
        <is>
          <t>S2-0015</t>
        </is>
      </c>
      <c r="B138" s="5" t="inlineStr">
        <is>
          <t>A</t>
        </is>
      </c>
      <c r="C138" s="3" t="inlineStr">
        <is>
          <t>A. Mushtaq; S. Riaz; H. Mohd; A. Saleh</t>
        </is>
      </c>
      <c r="D138" s="6" t="n">
        <v>2018</v>
      </c>
      <c r="E138" s="3" t="inlineStr">
        <is>
          <t>Perception and technology adoption trends for autonomous vehicles: Educational case study</t>
        </is>
      </c>
      <c r="F138" s="5" t="inlineStr">
        <is>
          <t>Conference paper</t>
        </is>
      </c>
      <c r="G138" s="10" t="inlineStr">
        <is>
          <t>FT</t>
        </is>
      </c>
      <c r="H138" s="3" t="inlineStr">
        <is>
          <t>INCLUDE</t>
        </is>
      </c>
      <c r="I138" s="3" t="n"/>
      <c r="J138" s="3" t="inlineStr">
        <is>
          <t>Survey</t>
        </is>
      </c>
      <c r="K138" s="3" t="inlineStr">
        <is>
          <t>n=69 analysed; Dubai drivers and travellers, UAE; 100+ questionnaires distributed; collection period not stated</t>
        </is>
      </c>
      <c r="L138" s="3" t="n"/>
      <c r="O138" s="3" t="inlineStr">
        <is>
          <t>Published</t>
        </is>
      </c>
      <c r="P138" s="12" t="n">
        <v>46300</v>
      </c>
      <c r="Q138" s="3" t="n"/>
      <c r="R138" s="3" t="inlineStr">
        <is>
          <t>§III–IV; n=69 analysed; directly compared privacy, safety and preference concerns with autonomous-vehicle adoption.</t>
        </is>
      </c>
      <c r="S138" s="3" t="inlineStr">
        <is>
          <t>Y</t>
        </is>
      </c>
      <c r="T138" s="3" t="inlineStr">
        <is>
          <t>N</t>
        </is>
      </c>
      <c r="U138" s="3" t="inlineStr">
        <is>
          <t>N</t>
        </is>
      </c>
    </row>
    <row r="139" ht="28.5" customHeight="1" s="18">
      <c r="A139" s="5" t="inlineStr">
        <is>
          <t>S2-0181</t>
        </is>
      </c>
      <c r="B139" s="5" t="inlineStr">
        <is>
          <t>A</t>
        </is>
      </c>
      <c r="C139" s="3" t="inlineStr">
        <is>
          <t>Thomas, E.; McCrudden, C.; Wharton, Z.; Behera, A.</t>
        </is>
      </c>
      <c r="D139" s="6" t="n">
        <v>2020</v>
      </c>
      <c r="E139" s="3" t="inlineStr">
        <is>
          <t>Perception of autonomous vehicles by the modern society: A survey</t>
        </is>
      </c>
      <c r="F139" s="5" t="inlineStr">
        <is>
          <t>Journal article</t>
        </is>
      </c>
      <c r="G139" s="10" t="inlineStr">
        <is>
          <t>FT</t>
        </is>
      </c>
      <c r="H139" s="3" t="inlineStr">
        <is>
          <t>INCLUDE</t>
        </is>
      </c>
      <c r="I139" s="3" t="n"/>
      <c r="J139" s="3" t="inlineStr">
        <is>
          <t>Survey</t>
        </is>
      </c>
      <c r="K139" s="3" t="inlineStr">
        <is>
          <t>n=229 adults; mainly UK, with Spain, USA and Australia; online questionnaire; collection began Jan 2018</t>
        </is>
      </c>
      <c r="L139" s="3" t="n"/>
      <c r="O139" s="3" t="inlineStr">
        <is>
          <t>Published</t>
        </is>
      </c>
      <c r="P139" s="12" t="n">
        <v>46300</v>
      </c>
      <c r="Q139" s="3" t="n"/>
      <c r="R139" s="3" t="inlineStr">
        <is>
          <t>§4.1–4.3, §6.2; n=229 adults; 16 measured concerns included vehicle hacking and system malfunction.</t>
        </is>
      </c>
      <c r="S139" s="3" t="inlineStr">
        <is>
          <t>Y</t>
        </is>
      </c>
      <c r="T139" s="3" t="inlineStr">
        <is>
          <t>N</t>
        </is>
      </c>
      <c r="U139" s="3" t="inlineStr">
        <is>
          <t>N</t>
        </is>
      </c>
    </row>
    <row r="140" ht="42.75" customHeight="1" s="18">
      <c r="A140" s="5" t="inlineStr">
        <is>
          <t>S2-0176</t>
        </is>
      </c>
      <c r="B140" s="5" t="inlineStr">
        <is>
          <t>A</t>
        </is>
      </c>
      <c r="C140" s="3" t="inlineStr">
        <is>
          <t>Pervez, A.; Lee, J.J.; Mao, R.; Chang, F.</t>
        </is>
      </c>
      <c r="D140" s="6" t="n">
        <v>2025</v>
      </c>
      <c r="E140" s="3" t="inlineStr">
        <is>
          <t>Perception toward autonomous ride-pooling services and public buses in Pakistan: perspectives in crime and victimization</t>
        </is>
      </c>
      <c r="F140" s="5" t="inlineStr">
        <is>
          <t>Journal article</t>
        </is>
      </c>
      <c r="G140" s="10" t="inlineStr">
        <is>
          <t>FT</t>
        </is>
      </c>
      <c r="H140" s="3" t="inlineStr">
        <is>
          <t>INCLUDE</t>
        </is>
      </c>
      <c r="I140" s="3" t="n"/>
      <c r="J140" s="3" t="inlineStr">
        <is>
          <t>Survey</t>
        </is>
      </c>
      <c r="K140" s="3" t="inlineStr">
        <is>
          <t>n=667 valid respondents; Pakistan; online scenario survey; 15 Aug–15 Oct 2022</t>
        </is>
      </c>
      <c r="L140" s="3" t="n"/>
      <c r="O140" s="3" t="inlineStr">
        <is>
          <t>Published</t>
        </is>
      </c>
      <c r="P140" s="12" t="n">
        <v>46300</v>
      </c>
      <c r="Q140" s="3" t="n"/>
      <c r="R140" s="3" t="inlineStr">
        <is>
          <t>§Sample collection; n=667 valid respondents; measured crime likelihood, victimisation risk and willingness to use autonomous public transport.</t>
        </is>
      </c>
      <c r="S140" s="3" t="inlineStr">
        <is>
          <t>Y</t>
        </is>
      </c>
      <c r="T140" s="3" t="inlineStr">
        <is>
          <t>N</t>
        </is>
      </c>
      <c r="U140" s="3" t="inlineStr">
        <is>
          <t>N</t>
        </is>
      </c>
    </row>
    <row r="141" ht="42.75" customHeight="1" s="18">
      <c r="A141" s="5" t="inlineStr">
        <is>
          <t>S2-0092</t>
        </is>
      </c>
      <c r="B141" s="5" t="inlineStr">
        <is>
          <t>A</t>
        </is>
      </c>
      <c r="C141" s="3" t="inlineStr">
        <is>
          <t>Abudayyeh, D.; Almomani, M.; Almomani, O.; Alsoud, H.; Alsalman, F.</t>
        </is>
      </c>
      <c r="D141" s="6" t="n">
        <v>2023</v>
      </c>
      <c r="E141" s="3" t="inlineStr">
        <is>
          <t>Perceptions of Autonomous Vehicles: A Case Study of Jordan</t>
        </is>
      </c>
      <c r="F141" s="5" t="inlineStr">
        <is>
          <t>Journal article</t>
        </is>
      </c>
      <c r="G141" s="10" t="inlineStr">
        <is>
          <t>FT</t>
        </is>
      </c>
      <c r="H141" s="3" t="inlineStr">
        <is>
          <t>INCLUDE</t>
        </is>
      </c>
      <c r="I141" s="3" t="n"/>
      <c r="J141" s="3" t="inlineStr">
        <is>
          <t>Survey</t>
        </is>
      </c>
      <c r="K141" s="3" t="inlineStr">
        <is>
          <t>n=582 valid adults; Jordan; online survey; Jun–Aug 2022</t>
        </is>
      </c>
      <c r="L141" s="3" t="n"/>
      <c r="O141" s="3" t="inlineStr">
        <is>
          <t>Published</t>
        </is>
      </c>
      <c r="P141" s="12" t="n">
        <v>46300</v>
      </c>
      <c r="Q141" s="3" t="n"/>
      <c r="R141" s="3" t="inlineStr">
        <is>
          <t>§4.1–4.3, Table 3; n=582 Jordanians; privacy used named data types and security used identification mechanisms.</t>
        </is>
      </c>
      <c r="S141" s="3" t="inlineStr">
        <is>
          <t>Y</t>
        </is>
      </c>
      <c r="T141" s="3" t="inlineStr">
        <is>
          <t>N</t>
        </is>
      </c>
      <c r="U141" s="3" t="inlineStr">
        <is>
          <t>Y</t>
        </is>
      </c>
    </row>
    <row r="142" ht="28.5" customHeight="1" s="18">
      <c r="A142" s="5" t="inlineStr">
        <is>
          <t>S2-0107</t>
        </is>
      </c>
      <c r="B142" s="5" t="inlineStr">
        <is>
          <t>A</t>
        </is>
      </c>
      <c r="C142" s="3" t="inlineStr">
        <is>
          <t>Rahman, M.T.; Dey, K.; Ashraf, M.T.</t>
        </is>
      </c>
      <c r="D142" s="6" t="n">
        <v>2024</v>
      </c>
      <c r="E142" s="3" t="inlineStr">
        <is>
          <t>Perceptions of vulnerable roadway users on autonomous vehicle regulations</t>
        </is>
      </c>
      <c r="F142" s="5" t="inlineStr">
        <is>
          <t>Journal article</t>
        </is>
      </c>
      <c r="G142" s="10" t="inlineStr">
        <is>
          <t>FT</t>
        </is>
      </c>
      <c r="H142" s="3" t="inlineStr">
        <is>
          <t>INCLUDE</t>
        </is>
      </c>
      <c r="I142" s="3" t="n"/>
      <c r="J142" s="3" t="inlineStr">
        <is>
          <t>Secondary data</t>
        </is>
      </c>
      <c r="K142" s="3" t="inlineStr">
        <is>
          <t>BikePGH surveys; n=1120 in 2017 and approximately 794 in 2019; Pittsburgh pedestrians/bicyclists</t>
        </is>
      </c>
      <c r="L142" s="3" t="n"/>
      <c r="O142" s="3" t="inlineStr">
        <is>
          <t>Published</t>
        </is>
      </c>
      <c r="P142" s="12" t="n">
        <v>46300</v>
      </c>
      <c r="Q142" s="3" t="n"/>
      <c r="R142" s="3" t="inlineStr">
        <is>
          <t>§4, Table 2; two BikePGH surveys measured support for specific AV data-sharing and disclosure regulations.</t>
        </is>
      </c>
      <c r="S142" s="3" t="inlineStr">
        <is>
          <t>Y</t>
        </is>
      </c>
      <c r="T142" s="3" t="inlineStr">
        <is>
          <t>N</t>
        </is>
      </c>
      <c r="U142" s="3" t="inlineStr">
        <is>
          <t>Y</t>
        </is>
      </c>
    </row>
    <row r="143" ht="42.75" customHeight="1" s="18">
      <c r="A143" s="5" t="inlineStr">
        <is>
          <t>S2-0035</t>
        </is>
      </c>
      <c r="B143" s="5" t="inlineStr">
        <is>
          <t>A</t>
        </is>
      </c>
      <c r="C143" s="3" t="inlineStr">
        <is>
          <t>N. Vikas Babu; M. Damle</t>
        </is>
      </c>
      <c r="D143" s="6" t="n">
        <v>2022</v>
      </c>
      <c r="E143" s="3" t="inlineStr">
        <is>
          <t>Performance evaluation of Autonomous and Connected Electric Vehicles (ACEVs) towards buying intention in India: Forward trend in energy efficiency</t>
        </is>
      </c>
      <c r="F143" s="5" t="inlineStr">
        <is>
          <t>Conference paper</t>
        </is>
      </c>
      <c r="G143" s="10" t="inlineStr">
        <is>
          <t>FT</t>
        </is>
      </c>
      <c r="H143" s="3" t="inlineStr">
        <is>
          <t>INCLUDE</t>
        </is>
      </c>
      <c r="I143" s="3" t="n"/>
      <c r="J143" s="3" t="inlineStr">
        <is>
          <t>Survey</t>
        </is>
      </c>
      <c r="K143" s="3" t="inlineStr">
        <is>
          <t>n=232 vehicle owners/users; India; questionnaire survey; collection period not stated</t>
        </is>
      </c>
      <c r="L143" s="3" t="n"/>
      <c r="O143" s="3" t="inlineStr">
        <is>
          <t>Published</t>
        </is>
      </c>
      <c r="P143" s="12" t="n">
        <v>46300</v>
      </c>
      <c r="Q143" s="3" t="n"/>
      <c r="R143" s="3" t="inlineStr">
        <is>
          <t>§III–IV; n=232 survey; EFA identified performance, mapping/infrastructure and buying-intention factors; privacy/hacking appeared only in background.</t>
        </is>
      </c>
      <c r="S143" s="3" t="inlineStr">
        <is>
          <t>N</t>
        </is>
      </c>
      <c r="T143" s="3" t="inlineStr">
        <is>
          <t>N</t>
        </is>
      </c>
      <c r="U143" s="3" t="inlineStr">
        <is>
          <t>N</t>
        </is>
      </c>
    </row>
    <row r="144" ht="57" customHeight="1" s="18">
      <c r="A144" s="5" t="inlineStr">
        <is>
          <t>S2-0255</t>
        </is>
      </c>
      <c r="B144" s="5" t="inlineStr">
        <is>
          <t>A</t>
        </is>
      </c>
      <c r="C144" s="3" t="inlineStr">
        <is>
          <t>Martínez-Buelvas, L.; Rakotonirainy, A.; Grant-Smith, D.; Oviedo-Trespalacios, O.</t>
        </is>
      </c>
      <c r="D144" s="6" t="n">
        <v>2025</v>
      </c>
      <c r="E144" s="3" t="inlineStr">
        <is>
          <t>Policy considerations for the safe and equitable integration of Connected and Automated Vehicles</t>
        </is>
      </c>
      <c r="F144" s="5" t="inlineStr">
        <is>
          <t>Journal article</t>
        </is>
      </c>
      <c r="G144" s="10" t="inlineStr">
        <is>
          <t>FT</t>
        </is>
      </c>
      <c r="H144" s="3" t="inlineStr">
        <is>
          <t>INCLUDE</t>
        </is>
      </c>
      <c r="I144" s="3" t="n"/>
      <c r="J144" s="3" t="inlineStr">
        <is>
          <t>Interview/focus group</t>
        </is>
      </c>
      <c r="K144" s="3" t="inlineStr">
        <is>
          <t>n=15 key informants; 10 Australia, 3 Netherlands, 1 UK and 1 USA; government, industry and academia; collection period not stated</t>
        </is>
      </c>
      <c r="L144" s="3" t="n"/>
      <c r="O144" s="3" t="inlineStr">
        <is>
          <t>Published</t>
        </is>
      </c>
      <c r="P144" s="12" t="n">
        <v>46300</v>
      </c>
      <c r="Q144" s="3" t="n"/>
      <c r="R144" s="3" t="inlineStr">
        <is>
          <t>§2–3.7; 15 key-informant interviews; cybersecurity, privacy, digital databases and CAV trust/acceptance emerged in thematic findings.</t>
        </is>
      </c>
      <c r="S144" s="3" t="inlineStr">
        <is>
          <t>Y</t>
        </is>
      </c>
      <c r="T144" s="3" t="inlineStr">
        <is>
          <t>N</t>
        </is>
      </c>
      <c r="U144" s="3" t="inlineStr">
        <is>
          <t>Y</t>
        </is>
      </c>
    </row>
    <row r="145" ht="42.75" customHeight="1" s="18">
      <c r="A145" s="5" t="inlineStr">
        <is>
          <t>S2-0088</t>
        </is>
      </c>
      <c r="B145" s="5" t="inlineStr">
        <is>
          <t>A</t>
        </is>
      </c>
      <c r="C145" s="3" t="inlineStr">
        <is>
          <t>Chen, S.-Y.; Kuo, H.-Y.; Lee, C.</t>
        </is>
      </c>
      <c r="D145" s="6" t="n">
        <v>2020</v>
      </c>
      <c r="E145" s="3" t="inlineStr">
        <is>
          <t>Preparing society for automated vehicles: Perceptions of the importance and urgency of emerging issues of governance, regulations, and wider impacts</t>
        </is>
      </c>
      <c r="F145" s="5" t="inlineStr">
        <is>
          <t>Journal article</t>
        </is>
      </c>
      <c r="G145" s="10" t="inlineStr">
        <is>
          <t>FT</t>
        </is>
      </c>
      <c r="H145" s="3" t="inlineStr">
        <is>
          <t>INCLUDE</t>
        </is>
      </c>
      <c r="I145" s="3" t="n"/>
      <c r="J145" s="3" t="inlineStr">
        <is>
          <t>Survey</t>
        </is>
      </c>
      <c r="K145" s="3" t="inlineStr">
        <is>
          <t>n=366 formal respondents: 31 AI experts and 335 CS/EE students; Taiwan; formal survey Apr 2020; pilot n=206 in Mar 2020</t>
        </is>
      </c>
      <c r="L145" s="3" t="n"/>
      <c r="O145" s="3" t="inlineStr">
        <is>
          <t>Published</t>
        </is>
      </c>
      <c r="P145" s="12" t="n">
        <v>46300</v>
      </c>
      <c r="Q145" s="3" t="n"/>
      <c r="R145" s="3" t="inlineStr">
        <is>
          <t>§3.2–5.2; 66-item survey measured cybersecurity/privacy, system-network attacks, data leakage/misuse, surveillance, data ownership and communication infrastructure.</t>
        </is>
      </c>
      <c r="S145" s="3" t="inlineStr">
        <is>
          <t>Y</t>
        </is>
      </c>
      <c r="T145" s="3" t="inlineStr">
        <is>
          <t>N</t>
        </is>
      </c>
      <c r="U145" s="3" t="inlineStr">
        <is>
          <t>Y</t>
        </is>
      </c>
    </row>
    <row r="146" ht="42.75" customHeight="1" s="18">
      <c r="A146" s="5" t="inlineStr">
        <is>
          <t>S2-0093</t>
        </is>
      </c>
      <c r="B146" s="5" t="inlineStr">
        <is>
          <t>A</t>
        </is>
      </c>
      <c r="C146" s="3" t="inlineStr">
        <is>
          <t>Lee, D.; Nguyen Long, L.A.</t>
        </is>
      </c>
      <c r="D146" s="6" t="n">
        <v>2025</v>
      </c>
      <c r="E146" s="3" t="inlineStr">
        <is>
          <t>Privacy challenges of automated vehicles: Merging contextual integrity and responsible innovation frameworks</t>
        </is>
      </c>
      <c r="F146" s="5" t="inlineStr">
        <is>
          <t>Journal article</t>
        </is>
      </c>
      <c r="G146" s="10" t="inlineStr">
        <is>
          <t>FT</t>
        </is>
      </c>
      <c r="H146" s="3" t="inlineStr">
        <is>
          <t>INCLUDE</t>
        </is>
      </c>
      <c r="I146" s="3" t="n"/>
      <c r="J146" s="3" t="inlineStr">
        <is>
          <t>Survey</t>
        </is>
      </c>
      <c r="K146" s="3" t="inlineStr">
        <is>
          <t>n=1381; 977 general public, 202 computer-science developers and 202 government workers; South Korea; survey; Dec 2023</t>
        </is>
      </c>
      <c r="L146" s="3" t="n"/>
      <c r="O146" s="3" t="inlineStr">
        <is>
          <t>Published</t>
        </is>
      </c>
      <c r="P146" s="12" t="n">
        <v>46300</v>
      </c>
      <c r="Q146" s="3" t="n"/>
      <c r="R146" s="3" t="inlineStr">
        <is>
          <t>§Methods–Variables; n=1381 survey measured AV privacy through cameras/sensors, black-box data, recipients, anonymisation, storage, processing and deletion.</t>
        </is>
      </c>
      <c r="S146" s="3" t="inlineStr">
        <is>
          <t>Y</t>
        </is>
      </c>
      <c r="T146" s="3" t="inlineStr">
        <is>
          <t>N</t>
        </is>
      </c>
      <c r="U146" s="3" t="inlineStr">
        <is>
          <t>Y</t>
        </is>
      </c>
    </row>
    <row r="147" ht="42.75" customHeight="1" s="18">
      <c r="A147" s="5" t="inlineStr">
        <is>
          <t>S2-0020</t>
        </is>
      </c>
      <c r="B147" s="5" t="inlineStr">
        <is>
          <t>A</t>
        </is>
      </c>
      <c r="C147" s="3" t="inlineStr">
        <is>
          <t>N. Z. AlRais; S. M. AlHajeri; H. Almansoori; A. AlAwadhi; A. Panthakkan; S. A. Amin</t>
        </is>
      </c>
      <c r="D147" s="6" t="n">
        <v>2025</v>
      </c>
      <c r="E147" s="3" t="inlineStr">
        <is>
          <t>Privacy on Autopilot: Exploring User Attitudes Toward Data Use in Autonomous Vehicles</t>
        </is>
      </c>
      <c r="F147" s="5" t="inlineStr">
        <is>
          <t>Conference paper</t>
        </is>
      </c>
      <c r="G147" s="10" t="inlineStr">
        <is>
          <t>FT</t>
        </is>
      </c>
      <c r="H147" s="3" t="inlineStr">
        <is>
          <t>INCLUDE</t>
        </is>
      </c>
      <c r="I147" s="3" t="n"/>
      <c r="J147" s="3" t="inlineStr">
        <is>
          <t>Survey</t>
        </is>
      </c>
      <c r="K147" s="3" t="inlineStr">
        <is>
          <t>n=307 user survey records; Dubai, UAE; online survey; collection period not stated</t>
        </is>
      </c>
      <c r="L147" s="3" t="n"/>
      <c r="O147" s="3" t="inlineStr">
        <is>
          <t>Published</t>
        </is>
      </c>
      <c r="P147" s="12" t="n">
        <v>46300</v>
      </c>
      <c r="Q147" s="3" t="n"/>
      <c r="R147" s="3" t="inlineStr">
        <is>
          <t>§III–VIII; 307 survey records measured AV privacy concern, sensitive personal data, security breaches and Internet data-sharing practices.</t>
        </is>
      </c>
      <c r="S147" s="3" t="inlineStr">
        <is>
          <t>Y</t>
        </is>
      </c>
      <c r="T147" s="3" t="inlineStr">
        <is>
          <t>N</t>
        </is>
      </c>
      <c r="U147" s="3" t="inlineStr">
        <is>
          <t>Y</t>
        </is>
      </c>
    </row>
    <row r="148" ht="28.5" customHeight="1" s="18">
      <c r="A148" s="5" t="inlineStr">
        <is>
          <t>S2-0123</t>
        </is>
      </c>
      <c r="B148" s="5" t="inlineStr">
        <is>
          <t>A</t>
        </is>
      </c>
      <c r="C148" s="3" t="inlineStr">
        <is>
          <t>Brell, T.; Philipsen, R.; Ziefle, M.</t>
        </is>
      </c>
      <c r="D148" s="6" t="n">
        <v>2018</v>
      </c>
      <c r="E148" s="3" t="inlineStr">
        <is>
          <t>Privacy Pirates - The Key Role of User Diversity in V2X-Technology</t>
        </is>
      </c>
      <c r="F148" s="5" t="inlineStr">
        <is>
          <t>Conference paper</t>
        </is>
      </c>
      <c r="G148" s="10" t="inlineStr">
        <is>
          <t>FT</t>
        </is>
      </c>
      <c r="H148" s="3" t="inlineStr">
        <is>
          <t>INCLUDE</t>
        </is>
      </c>
      <c r="I148" s="3" t="n"/>
      <c r="J148" s="3" t="inlineStr">
        <is>
          <t>Survey</t>
        </is>
      </c>
      <c r="K148" s="3" t="inlineStr">
        <is>
          <t>n=157 participants aged 16–67; online survey; country not stated; collection period not stated</t>
        </is>
      </c>
      <c r="L148" s="3" t="n"/>
      <c r="O148" s="3" t="inlineStr">
        <is>
          <t>Published</t>
        </is>
      </c>
      <c r="P148" s="12" t="n">
        <v>46300</v>
      </c>
      <c r="Q148" s="3" t="n"/>
      <c r="R148" s="3" t="inlineStr">
        <is>
          <t>§3.1–4.1, Tables 1–2; online survey, n=157; autonomous-driving privacy directly measured through personal-information collection and disclosure statements.</t>
        </is>
      </c>
      <c r="S148" s="3" t="inlineStr">
        <is>
          <t>Y</t>
        </is>
      </c>
      <c r="T148" s="3" t="inlineStr">
        <is>
          <t>N</t>
        </is>
      </c>
      <c r="U148" s="3" t="inlineStr">
        <is>
          <t>N</t>
        </is>
      </c>
    </row>
    <row r="149" ht="28.5" customHeight="1" s="18">
      <c r="A149" s="5" t="inlineStr">
        <is>
          <t>S2-0288</t>
        </is>
      </c>
      <c r="B149" s="5" t="inlineStr">
        <is>
          <t>A</t>
        </is>
      </c>
      <c r="C149" s="3" t="inlineStr">
        <is>
          <t>Kurse, T.K.; Gebresenbet, G.; Daba, G.F.</t>
        </is>
      </c>
      <c r="D149" s="6" t="n">
        <v>2024</v>
      </c>
      <c r="E149" s="3" t="inlineStr">
        <is>
          <t>Prospects for Implementation of Autonomous Vehicles and Associated Infrastructure in Developing Countries</t>
        </is>
      </c>
      <c r="F149" s="5" t="inlineStr">
        <is>
          <t>Journal article</t>
        </is>
      </c>
      <c r="G149" s="10" t="inlineStr">
        <is>
          <t>FT</t>
        </is>
      </c>
      <c r="H149" s="3" t="inlineStr">
        <is>
          <t>INCLUDE</t>
        </is>
      </c>
      <c r="I149" s="3" t="n"/>
      <c r="J149" s="3" t="inlineStr">
        <is>
          <t>Mixed</t>
        </is>
      </c>
      <c r="K149" s="3" t="inlineStr">
        <is>
          <t>n≈1500 local residents/key workers + stakeholder interviews; Adama city and surrounding areas, Ethiopia; collection period not stated</t>
        </is>
      </c>
      <c r="L149" s="3" t="n"/>
      <c r="O149" s="3" t="inlineStr">
        <is>
          <t>Published</t>
        </is>
      </c>
      <c r="P149" s="12" t="n">
        <v>46300</v>
      </c>
      <c r="Q149" s="3" t="n"/>
      <c r="R149" s="3" t="inlineStr">
        <is>
          <t>§5.2, Table 4, Appendix A; n≈1500 Ethiopian respondents; perceived danger explicitly included cyber-attacks and disclosure of private information.</t>
        </is>
      </c>
      <c r="S149" s="3" t="inlineStr">
        <is>
          <t>Y</t>
        </is>
      </c>
      <c r="T149" s="3" t="inlineStr">
        <is>
          <t>N</t>
        </is>
      </c>
      <c r="U149" s="3" t="inlineStr">
        <is>
          <t>Y</t>
        </is>
      </c>
    </row>
    <row r="150" ht="28.5" customHeight="1" s="18">
      <c r="A150" s="5" t="inlineStr">
        <is>
          <t>S2-0157</t>
        </is>
      </c>
      <c r="B150" s="5" t="inlineStr">
        <is>
          <t>A</t>
        </is>
      </c>
      <c r="C150" s="3" t="inlineStr">
        <is>
          <t>Acharya, S.; Mekker, M.</t>
        </is>
      </c>
      <c r="D150" s="6" t="n">
        <v>2022</v>
      </c>
      <c r="E150" s="3" t="inlineStr">
        <is>
          <t>Public acceptance of connected vehicles: An extension of the technology acceptance model</t>
        </is>
      </c>
      <c r="F150" s="5" t="inlineStr">
        <is>
          <t>Journal article</t>
        </is>
      </c>
      <c r="G150" s="10" t="inlineStr">
        <is>
          <t>FT</t>
        </is>
      </c>
      <c r="H150" s="3" t="inlineStr">
        <is>
          <t>INCLUDE</t>
        </is>
      </c>
      <c r="I150" s="3" t="n"/>
      <c r="J150" s="3" t="inlineStr">
        <is>
          <t>Survey</t>
        </is>
      </c>
      <c r="K150" s="3" t="inlineStr">
        <is>
          <t>n=2400 US adults; USA; Nov 2020–Feb 2021</t>
        </is>
      </c>
      <c r="L150" s="3" t="n"/>
      <c r="O150" s="3" t="inlineStr">
        <is>
          <t>Published</t>
        </is>
      </c>
      <c r="P150" s="12" t="n">
        <v>46300</v>
      </c>
      <c r="Q150" s="3" t="n"/>
      <c r="R150" s="3" t="inlineStr">
        <is>
          <t>§3.1–3.2, Table 2; online survey, n=2400 US adults; privacy/security measured via data collection, database, sharing and third-party access items.</t>
        </is>
      </c>
      <c r="S150" s="3" t="inlineStr">
        <is>
          <t>Y</t>
        </is>
      </c>
      <c r="T150" s="3" t="inlineStr">
        <is>
          <t>N</t>
        </is>
      </c>
      <c r="U150" s="3" t="inlineStr">
        <is>
          <t>Y</t>
        </is>
      </c>
    </row>
    <row r="151" ht="28.5" customHeight="1" s="18">
      <c r="A151" s="5" t="inlineStr">
        <is>
          <t>S2-0297</t>
        </is>
      </c>
      <c r="B151" s="5" t="inlineStr">
        <is>
          <t>A</t>
        </is>
      </c>
      <c r="C151" s="3" t="inlineStr">
        <is>
          <t>Smyth, J.; Chen, H.; Donzella, V.; Woodman, R.</t>
        </is>
      </c>
      <c r="D151" s="6" t="n">
        <v>2021</v>
      </c>
      <c r="E151" s="3" t="inlineStr">
        <is>
          <t>Public acceptance of driver state monitoring for automated vehicles: Applying the UTAUT framework</t>
        </is>
      </c>
      <c r="F151" s="5" t="inlineStr">
        <is>
          <t>Journal article</t>
        </is>
      </c>
      <c r="G151" s="10" t="inlineStr">
        <is>
          <t>FT</t>
        </is>
      </c>
      <c r="H151" s="3" t="inlineStr">
        <is>
          <t>INCLUDE</t>
        </is>
      </c>
      <c r="I151" s="3" t="n"/>
      <c r="J151" s="3" t="inlineStr">
        <is>
          <t>Survey</t>
        </is>
      </c>
      <c r="K151" s="3" t="inlineStr">
        <is>
          <t>n=311 online respondents; country not stated; 10 Aug–10 Sep 2020</t>
        </is>
      </c>
      <c r="L151" s="3" t="n"/>
      <c r="O151" s="3" t="inlineStr">
        <is>
          <t>Published</t>
        </is>
      </c>
      <c r="P151" s="12" t="n">
        <v>46300</v>
      </c>
      <c r="Q151" s="3" t="n"/>
      <c r="R151" s="3" t="inlineStr">
        <is>
          <t>§3.2, Table 2; online survey, n=311; UTAUT acceptance factors measured; privacy/data-storage concerns discussed but not operationalised.</t>
        </is>
      </c>
      <c r="S151" s="3" t="inlineStr">
        <is>
          <t>N</t>
        </is>
      </c>
      <c r="T151" s="3" t="inlineStr">
        <is>
          <t>N</t>
        </is>
      </c>
      <c r="U151" s="3" t="inlineStr">
        <is>
          <t>Y</t>
        </is>
      </c>
    </row>
    <row r="152" ht="42.75" customHeight="1" s="18">
      <c r="A152" s="5" t="inlineStr">
        <is>
          <t>S2-0125</t>
        </is>
      </c>
      <c r="B152" s="5" t="inlineStr">
        <is>
          <t>A</t>
        </is>
      </c>
      <c r="C152" s="3" t="inlineStr">
        <is>
          <t>Roche-Cerasi, I.</t>
        </is>
      </c>
      <c r="D152" s="6" t="n">
        <v>2019</v>
      </c>
      <c r="E152" s="3" t="inlineStr">
        <is>
          <t>Public acceptance of driverless shuttles in Norway</t>
        </is>
      </c>
      <c r="F152" s="5" t="inlineStr">
        <is>
          <t>Journal article</t>
        </is>
      </c>
      <c r="G152" s="10" t="inlineStr">
        <is>
          <t>FT</t>
        </is>
      </c>
      <c r="H152" s="3" t="inlineStr">
        <is>
          <t>INCLUDE</t>
        </is>
      </c>
      <c r="I152" s="3" t="n"/>
      <c r="J152" s="3" t="inlineStr">
        <is>
          <t>Survey</t>
        </is>
      </c>
      <c r="K152" s="3" t="inlineStr">
        <is>
          <t>n=1419 Norwegian Automobile Federation members; Norway; online questionnaire; collection period not stated</t>
        </is>
      </c>
      <c r="L152" s="3" t="n"/>
      <c r="O152" s="3" t="inlineStr">
        <is>
          <t>Published</t>
        </is>
      </c>
      <c r="P152" s="12" t="n">
        <v>46301</v>
      </c>
      <c r="Q152" s="3" t="n"/>
      <c r="R152" s="3" t="inlineStr">
        <is>
          <t>§3.1.4, §3.2.6; n=1419 NAF members; worry items directly measured hacking/terrorism and data privacy alongside driverless-shuttle acceptance.</t>
        </is>
      </c>
      <c r="S152" s="3" t="inlineStr">
        <is>
          <t>Y</t>
        </is>
      </c>
      <c r="T152" s="3" t="inlineStr">
        <is>
          <t>N</t>
        </is>
      </c>
      <c r="U152" s="3" t="inlineStr">
        <is>
          <t>Y</t>
        </is>
      </c>
    </row>
    <row r="153" ht="28.5" customHeight="1" s="18">
      <c r="A153" s="5" t="inlineStr">
        <is>
          <t>S2-0030</t>
        </is>
      </c>
      <c r="B153" s="5" t="inlineStr">
        <is>
          <t>A</t>
        </is>
      </c>
      <c r="C153" s="3" t="inlineStr">
        <is>
          <t>K. Hamarsheh</t>
        </is>
      </c>
      <c r="D153" s="6" t="n">
        <v>2024</v>
      </c>
      <c r="E153" s="3" t="inlineStr">
        <is>
          <t>Public Acceptance to utilize Autonomous Vehicles AV’s in the United Arab Emirates, An Empirical Study</t>
        </is>
      </c>
      <c r="F153" s="5" t="inlineStr">
        <is>
          <t>Conference paper</t>
        </is>
      </c>
      <c r="G153" s="10" t="inlineStr">
        <is>
          <t>FT</t>
        </is>
      </c>
      <c r="H153" s="3" t="inlineStr">
        <is>
          <t>INCLUDE</t>
        </is>
      </c>
      <c r="I153" s="3" t="n"/>
      <c r="J153" s="3" t="inlineStr">
        <is>
          <t>Survey</t>
        </is>
      </c>
      <c r="K153" s="3" t="inlineStr">
        <is>
          <t>n=228 UAE road/transport users, business employees and university students/faculty/staff; Google Forms; survey open 5 months; exact dates not stated</t>
        </is>
      </c>
      <c r="L153" s="3" t="n"/>
      <c r="O153" s="3" t="inlineStr">
        <is>
          <t>Published</t>
        </is>
      </c>
      <c r="P153" s="12" t="n">
        <v>46301</v>
      </c>
      <c r="Q153" s="3" t="n"/>
      <c r="R153" s="3" t="inlineStr">
        <is>
          <t>§IV–V; n=228 UAE respondents; privacy and security were validated constructs, with data collection attributed to sensors, cameras and communications.</t>
        </is>
      </c>
      <c r="S153" s="3" t="inlineStr">
        <is>
          <t>Y</t>
        </is>
      </c>
      <c r="T153" s="3" t="inlineStr">
        <is>
          <t>N</t>
        </is>
      </c>
      <c r="U153" s="3" t="inlineStr">
        <is>
          <t>Y</t>
        </is>
      </c>
    </row>
    <row r="154" ht="42.75" customHeight="1" s="18">
      <c r="A154" s="5" t="inlineStr">
        <is>
          <t>S2-0048</t>
        </is>
      </c>
      <c r="B154" s="5" t="inlineStr">
        <is>
          <t>A</t>
        </is>
      </c>
      <c r="C154" s="3" t="inlineStr">
        <is>
          <t>E. Portouli; G. Karaseitanidis; P. Lytrivis; A. Amditis; O. Raptis; C. Karaberi</t>
        </is>
      </c>
      <c r="D154" s="6" t="n">
        <v>2017</v>
      </c>
      <c r="E154" s="3" t="inlineStr">
        <is>
          <t>Public attitudes towards autonomous mini buses operating in real conditions in a Hellenic city</t>
        </is>
      </c>
      <c r="F154" s="5" t="inlineStr">
        <is>
          <t>Conference paper</t>
        </is>
      </c>
      <c r="G154" s="10" t="inlineStr">
        <is>
          <t>FT</t>
        </is>
      </c>
      <c r="H154" s="3" t="inlineStr">
        <is>
          <t>INCLUDE</t>
        </is>
      </c>
      <c r="I154" s="3" t="n"/>
      <c r="J154" s="3" t="inlineStr">
        <is>
          <t>Survey</t>
        </is>
      </c>
      <c r="K154" s="3" t="inlineStr">
        <is>
          <t>n=200 post-ride passengers + n=519 adult citizens; Trikala, Greece; passenger survey 15 Dec 2015–23 Jan 2016; citizen survey Jan–29 Feb 2016</t>
        </is>
      </c>
      <c r="L154" s="3" t="n"/>
      <c r="O154" s="3" t="inlineStr">
        <is>
          <t>Published</t>
        </is>
      </c>
      <c r="P154" s="12" t="n">
        <v>46301</v>
      </c>
      <c r="Q154" s="3" t="n"/>
      <c r="R154" s="3" t="inlineStr">
        <is>
          <t>§II.B, Table 14; two Trikala surveys (n=200, n=519); concerns explicitly included hacking and location disclosure without consent.</t>
        </is>
      </c>
      <c r="S154" s="3" t="inlineStr">
        <is>
          <t>Y</t>
        </is>
      </c>
      <c r="T154" s="3" t="inlineStr">
        <is>
          <t>N</t>
        </is>
      </c>
      <c r="U154" s="3" t="inlineStr">
        <is>
          <t>Y</t>
        </is>
      </c>
    </row>
    <row r="155" ht="28.5" customHeight="1" s="18">
      <c r="A155" s="5" t="inlineStr">
        <is>
          <t>S2-0233</t>
        </is>
      </c>
      <c r="B155" s="5" t="inlineStr">
        <is>
          <t>A</t>
        </is>
      </c>
      <c r="C155" s="3" t="inlineStr">
        <is>
          <t>Kyriakidis, M.; Happee, R.; De Winter, J.C.F.</t>
        </is>
      </c>
      <c r="D155" s="6" t="n">
        <v>2015</v>
      </c>
      <c r="E155" s="3" t="inlineStr">
        <is>
          <t>Public opinion on automated driving: Results of an international questionnaire among 5000 respondents</t>
        </is>
      </c>
      <c r="F155" s="5" t="inlineStr">
        <is>
          <t>Journal article</t>
        </is>
      </c>
      <c r="G155" s="10" t="inlineStr">
        <is>
          <t>FT</t>
        </is>
      </c>
      <c r="H155" s="3" t="inlineStr">
        <is>
          <t>INCLUDE</t>
        </is>
      </c>
      <c r="I155" s="3" t="n"/>
      <c r="J155" s="3" t="inlineStr">
        <is>
          <t>Survey</t>
        </is>
      </c>
      <c r="K155" s="3" t="inlineStr">
        <is>
          <t>n=4886 analysed respondents from 109 countries; CrowdFlower online questionnaire; data collected 4–7 Jul 2014</t>
        </is>
      </c>
      <c r="L155" s="3" t="n"/>
      <c r="O155" s="3" t="inlineStr">
        <is>
          <t>Published</t>
        </is>
      </c>
      <c r="P155" s="12" t="n">
        <v>46301</v>
      </c>
      <c r="Q155" s="3" t="n"/>
      <c r="R155" s="3" t="inlineStr">
        <is>
          <t>§2–3; international survey directly measured automated-driving acceptance, hacking/misuse concerns, privacy and comfort transmitting vehicle data.</t>
        </is>
      </c>
      <c r="S155" s="3" t="inlineStr">
        <is>
          <t>Y</t>
        </is>
      </c>
      <c r="T155" s="3" t="inlineStr">
        <is>
          <t>N</t>
        </is>
      </c>
      <c r="U155" s="3" t="inlineStr">
        <is>
          <t>N</t>
        </is>
      </c>
    </row>
    <row r="156" ht="42.75" customHeight="1" s="18">
      <c r="A156" s="5" t="inlineStr">
        <is>
          <t>S2-0001</t>
        </is>
      </c>
      <c r="B156" s="5" t="inlineStr">
        <is>
          <t>A</t>
        </is>
      </c>
      <c r="C156" s="3" t="inlineStr">
        <is>
          <t>A. Matin; H. Dia</t>
        </is>
      </c>
      <c r="D156" s="6" t="n">
        <v>2024</v>
      </c>
      <c r="E156" s="3" t="inlineStr">
        <is>
          <t>Public Perception of Connected and Automated Vehicles: Benefits, Concerns, and Barriers from an Australian Perspective</t>
        </is>
      </c>
      <c r="F156" s="5" t="inlineStr">
        <is>
          <t>Journal article</t>
        </is>
      </c>
      <c r="G156" s="10" t="inlineStr">
        <is>
          <t>FT</t>
        </is>
      </c>
      <c r="H156" s="3" t="inlineStr">
        <is>
          <t>INCLUDE</t>
        </is>
      </c>
      <c r="I156" s="3" t="n"/>
      <c r="J156" s="3" t="inlineStr">
        <is>
          <t>Survey</t>
        </is>
      </c>
      <c r="K156" s="3" t="inlineStr">
        <is>
          <t>n=495 valid respondents from 562 recorded; adults residing, working or studying in Melbourne, Australia; Qualtrics panel; collection period not stated</t>
        </is>
      </c>
      <c r="L156" s="3" t="n"/>
      <c r="O156" s="3" t="inlineStr">
        <is>
          <t>Published</t>
        </is>
      </c>
      <c r="P156" s="12" t="n">
        <v>46301</v>
      </c>
      <c r="Q156" s="3" t="n"/>
      <c r="R156" s="3" t="inlineStr">
        <is>
          <t>§4.1–5.2.2, Table 2; 495 valid Melbourne surveys measured hacker security and location/destination-tracking privacy as CAV deployment barriers.</t>
        </is>
      </c>
      <c r="S156" s="3" t="inlineStr">
        <is>
          <t>Y</t>
        </is>
      </c>
      <c r="T156" s="3" t="inlineStr">
        <is>
          <t>N</t>
        </is>
      </c>
      <c r="U156" s="3" t="inlineStr">
        <is>
          <t>Y</t>
        </is>
      </c>
    </row>
    <row r="157" ht="42.75" customHeight="1" s="18">
      <c r="A157" s="5" t="inlineStr">
        <is>
          <t>S2-0191</t>
        </is>
      </c>
      <c r="B157" s="5" t="inlineStr">
        <is>
          <t>A</t>
        </is>
      </c>
      <c r="C157" s="3" t="inlineStr">
        <is>
          <t>Dogan, E.; Barbier, C.; Peyrard, E.</t>
        </is>
      </c>
      <c r="D157" s="6" t="n">
        <v>2021</v>
      </c>
      <c r="E157" s="3" t="inlineStr">
        <is>
          <t>Public perception of ethical issues concerning automated mobility: A focus group study among three road user categories</t>
        </is>
      </c>
      <c r="F157" s="5" t="inlineStr">
        <is>
          <t>Conference paper</t>
        </is>
      </c>
      <c r="G157" s="10" t="inlineStr">
        <is>
          <t>FT</t>
        </is>
      </c>
      <c r="H157" s="3" t="inlineStr">
        <is>
          <t>INCLUDE</t>
        </is>
      </c>
      <c r="I157" s="3" t="n"/>
      <c r="J157" s="3" t="inlineStr">
        <is>
          <t>Interview/focus group</t>
        </is>
      </c>
      <c r="K157" s="3" t="inlineStr">
        <is>
          <t>n=19: 6 drivers, 7 pedestrians and 6 road users with disabilities; study location not stated; last week of Feb 2020</t>
        </is>
      </c>
      <c r="L157" s="3" t="n"/>
      <c r="O157" s="3" t="inlineStr">
        <is>
          <t>Published</t>
        </is>
      </c>
      <c r="P157" s="12" t="n">
        <v>46301</v>
      </c>
      <c r="Q157" s="3" t="n"/>
      <c r="R157" s="3" t="inlineStr">
        <is>
          <t>§1–2.1; three focus groups, n=19; privacy/data protection, tracking, data deletion and insurer/manufacturer access emerged directly from participants.</t>
        </is>
      </c>
      <c r="S157" s="3" t="inlineStr">
        <is>
          <t>Y</t>
        </is>
      </c>
      <c r="T157" s="3" t="inlineStr">
        <is>
          <t>N</t>
        </is>
      </c>
      <c r="U157" s="3" t="inlineStr">
        <is>
          <t>Y</t>
        </is>
      </c>
    </row>
    <row r="158" ht="28.5" customHeight="1" s="18">
      <c r="A158" s="5" t="inlineStr">
        <is>
          <t>S2-0175</t>
        </is>
      </c>
      <c r="B158" s="5" t="inlineStr">
        <is>
          <t>A</t>
        </is>
      </c>
      <c r="C158" s="3" t="inlineStr">
        <is>
          <t>Aldakkhelallah, A.; Alamri, A.S.; Georgiou, S.; Simic, M.</t>
        </is>
      </c>
      <c r="D158" s="6" t="n">
        <v>2023</v>
      </c>
      <c r="E158" s="3" t="inlineStr">
        <is>
          <t>Public Perception of the Introduction of Autonomous Vehicles</t>
        </is>
      </c>
      <c r="F158" s="5" t="inlineStr">
        <is>
          <t>Journal article</t>
        </is>
      </c>
      <c r="G158" s="10" t="inlineStr">
        <is>
          <t>FT</t>
        </is>
      </c>
      <c r="H158" s="3" t="inlineStr">
        <is>
          <t>INCLUDE</t>
        </is>
      </c>
      <c r="I158" s="3" t="n"/>
      <c r="J158" s="3" t="inlineStr">
        <is>
          <t>Mixed</t>
        </is>
      </c>
      <c r="K158" s="3" t="inlineStr">
        <is>
          <t>n=108 valid Saudi residents aged 18+; online Qualtrics survey; Saudi Arabia; 20 Jun–3 Jul 2022</t>
        </is>
      </c>
      <c r="L158" s="3" t="n"/>
      <c r="O158" s="3" t="inlineStr">
        <is>
          <t>Published</t>
        </is>
      </c>
      <c r="P158" s="12" t="n">
        <v>46301</v>
      </c>
      <c r="Q158" s="3" t="n"/>
      <c r="R158" s="3" t="inlineStr">
        <is>
          <t>§3–4, Table 1/Fig. 10; 108 valid Saudi surveys; privacy and anti-hacking hardware/software were explicitly rated AV attributes.</t>
        </is>
      </c>
      <c r="S158" s="3" t="inlineStr">
        <is>
          <t>Y</t>
        </is>
      </c>
      <c r="T158" s="3" t="inlineStr">
        <is>
          <t>N</t>
        </is>
      </c>
      <c r="U158" s="3" t="inlineStr">
        <is>
          <t>Y</t>
        </is>
      </c>
    </row>
    <row r="159" ht="42.75" customHeight="1" s="18">
      <c r="A159" s="5" t="inlineStr">
        <is>
          <t>S2-0006</t>
        </is>
      </c>
      <c r="B159" s="5" t="inlineStr">
        <is>
          <t>A</t>
        </is>
      </c>
      <c r="C159" s="3" t="inlineStr">
        <is>
          <t>T. Schmidt; R. Philipsen; P. Themann; M. Ziefle</t>
        </is>
      </c>
      <c r="D159" s="6" t="n">
        <v>2016</v>
      </c>
      <c r="E159" s="3" t="inlineStr">
        <is>
          <t>Public perception of V2X-technology - evaluation of general advantages, disadvantages and reasons for data sharing with connected vehicles</t>
        </is>
      </c>
      <c r="F159" s="5" t="inlineStr">
        <is>
          <t>Conference paper</t>
        </is>
      </c>
      <c r="G159" s="10" t="inlineStr">
        <is>
          <t>FT</t>
        </is>
      </c>
      <c r="H159" s="3" t="inlineStr">
        <is>
          <t>INCLUDE</t>
        </is>
      </c>
      <c r="I159" s="3" t="n"/>
      <c r="J159" s="3" t="inlineStr">
        <is>
          <t>Mixed</t>
        </is>
      </c>
      <c r="K159" s="3" t="inlineStr">
        <is>
          <t>focus groups n=18 + Study I n=169 + Study II n=145; V2X user studies; country and collection period not stated</t>
        </is>
      </c>
      <c r="L159" s="3" t="n"/>
      <c r="O159" s="3" t="inlineStr">
        <is>
          <t>Published</t>
        </is>
      </c>
      <c r="P159" s="12" t="n">
        <v>46301</v>
      </c>
      <c r="Q159" s="3" t="n"/>
      <c r="R159" s="3" t="inlineStr">
        <is>
          <t>§III–V; focus groups n=18 plus surveys n=169 and n=145 measured V2X privacy, data control, illegal access, tracking and data sharing.</t>
        </is>
      </c>
      <c r="S159" s="3" t="inlineStr">
        <is>
          <t>Y</t>
        </is>
      </c>
      <c r="T159" s="3" t="inlineStr">
        <is>
          <t>N</t>
        </is>
      </c>
      <c r="U159" s="3" t="inlineStr">
        <is>
          <t>Y</t>
        </is>
      </c>
    </row>
    <row r="160" ht="28.5" customHeight="1" s="18">
      <c r="A160" s="5" t="inlineStr">
        <is>
          <t>S2-0009</t>
        </is>
      </c>
      <c r="B160" s="5" t="inlineStr">
        <is>
          <t>A</t>
        </is>
      </c>
      <c r="C160" s="3" t="inlineStr">
        <is>
          <t>N. Sohaee</t>
        </is>
      </c>
      <c r="D160" s="6" t="n">
        <v>2024</v>
      </c>
      <c r="E160" s="3" t="inlineStr">
        <is>
          <t>Public Perception Toward Tesla Fatal Accidents: Neural Network Approach</t>
        </is>
      </c>
      <c r="F160" s="5" t="inlineStr">
        <is>
          <t>Conference paper</t>
        </is>
      </c>
      <c r="G160" s="10" t="inlineStr">
        <is>
          <t>FT</t>
        </is>
      </c>
      <c r="H160" s="3" t="inlineStr">
        <is>
          <t>INCLUDE</t>
        </is>
      </c>
      <c r="I160" s="3" t="n"/>
      <c r="J160" s="3" t="inlineStr">
        <is>
          <t>Online-discourse analysis</t>
        </is>
      </c>
      <c r="K160" s="3" t="inlineStr">
        <is>
          <t>Twitter interactions concerning Tesla fatal accidents; July 2021–Nov 2023; 173 fatal accident events; participant n not reported</t>
        </is>
      </c>
      <c r="L160" s="3" t="n"/>
      <c r="O160" s="3" t="inlineStr">
        <is>
          <t>Published</t>
        </is>
      </c>
      <c r="P160" s="12" t="n">
        <v>46301</v>
      </c>
      <c r="Q160" s="3" t="n"/>
      <c r="R160" s="3" t="inlineStr">
        <is>
          <t>§II–IV; Twitter interactions were analysed in 10-day windows before and after Tesla fatal accidents using heatmaps and a Siamese neural network; study addresses public sentiment, safety and reliability rather than privacy/cybersecurity.</t>
        </is>
      </c>
      <c r="S160" s="3" t="inlineStr">
        <is>
          <t>N</t>
        </is>
      </c>
      <c r="T160" s="3" t="inlineStr">
        <is>
          <t>N</t>
        </is>
      </c>
      <c r="U160" s="3" t="inlineStr">
        <is>
          <t>N</t>
        </is>
      </c>
    </row>
    <row r="161" ht="42.75" customHeight="1" s="18">
      <c r="A161" s="5" t="inlineStr">
        <is>
          <t>S2-0164</t>
        </is>
      </c>
      <c r="B161" s="5" t="inlineStr">
        <is>
          <t>A</t>
        </is>
      </c>
      <c r="C161" s="3" t="inlineStr">
        <is>
          <t>Piao, J.; McDonald, M.; Hounsell, N.; Graindorge, M.; Graindorge, T.; Malhene, N.</t>
        </is>
      </c>
      <c r="D161" s="6" t="n">
        <v>2016</v>
      </c>
      <c r="E161" s="3" t="inlineStr">
        <is>
          <t>Public Views towards Implementation of Automated Vehicles in Urban Areas</t>
        </is>
      </c>
      <c r="F161" s="5" t="inlineStr">
        <is>
          <t>Conference paper</t>
        </is>
      </c>
      <c r="G161" s="10" t="inlineStr">
        <is>
          <t>FT</t>
        </is>
      </c>
      <c r="H161" s="3" t="inlineStr">
        <is>
          <t>INCLUDE</t>
        </is>
      </c>
      <c r="I161" s="3" t="n"/>
      <c r="J161" s="3" t="inlineStr">
        <is>
          <t>Survey</t>
        </is>
      </c>
      <c r="K161" s="3" t="inlineStr">
        <is>
          <t>n=425 analytical sample after resampling 148 online + 500 telephone respondents; La Rochelle, France; approximately one month after demonstration ending Apr 2015</t>
        </is>
      </c>
      <c r="L161" s="3" t="n"/>
      <c r="O161" s="3" t="inlineStr">
        <is>
          <t>Published</t>
        </is>
      </c>
      <c r="P161" s="12" t="n">
        <v>46301</v>
      </c>
      <c r="Q161" s="3" t="n"/>
      <c r="R161" s="3" t="inlineStr">
        <is>
          <t>§3–4; public survey directly measured concern about vehicle security from hackers and disclosure of travel location without consent.</t>
        </is>
      </c>
      <c r="S161" s="3" t="inlineStr">
        <is>
          <t>Y</t>
        </is>
      </c>
      <c r="T161" s="3" t="inlineStr">
        <is>
          <t>N</t>
        </is>
      </c>
      <c r="U161" s="3" t="inlineStr">
        <is>
          <t>Y</t>
        </is>
      </c>
    </row>
    <row r="162" ht="42.75" customHeight="1" s="18">
      <c r="A162" s="5" t="inlineStr">
        <is>
          <t>S2-0272</t>
        </is>
      </c>
      <c r="B162" s="5" t="inlineStr">
        <is>
          <t>A</t>
        </is>
      </c>
      <c r="C162" s="3" t="inlineStr">
        <is>
          <t>Sharma, I.; Mishra, S.</t>
        </is>
      </c>
      <c r="D162" s="6" t="n">
        <v>2022</v>
      </c>
      <c r="E162" s="3" t="inlineStr">
        <is>
          <t>Quantifying the consumer's dependence on different information sources on acceptance of autonomous vehicles</t>
        </is>
      </c>
      <c r="F162" s="5" t="inlineStr">
        <is>
          <t>Journal article</t>
        </is>
      </c>
      <c r="G162" s="10" t="inlineStr">
        <is>
          <t>FT</t>
        </is>
      </c>
      <c r="H162" s="3" t="inlineStr">
        <is>
          <t>INCLUDE</t>
        </is>
      </c>
      <c r="I162" s="3" t="n"/>
      <c r="J162" s="3" t="inlineStr">
        <is>
          <t>Survey</t>
        </is>
      </c>
      <c r="K162" s="3" t="inlineStr">
        <is>
          <t>n=4448 Tennessee residents; statewide online Qualtrics survey; Tennessee, USA; Mar–May 2020</t>
        </is>
      </c>
      <c r="L162" s="3" t="n"/>
      <c r="O162" s="3" t="inlineStr">
        <is>
          <t>Published</t>
        </is>
      </c>
      <c r="P162" s="12" t="n">
        <v>46301</v>
      </c>
      <c r="Q162" s="3" t="n"/>
      <c r="R162" s="3" t="inlineStr">
        <is>
          <t>§3 and latent-class analysis; respondents rated negative CAV impacts including cybersecurity/software attack and private-information access concerns.</t>
        </is>
      </c>
      <c r="S162" s="3" t="inlineStr">
        <is>
          <t>Y</t>
        </is>
      </c>
      <c r="T162" s="3" t="inlineStr">
        <is>
          <t>N</t>
        </is>
      </c>
      <c r="U162" s="3" t="inlineStr">
        <is>
          <t>Y</t>
        </is>
      </c>
    </row>
    <row r="163" ht="28.5" customHeight="1" s="18">
      <c r="A163" s="5" t="inlineStr">
        <is>
          <t>S2-0007</t>
        </is>
      </c>
      <c r="B163" s="5" t="inlineStr">
        <is>
          <t>A</t>
        </is>
      </c>
      <c r="C163" s="3" t="inlineStr">
        <is>
          <t>N. B. Al Barghuthi; H. Said</t>
        </is>
      </c>
      <c r="D163" s="6" t="n">
        <v>2019</v>
      </c>
      <c r="E163" s="3" t="inlineStr">
        <is>
          <t>Readiness, Safety, and Privacy on Adopting Autonomous Vehicle Technology: UAE Case Study</t>
        </is>
      </c>
      <c r="F163" s="5" t="inlineStr">
        <is>
          <t>Conference paper</t>
        </is>
      </c>
      <c r="G163" s="10" t="inlineStr">
        <is>
          <t>FT</t>
        </is>
      </c>
      <c r="H163" s="3" t="inlineStr">
        <is>
          <t>INCLUDE</t>
        </is>
      </c>
      <c r="I163" s="3" t="n"/>
      <c r="J163" s="3" t="inlineStr">
        <is>
          <t>Survey</t>
        </is>
      </c>
      <c r="K163" s="3" t="inlineStr">
        <is>
          <t>n=204 UAE respondents aged 18+; online closed-question survey; UAE; 30 days during Feb 2019</t>
        </is>
      </c>
      <c r="L163" s="3" t="n"/>
      <c r="O163" s="3" t="inlineStr">
        <is>
          <t>Published</t>
        </is>
      </c>
      <c r="P163" s="12" t="n">
        <v>46301</v>
      </c>
      <c r="Q163" s="3" t="n"/>
      <c r="R163" s="3" t="inlineStr">
        <is>
          <t>§III–VIII; survey directly assessed AV data privacy, communication-data privacy and cyber attacks against AVs alongside adoption and safety perceptions.</t>
        </is>
      </c>
      <c r="S163" s="3" t="inlineStr">
        <is>
          <t>Y</t>
        </is>
      </c>
      <c r="T163" s="3" t="inlineStr">
        <is>
          <t>N</t>
        </is>
      </c>
      <c r="U163" s="3" t="inlineStr">
        <is>
          <t>Y</t>
        </is>
      </c>
    </row>
    <row r="164" ht="42.75" customHeight="1" s="18">
      <c r="A164" s="5" t="inlineStr">
        <is>
          <t>S2-0201</t>
        </is>
      </c>
      <c r="B164" s="5" t="inlineStr">
        <is>
          <t>A</t>
        </is>
      </c>
      <c r="C164" s="3" t="inlineStr">
        <is>
          <t>Li, S.; Zhang, Y.; Blythe, P.; Edwards, S.; Ji, Y.</t>
        </is>
      </c>
      <c r="D164" s="6" t="n">
        <v>2024</v>
      </c>
      <c r="E164" s="3" t="inlineStr">
        <is>
          <t>Remote driving as the Failsafe: Qualitative investigation of Users’ perceptions and requirements towards the 5G-enabled Level 4 automated vehicles</t>
        </is>
      </c>
      <c r="F164" s="5" t="inlineStr">
        <is>
          <t>Journal article</t>
        </is>
      </c>
      <c r="G164" s="10" t="inlineStr">
        <is>
          <t>FT</t>
        </is>
      </c>
      <c r="H164" s="3" t="inlineStr">
        <is>
          <t>INCLUDE</t>
        </is>
      </c>
      <c r="I164" s="3" t="n"/>
      <c r="J164" s="3" t="inlineStr">
        <is>
          <t>Interview/focus group</t>
        </is>
      </c>
      <c r="K164" s="3" t="inlineStr">
        <is>
          <t>n=29 potential end-users; active UK drivers recruited from local communities; semi-structured interviews; collection period not stated</t>
        </is>
      </c>
      <c r="L164" s="3" t="n"/>
      <c r="O164" s="3" t="inlineStr">
        <is>
          <t>Published</t>
        </is>
      </c>
      <c r="P164" s="12" t="n">
        <v>46301</v>
      </c>
      <c r="Q164" s="3" t="n"/>
      <c r="R164" s="3" t="inlineStr">
        <is>
          <t>§4–5; qualitative interviews directly elicited cyber-security, hacking and privacy concerns about 5G-enabled remote control of Level 4 AVs.</t>
        </is>
      </c>
      <c r="S164" s="3" t="inlineStr">
        <is>
          <t>Y</t>
        </is>
      </c>
      <c r="T164" s="3" t="inlineStr">
        <is>
          <t>N</t>
        </is>
      </c>
      <c r="U164" s="3" t="inlineStr">
        <is>
          <t>Y</t>
        </is>
      </c>
    </row>
    <row r="165" ht="57" customHeight="1" s="18">
      <c r="A165" s="5" t="inlineStr">
        <is>
          <t>S2-0221</t>
        </is>
      </c>
      <c r="B165" s="5" t="inlineStr">
        <is>
          <t>A</t>
        </is>
      </c>
      <c r="C165" s="3" t="inlineStr">
        <is>
          <t>Nordhoff, S.</t>
        </is>
      </c>
      <c r="D165" s="6" t="n">
        <v>2024</v>
      </c>
      <c r="E165" s="3" t="inlineStr">
        <is>
          <t>Resistance towards autonomous vehicles (AVs)</t>
        </is>
      </c>
      <c r="F165" s="5" t="inlineStr">
        <is>
          <t>Journal article</t>
        </is>
      </c>
      <c r="G165" s="10" t="inlineStr">
        <is>
          <t>FT</t>
        </is>
      </c>
      <c r="H165" s="3" t="inlineStr">
        <is>
          <t>INCLUDE</t>
        </is>
      </c>
      <c r="I165" s="3" t="n"/>
      <c r="J165" s="3" t="inlineStr">
        <is>
          <t>Online-discourse analysis</t>
        </is>
      </c>
      <c r="K165" s="3" t="inlineStr">
        <is>
          <t>328 usable public comments from 321 California respondents; CPUC comments on fared AV deployment in San Francisco; collection period not stated</t>
        </is>
      </c>
      <c r="L165" s="3" t="n"/>
      <c r="O165" s="3" t="inlineStr">
        <is>
          <t>Published</t>
        </is>
      </c>
      <c r="P165" s="12" t="n">
        <v>46301</v>
      </c>
      <c r="Q165" s="3" t="n"/>
      <c r="R165" s="3" t="inlineStr">
        <is>
          <t>§2–4; qualitative and quantitative analysis identified respondent privacy concerns about continuous camera/sensor data collection without consent and subsequent data sharing.</t>
        </is>
      </c>
      <c r="S165" s="3" t="inlineStr">
        <is>
          <t>Y</t>
        </is>
      </c>
      <c r="T165" s="3" t="inlineStr">
        <is>
          <t>N</t>
        </is>
      </c>
      <c r="U165" s="3" t="inlineStr">
        <is>
          <t>Y</t>
        </is>
      </c>
    </row>
    <row r="166" ht="42.75" customHeight="1" s="18">
      <c r="A166" s="5" t="inlineStr">
        <is>
          <t>S2-0223</t>
        </is>
      </c>
      <c r="B166" s="5" t="inlineStr">
        <is>
          <t>A</t>
        </is>
      </c>
      <c r="C166" s="3" t="inlineStr">
        <is>
          <t>Dolins, S.; Karlsson, M.; Smith, G.; Strömberg, H.</t>
        </is>
      </c>
      <c r="D166" s="6" t="n">
        <v>2025</v>
      </c>
      <c r="E166" s="3" t="inlineStr">
        <is>
          <t>Riding with strangers: profiling potential users and refusers of shared autonomous vehicles in Swedish cities</t>
        </is>
      </c>
      <c r="F166" s="5" t="inlineStr">
        <is>
          <t>Journal article</t>
        </is>
      </c>
      <c r="G166" s="10" t="inlineStr">
        <is>
          <t>FT</t>
        </is>
      </c>
      <c r="H166" s="3" t="inlineStr">
        <is>
          <t>INCLUDE</t>
        </is>
      </c>
      <c r="I166" s="3" t="n"/>
      <c r="J166" s="3" t="inlineStr">
        <is>
          <t>Survey</t>
        </is>
      </c>
      <c r="K166" s="3" t="inlineStr">
        <is>
          <t>n=1900 residents of Stockholm and Gothenburg, Sweden; online respondent-panel survey; Dec 2022–Jan 2023</t>
        </is>
      </c>
      <c r="L166" s="3" t="n"/>
      <c r="O166" s="3" t="inlineStr">
        <is>
          <t>Published</t>
        </is>
      </c>
      <c r="P166" s="12" t="n">
        <v>46301</v>
      </c>
      <c r="Q166" s="3" t="n"/>
      <c r="R166" s="3" t="inlineStr">
        <is>
          <t>§Methodology–Results; SAV refusers directly expressed privacy concerns when sharing rides with strangers, but the privacy construct was interpersonal/shared-ride privacy rather than AV data or cybersecurity.</t>
        </is>
      </c>
      <c r="S166" s="3" t="inlineStr">
        <is>
          <t>Y</t>
        </is>
      </c>
      <c r="T166" s="3" t="inlineStr">
        <is>
          <t>N</t>
        </is>
      </c>
      <c r="U166" s="3" t="inlineStr">
        <is>
          <t>N</t>
        </is>
      </c>
    </row>
    <row r="167" ht="28.5" customHeight="1" s="18">
      <c r="A167" s="5" t="inlineStr">
        <is>
          <t>S2-0217</t>
        </is>
      </c>
      <c r="B167" s="5" t="inlineStr">
        <is>
          <t>A</t>
        </is>
      </c>
      <c r="C167" s="3" t="inlineStr">
        <is>
          <t>Chikaraishi, M.; Khan, D.; Yasuda, B.; Fujiwara, A.</t>
        </is>
      </c>
      <c r="D167" s="6" t="n">
        <v>2020</v>
      </c>
      <c r="E167" s="3" t="inlineStr">
        <is>
          <t>Risk perception and social acceptability of autonomous vehicles: A case study in Hiroshima, Japan</t>
        </is>
      </c>
      <c r="F167" s="5" t="inlineStr">
        <is>
          <t>Journal article</t>
        </is>
      </c>
      <c r="G167" s="10" t="inlineStr">
        <is>
          <t>FT</t>
        </is>
      </c>
      <c r="H167" s="3" t="inlineStr">
        <is>
          <t>INCLUDE</t>
        </is>
      </c>
      <c r="I167" s="3" t="n"/>
      <c r="J167" s="3" t="inlineStr">
        <is>
          <t>Experiment</t>
        </is>
      </c>
      <c r="K167" s="3" t="inlineStr">
        <is>
          <t>n=1442 adults in Hiroshima Prefecture, Japan; professional web survey; 2017</t>
        </is>
      </c>
      <c r="L167" s="3" t="n"/>
      <c r="O167" s="3" t="inlineStr">
        <is>
          <t>Published</t>
        </is>
      </c>
      <c r="P167" s="12" t="n">
        <v>46301</v>
      </c>
      <c r="Q167" s="3" t="n"/>
      <c r="R167" s="3" t="inlineStr">
        <is>
          <t>§3–4; randomized video experiment exposed participants to AV risks including external interference/hacking and measured subsequent risk perception and acceptability.</t>
        </is>
      </c>
      <c r="S167" s="3" t="inlineStr">
        <is>
          <t>Y</t>
        </is>
      </c>
      <c r="T167" s="3" t="inlineStr">
        <is>
          <t>N</t>
        </is>
      </c>
      <c r="U167" s="3" t="inlineStr">
        <is>
          <t>Y</t>
        </is>
      </c>
    </row>
    <row r="168" ht="57" customHeight="1" s="18">
      <c r="A168" s="5" t="inlineStr">
        <is>
          <t>S2-0162</t>
        </is>
      </c>
      <c r="B168" s="5" t="inlineStr">
        <is>
          <t>A</t>
        </is>
      </c>
      <c r="C168" s="3" t="inlineStr">
        <is>
          <t>Khan, D.; Fujiwara, A.; Shiftan, Y.; Chikaraishi, M.; Tenenboim, E.; Nguyen, T.A.H.</t>
        </is>
      </c>
      <c r="D168" s="6" t="n">
        <v>2022</v>
      </c>
      <c r="E168" s="3" t="inlineStr">
        <is>
          <t>Risk Perceptions and Public Acceptance of Autonomous Vehicles: A Comparative Study in Japan and Israel</t>
        </is>
      </c>
      <c r="F168" s="5" t="inlineStr">
        <is>
          <t>Journal article</t>
        </is>
      </c>
      <c r="G168" s="10" t="inlineStr">
        <is>
          <t>FT</t>
        </is>
      </c>
      <c r="H168" s="3" t="inlineStr">
        <is>
          <t>INCLUDE</t>
        </is>
      </c>
      <c r="I168" s="3" t="n"/>
      <c r="J168" s="3" t="inlineStr">
        <is>
          <t>Experiment</t>
        </is>
      </c>
      <c r="K168" s="3" t="inlineStr">
        <is>
          <t>n=2223 total: Japan 2017 n=1442 + Israel 2021 n=781; independent web-based samples</t>
        </is>
      </c>
      <c r="L168" s="3" t="n"/>
      <c r="O168" s="3" t="inlineStr">
        <is>
          <t>Published</t>
        </is>
      </c>
      <c r="P168" s="12" t="n">
        <v>46301</v>
      </c>
      <c r="Q168" s="3" t="n"/>
      <c r="R168" s="3" t="inlineStr">
        <is>
          <t>§3–5; participants received randomized AV-risk information including hacking and reported perceived/acceptable risk; the 2017 and 2021 samples were independent, not a repeated-measures panel.</t>
        </is>
      </c>
      <c r="S168" s="3" t="inlineStr">
        <is>
          <t>Y</t>
        </is>
      </c>
      <c r="T168" s="3" t="inlineStr">
        <is>
          <t>N</t>
        </is>
      </c>
      <c r="U168" s="3" t="inlineStr">
        <is>
          <t>Y</t>
        </is>
      </c>
    </row>
    <row r="169" ht="28.5" customHeight="1" s="18">
      <c r="A169" s="5" t="inlineStr">
        <is>
          <t>S2-0197</t>
        </is>
      </c>
      <c r="B169" s="5" t="inlineStr">
        <is>
          <t>A</t>
        </is>
      </c>
      <c r="C169" s="3" t="inlineStr">
        <is>
          <t>Ross, G.M.</t>
        </is>
      </c>
      <c r="D169" s="6" t="n">
        <v>2025</v>
      </c>
      <c r="E169" s="3" t="inlineStr">
        <is>
          <t>Say goodbye to your car: Prevention focus motivates a shift from car to fare-free autonomous public transport</t>
        </is>
      </c>
      <c r="F169" s="5" t="inlineStr">
        <is>
          <t>Journal article</t>
        </is>
      </c>
      <c r="G169" s="10" t="inlineStr">
        <is>
          <t>FT</t>
        </is>
      </c>
      <c r="H169" s="3" t="inlineStr">
        <is>
          <t>INCLUDE</t>
        </is>
      </c>
      <c r="I169" s="3" t="n"/>
      <c r="J169" s="3" t="inlineStr">
        <is>
          <t>Experiment</t>
        </is>
      </c>
      <c r="K169" s="3" t="inlineStr">
        <is>
          <t>n=1372 across three independent Israeli studies: n=496, n=461 and n=415; Israel; summer 2023</t>
        </is>
      </c>
      <c r="L169" s="3" t="n"/>
      <c r="O169" s="3" t="inlineStr">
        <is>
          <t>Published</t>
        </is>
      </c>
      <c r="P169" s="12" t="n">
        <v>46301</v>
      </c>
      <c r="Q169" s="3" t="n"/>
      <c r="R169" s="3" t="inlineStr">
        <is>
          <t>§6–10; technology-concern measures explicitly included concern that hackers could take control of autonomous transport and demand ransom; each study used a separate participant sample.</t>
        </is>
      </c>
      <c r="S169" s="3" t="inlineStr">
        <is>
          <t>Y</t>
        </is>
      </c>
      <c r="T169" s="3" t="inlineStr">
        <is>
          <t>N</t>
        </is>
      </c>
      <c r="U169" s="3" t="inlineStr">
        <is>
          <t>Y</t>
        </is>
      </c>
    </row>
    <row r="170" ht="28.5" customHeight="1" s="18">
      <c r="A170" s="5" t="inlineStr">
        <is>
          <t>S2-0268</t>
        </is>
      </c>
      <c r="B170" s="5" t="inlineStr">
        <is>
          <t>A</t>
        </is>
      </c>
      <c r="C170" s="3" t="inlineStr">
        <is>
          <t>Bloom, C.; Tan, J.; Ramjohn, J.; Bauer, L.</t>
        </is>
      </c>
      <c r="D170" s="6" t="n">
        <v>2017</v>
      </c>
      <c r="E170" s="3" t="inlineStr">
        <is>
          <t>Self-driving cars and data collection: Privacy perceptions of networked autonomous vehicles</t>
        </is>
      </c>
      <c r="F170" s="5" t="inlineStr">
        <is>
          <t>Conference paper</t>
        </is>
      </c>
      <c r="G170" s="10" t="inlineStr">
        <is>
          <t>FT</t>
        </is>
      </c>
      <c r="H170" s="3" t="inlineStr">
        <is>
          <t>INCLUDE</t>
        </is>
      </c>
      <c r="I170" s="3" t="n"/>
      <c r="J170" s="3" t="inlineStr">
        <is>
          <t>Survey</t>
        </is>
      </c>
      <c r="K170" s="3" t="inlineStr">
        <is>
          <t>n=302 residents across Pittsburgh and four comparison US cities; online survey; 16 Feb–3 Mar 2017</t>
        </is>
      </c>
      <c r="L170" s="3" t="n"/>
      <c r="O170" s="3" t="inlineStr">
        <is>
          <t>Published</t>
        </is>
      </c>
      <c r="P170" s="12" t="n">
        <v>46301</v>
      </c>
      <c r="Q170" s="3" t="n"/>
      <c r="R170" s="3" t="inlineStr">
        <is>
          <t>§3–4; study directly measured privacy perceptions of AV sensing, image capture, data aggregation, recognition, identification, tracking and opt-out from identifiable data collection.</t>
        </is>
      </c>
      <c r="S170" s="3" t="inlineStr">
        <is>
          <t>Y</t>
        </is>
      </c>
      <c r="T170" s="3" t="inlineStr">
        <is>
          <t>N</t>
        </is>
      </c>
      <c r="U170" s="3" t="inlineStr">
        <is>
          <t>Y</t>
        </is>
      </c>
    </row>
    <row r="171" ht="28.5" customHeight="1" s="18">
      <c r="A171" s="5" t="inlineStr">
        <is>
          <t>S2-0295</t>
        </is>
      </c>
      <c r="B171" s="5" t="inlineStr">
        <is>
          <t>A</t>
        </is>
      </c>
      <c r="C171" s="3" t="inlineStr">
        <is>
          <t>Zmud, J.; Sener, I.N.; Wagner, J.</t>
        </is>
      </c>
      <c r="D171" s="6" t="n">
        <v>2016</v>
      </c>
      <c r="E171" s="3" t="inlineStr">
        <is>
          <t>Self-driving vehicles: Determinants of adoption and conditions of usage</t>
        </is>
      </c>
      <c r="F171" s="5" t="inlineStr">
        <is>
          <t>Journal article</t>
        </is>
      </c>
      <c r="G171" s="10" t="inlineStr">
        <is>
          <t>FT</t>
        </is>
      </c>
      <c r="H171" s="3" t="inlineStr">
        <is>
          <t>INCLUDE</t>
        </is>
      </c>
      <c r="I171" s="3" t="n"/>
      <c r="J171" s="3" t="inlineStr">
        <is>
          <t>Mixed</t>
        </is>
      </c>
      <c r="K171" s="3" t="inlineStr">
        <is>
          <t>n=556 metropolitan Austin survey respondents; follow-up face-to-face interviews n=44; Austin, Texas, USA; collection period not stated</t>
        </is>
      </c>
      <c r="L171" s="3" t="n"/>
      <c r="O171" s="3" t="inlineStr">
        <is>
          <t>Published</t>
        </is>
      </c>
      <c r="P171" s="12" t="n">
        <v>46301</v>
      </c>
      <c r="Q171" s="3" t="n"/>
      <c r="R171" s="3" t="inlineStr">
        <is>
          <t>§Methods–Results; two-stage survey/interview study directly measured concern for data privacy in self-driving cars; privacy concern predicted lower intention to use, but the same measure was not repeated at follow-up.</t>
        </is>
      </c>
      <c r="S171" s="3" t="inlineStr">
        <is>
          <t>Y</t>
        </is>
      </c>
      <c r="T171" s="3" t="inlineStr">
        <is>
          <t>N</t>
        </is>
      </c>
      <c r="U171" s="3" t="inlineStr">
        <is>
          <t>Y</t>
        </is>
      </c>
    </row>
    <row r="172" ht="28.5" customHeight="1" s="18">
      <c r="A172" s="5" t="inlineStr">
        <is>
          <t>S2-0033</t>
        </is>
      </c>
      <c r="B172" s="5" t="inlineStr">
        <is>
          <t>A</t>
        </is>
      </c>
      <c r="C172" s="3" t="inlineStr">
        <is>
          <t>M. Khoyudia; L. Iskandar; M. Mariani</t>
        </is>
      </c>
      <c r="D172" s="6" t="n">
        <v>2024</v>
      </c>
      <c r="E172" s="3" t="inlineStr">
        <is>
          <t>Self-Driving Vehicles: Exploring Preferred Adoption Scenarios - A Preliminary Study</t>
        </is>
      </c>
      <c r="F172" s="5" t="inlineStr">
        <is>
          <t>Conference paper</t>
        </is>
      </c>
      <c r="G172" s="10" t="inlineStr">
        <is>
          <t>FT</t>
        </is>
      </c>
      <c r="H172" s="3" t="inlineStr">
        <is>
          <t>INCLUDE</t>
        </is>
      </c>
      <c r="I172" s="3" t="n"/>
      <c r="J172" s="3" t="inlineStr">
        <is>
          <t>Survey</t>
        </is>
      </c>
      <c r="K172" s="3" t="inlineStr">
        <is>
          <t>n=100 volunteers; online questionnaire assessing willingness to use self-driving vehicles across 15 scenarios</t>
        </is>
      </c>
      <c r="L172" s="3" t="n"/>
      <c r="O172" s="3" t="inlineStr">
        <is>
          <t>Published</t>
        </is>
      </c>
      <c r="P172" s="12" t="n">
        <v>46301</v>
      </c>
      <c r="Q172" s="3" t="n"/>
      <c r="R172" s="3" t="inlineStr">
        <is>
          <t>Study assessed public willingness and preferred SDV adoption scenarios; safety, human control and unsupervised operation shaped acceptance.</t>
        </is>
      </c>
      <c r="S172" s="3" t="inlineStr">
        <is>
          <t>N</t>
        </is>
      </c>
      <c r="T172" s="3" t="inlineStr">
        <is>
          <t>N</t>
        </is>
      </c>
      <c r="U172" s="3" t="inlineStr">
        <is>
          <t>N</t>
        </is>
      </c>
    </row>
    <row r="173" ht="28.5" customHeight="1" s="18">
      <c r="A173" s="5" t="inlineStr">
        <is>
          <t>S2-0179</t>
        </is>
      </c>
      <c r="B173" s="5" t="inlineStr">
        <is>
          <t>A</t>
        </is>
      </c>
      <c r="C173" s="3" t="inlineStr">
        <is>
          <t>Schmidt, T.; Philipsen, R.; Ziefle, M.</t>
        </is>
      </c>
      <c r="D173" s="6" t="n">
        <v>2016</v>
      </c>
      <c r="E173" s="3" t="inlineStr">
        <is>
          <t>Share to protect: Quantitative study on privacy issues in V2X-technology</t>
        </is>
      </c>
      <c r="F173" s="5" t="inlineStr">
        <is>
          <t>Conference paper</t>
        </is>
      </c>
      <c r="G173" s="10" t="inlineStr">
        <is>
          <t>FT</t>
        </is>
      </c>
      <c r="H173" s="3" t="inlineStr">
        <is>
          <t>INCLUDE</t>
        </is>
      </c>
      <c r="I173" s="3" t="n"/>
      <c r="J173" s="3" t="inlineStr">
        <is>
          <t>Mixed</t>
        </is>
      </c>
      <c r="K173" s="3" t="inlineStr">
        <is>
          <t>n=169 licensed drivers; focus groups followed by scenario-based online survey; Germany</t>
        </is>
      </c>
      <c r="L173" s="3" t="n"/>
      <c r="O173" s="3" t="inlineStr">
        <is>
          <t>Published</t>
        </is>
      </c>
      <c r="P173" s="12" t="n">
        <v>46301</v>
      </c>
      <c r="Q173" s="3" t="n"/>
      <c r="R173" s="3" t="inlineStr">
        <is>
          <t>§2–3; V2X study measured willingness to share specific data types, storage duration and recipients including infrastructure and central servers.</t>
        </is>
      </c>
      <c r="S173" s="3" t="inlineStr">
        <is>
          <t>Y</t>
        </is>
      </c>
      <c r="T173" s="3" t="inlineStr">
        <is>
          <t>N</t>
        </is>
      </c>
      <c r="U173" s="3" t="inlineStr">
        <is>
          <t>Y</t>
        </is>
      </c>
    </row>
    <row r="174" ht="28.5" customHeight="1" s="18">
      <c r="A174" s="5" t="inlineStr">
        <is>
          <t>S2-0140</t>
        </is>
      </c>
      <c r="B174" s="5" t="inlineStr">
        <is>
          <t>A</t>
        </is>
      </c>
      <c r="C174" s="3" t="inlineStr">
        <is>
          <t>Biermann, H.; Philipsen, R.; Brell, T.; Ziefle, M.</t>
        </is>
      </c>
      <c r="D174" s="6" t="n">
        <v>2020</v>
      </c>
      <c r="E174" s="3" t="inlineStr">
        <is>
          <t>Shut Up and Drive? User Requirements for Communication Services in Autonomous Driving</t>
        </is>
      </c>
      <c r="F174" s="5" t="inlineStr">
        <is>
          <t>Conference paper</t>
        </is>
      </c>
      <c r="G174" s="10" t="inlineStr">
        <is>
          <t>FT</t>
        </is>
      </c>
      <c r="H174" s="3" t="inlineStr">
        <is>
          <t>INCLUDE</t>
        </is>
      </c>
      <c r="I174" s="3" t="n"/>
      <c r="J174" s="3" t="inlineStr">
        <is>
          <t>Mixed</t>
        </is>
      </c>
      <c r="K174" s="3" t="inlineStr">
        <is>
          <t>n=893 valid quantitative respondents following a qualitative precursor study; autonomous on-demand shuttle communication requirements</t>
        </is>
      </c>
      <c r="L174" s="3" t="n"/>
      <c r="O174" s="3" t="inlineStr">
        <is>
          <t>Published</t>
        </is>
      </c>
      <c r="P174" s="12" t="n">
        <v>46301</v>
      </c>
      <c r="Q174" s="3" t="n"/>
      <c r="R174" s="3" t="inlineStr">
        <is>
          <t>§2–4; users evaluated booking, passenger-vehicle communication and in-vehicle monitoring technologies including cameras and microphones.</t>
        </is>
      </c>
      <c r="S174" s="3" t="inlineStr">
        <is>
          <t>Y</t>
        </is>
      </c>
      <c r="T174" s="3" t="inlineStr">
        <is>
          <t>N</t>
        </is>
      </c>
      <c r="U174" s="3" t="inlineStr">
        <is>
          <t>Y</t>
        </is>
      </c>
    </row>
    <row r="175" ht="28.5" customHeight="1" s="18">
      <c r="A175" s="5" t="inlineStr">
        <is>
          <t>S2-0302</t>
        </is>
      </c>
      <c r="B175" s="5" t="inlineStr">
        <is>
          <t>A</t>
        </is>
      </c>
      <c r="C175" s="3" t="inlineStr">
        <is>
          <t>Aasvik, O.; Ulleberg, P.; Hagenzieker, M.</t>
        </is>
      </c>
      <c r="D175" s="6" t="n">
        <v>2024</v>
      </c>
      <c r="E175" s="3" t="inlineStr">
        <is>
          <t>Simplifying acceptance: A general acceptance factor predicting intentions to use shared autonomous vehicles</t>
        </is>
      </c>
      <c r="F175" s="5" t="inlineStr">
        <is>
          <t>Journal article</t>
        </is>
      </c>
      <c r="G175" s="10" t="inlineStr">
        <is>
          <t>FT</t>
        </is>
      </c>
      <c r="H175" s="3" t="inlineStr">
        <is>
          <t>INCLUDE</t>
        </is>
      </c>
      <c r="I175" s="3" t="n"/>
      <c r="J175" s="3" t="inlineStr">
        <is>
          <t>Survey</t>
        </is>
      </c>
      <c r="K175" s="3" t="inlineStr">
        <is>
          <t>n=1902 respondents; shared-autonomous-vehicle acceptance questionnaire with PCA/CFA split sample</t>
        </is>
      </c>
      <c r="L175" s="3" t="n"/>
      <c r="O175" s="3" t="inlineStr">
        <is>
          <t>Published</t>
        </is>
      </c>
      <c r="P175" s="12" t="n">
        <v>46301</v>
      </c>
      <c r="Q175" s="3" t="n"/>
      <c r="R175" s="3" t="inlineStr">
        <is>
          <t>Acceptance scale included a direct item on fear that someone could hack the autonomous bus data system.</t>
        </is>
      </c>
      <c r="S175" s="3" t="inlineStr">
        <is>
          <t>Y</t>
        </is>
      </c>
      <c r="T175" s="3" t="inlineStr">
        <is>
          <t>N</t>
        </is>
      </c>
      <c r="U175" s="3" t="inlineStr">
        <is>
          <t>Y</t>
        </is>
      </c>
    </row>
    <row r="176" ht="57" customHeight="1" s="18">
      <c r="A176" s="5" t="inlineStr">
        <is>
          <t>S2-0036</t>
        </is>
      </c>
      <c r="B176" s="5" t="inlineStr">
        <is>
          <t>A</t>
        </is>
      </c>
      <c r="C176" s="3" t="inlineStr">
        <is>
          <t>M. S. Seet; A. Dragomir; I. Mathialagan; L. Y. Ann; Z. b. Zaid; S. L. Ramapatna; N. V. Thakor; A. Bezerianos</t>
        </is>
      </c>
      <c r="D176" s="6" t="n">
        <v>2020</v>
      </c>
      <c r="E176" s="3" t="inlineStr">
        <is>
          <t>Subtype Divergences of Trust in Autonomous Vehicles: Towards Optimisation of Driver–Vehicle Trust Management</t>
        </is>
      </c>
      <c r="F176" s="5" t="inlineStr">
        <is>
          <t>Conference paper</t>
        </is>
      </c>
      <c r="G176" s="10" t="inlineStr">
        <is>
          <t>FT</t>
        </is>
      </c>
      <c r="H176" s="3" t="inlineStr">
        <is>
          <t>INCLUDE</t>
        </is>
      </c>
      <c r="I176" s="3" t="n"/>
      <c r="J176" s="3" t="inlineStr">
        <is>
          <t>Experiment</t>
        </is>
      </c>
      <c r="K176" s="3" t="inlineStr">
        <is>
          <t>n=35 participants; NUS Singapore driving-simulator experiment; trust measured before and after exposure to AV driving errors</t>
        </is>
      </c>
      <c r="L176" s="3" t="n"/>
      <c r="O176" s="3" t="inlineStr">
        <is>
          <t>Published</t>
        </is>
      </c>
      <c r="P176" s="12" t="n">
        <v>46301</v>
      </c>
      <c r="Q176" s="3" t="n"/>
      <c r="R176" s="3" t="inlineStr">
        <is>
          <t>Experiment repeatedly measured competence-based and integrity-based trust around simulated AV failures.</t>
        </is>
      </c>
      <c r="S176" s="3" t="inlineStr">
        <is>
          <t>N</t>
        </is>
      </c>
      <c r="T176" s="3" t="inlineStr">
        <is>
          <t>Y</t>
        </is>
      </c>
      <c r="U176" s="3" t="inlineStr">
        <is>
          <t>N</t>
        </is>
      </c>
    </row>
    <row r="177" ht="28.5" customHeight="1" s="18">
      <c r="A177" s="5" t="inlineStr">
        <is>
          <t>S2-0253</t>
        </is>
      </c>
      <c r="B177" s="5" t="inlineStr">
        <is>
          <t>A</t>
        </is>
      </c>
      <c r="C177" s="3" t="inlineStr">
        <is>
          <t>Brell, T.; Philipsen, R.; Ziefle, M.</t>
        </is>
      </c>
      <c r="D177" s="6" t="n">
        <v>2019</v>
      </c>
      <c r="E177" s="3" t="inlineStr">
        <is>
          <t>Suspicious minds?–users’ perceptions of autonomous and connected driving</t>
        </is>
      </c>
      <c r="F177" s="5" t="inlineStr">
        <is>
          <t>Journal article</t>
        </is>
      </c>
      <c r="G177" s="10" t="inlineStr">
        <is>
          <t>FT</t>
        </is>
      </c>
      <c r="H177" s="3" t="inlineStr">
        <is>
          <t>INCLUDE</t>
        </is>
      </c>
      <c r="I177" s="3" t="n"/>
      <c r="J177" s="3" t="inlineStr">
        <is>
          <t>Mixed</t>
        </is>
      </c>
      <c r="K177" s="3" t="inlineStr">
        <is>
          <t>Qualitative interviews followed by questionnaire; quantitative n=443, age 18–76; Germany</t>
        </is>
      </c>
      <c r="L177" s="3" t="n"/>
      <c r="O177" s="3" t="inlineStr">
        <is>
          <t>Published</t>
        </is>
      </c>
      <c r="P177" s="12" t="n">
        <v>46301</v>
      </c>
      <c r="Q177" s="3" t="n"/>
      <c r="R177" s="3" t="inlineStr">
        <is>
          <t>Privacy/data protection were key barriers; V2X participants discussed collected data, connection security, hacking and centralised versus decentralised storage.</t>
        </is>
      </c>
      <c r="S177" s="3" t="inlineStr">
        <is>
          <t>Y</t>
        </is>
      </c>
      <c r="T177" s="3" t="inlineStr">
        <is>
          <t>N</t>
        </is>
      </c>
      <c r="U177" s="3" t="inlineStr">
        <is>
          <t>Y</t>
        </is>
      </c>
    </row>
    <row r="178" ht="28.5" customHeight="1" s="18">
      <c r="A178" s="5" t="inlineStr">
        <is>
          <t>S2-0218</t>
        </is>
      </c>
      <c r="B178" s="5" t="inlineStr">
        <is>
          <t>A</t>
        </is>
      </c>
      <c r="C178" s="3" t="inlineStr">
        <is>
          <t>Mircică, N.</t>
        </is>
      </c>
      <c r="D178" s="6" t="n">
        <v>2019</v>
      </c>
      <c r="E178" s="3" t="inlineStr">
        <is>
          <t>The design, implementation, and operation of self-driving cars: Ethical, security, safety, and privacy issues</t>
        </is>
      </c>
      <c r="F178" s="5" t="inlineStr">
        <is>
          <t>Journal article</t>
        </is>
      </c>
      <c r="G178" s="10" t="inlineStr">
        <is>
          <t>FT</t>
        </is>
      </c>
      <c r="H178" s="3" t="inlineStr">
        <is>
          <t>INCLUDE</t>
        </is>
      </c>
      <c r="I178" s="3" t="n"/>
      <c r="J178" s="3" t="inlineStr">
        <is>
          <t>Secondary data</t>
        </is>
      </c>
      <c r="K178" s="3" t="inlineStr">
        <is>
          <t>Replicated and re-analysed public survey datasets from multiple published/industry sources; tables also cite an author survey of 5400 individuals in Apr 2019</t>
        </is>
      </c>
      <c r="L178" s="3" t="n"/>
      <c r="O178" s="3" t="inlineStr">
        <is>
          <t>Published</t>
        </is>
      </c>
      <c r="P178" s="12" t="n">
        <v>46301</v>
      </c>
      <c r="Q178" s="3" t="n"/>
      <c r="R178" s="3" t="inlineStr">
        <is>
          <t>Article reports consumer perceptions of hacking, system/vehicle security and data privacy using replicated survey evidence.</t>
        </is>
      </c>
      <c r="S178" s="3" t="inlineStr">
        <is>
          <t>Y</t>
        </is>
      </c>
      <c r="T178" s="3" t="inlineStr">
        <is>
          <t>N</t>
        </is>
      </c>
      <c r="U178" s="3" t="inlineStr">
        <is>
          <t>N</t>
        </is>
      </c>
    </row>
    <row r="179" ht="28.5" customHeight="1" s="18">
      <c r="A179" s="5" t="inlineStr">
        <is>
          <t>S2-0252</t>
        </is>
      </c>
      <c r="B179" s="5" t="inlineStr">
        <is>
          <t>A</t>
        </is>
      </c>
      <c r="C179" s="3" t="inlineStr">
        <is>
          <t>López-Lambas, M.E.; Alonso, A.</t>
        </is>
      </c>
      <c r="D179" s="6" t="n">
        <v>2019</v>
      </c>
      <c r="E179" s="3" t="inlineStr">
        <is>
          <t>The driverless bus: An analysis of public perceptions and acceptability</t>
        </is>
      </c>
      <c r="F179" s="5" t="inlineStr">
        <is>
          <t>Journal article</t>
        </is>
      </c>
      <c r="G179" s="10" t="inlineStr">
        <is>
          <t>FT</t>
        </is>
      </c>
      <c r="H179" s="3" t="inlineStr">
        <is>
          <t>INCLUDE</t>
        </is>
      </c>
      <c r="I179" s="3" t="n"/>
      <c r="J179" s="3" t="inlineStr">
        <is>
          <t>Interview/focus group</t>
        </is>
      </c>
      <c r="K179" s="3" t="inlineStr">
        <is>
          <t>Two focus groups, n=16 total; eight participants per group; Madrid and Malaga, Spain</t>
        </is>
      </c>
      <c r="L179" s="3" t="n"/>
      <c r="O179" s="3" t="inlineStr">
        <is>
          <t>Published</t>
        </is>
      </c>
      <c r="P179" s="12" t="n">
        <v>46301</v>
      </c>
      <c r="Q179" s="3" t="n"/>
      <c r="R179" s="3" t="inlineStr">
        <is>
          <t>Focus groups examined public acceptability and psychological barriers to autonomous buses, especially safety, control and absence of onboard authority.</t>
        </is>
      </c>
      <c r="S179" s="3" t="inlineStr">
        <is>
          <t>N</t>
        </is>
      </c>
      <c r="T179" s="3" t="inlineStr">
        <is>
          <t>N</t>
        </is>
      </c>
      <c r="U179" s="3" t="inlineStr">
        <is>
          <t>N</t>
        </is>
      </c>
    </row>
    <row r="180" ht="28.5" customHeight="1" s="18">
      <c r="A180" s="5" t="inlineStr">
        <is>
          <t>S2-0211</t>
        </is>
      </c>
      <c r="B180" s="5" t="inlineStr">
        <is>
          <t>A</t>
        </is>
      </c>
      <c r="C180" s="3" t="inlineStr">
        <is>
          <t>Liang, Y.; Qian, L.; Lu, Y.; Bektaş, T.</t>
        </is>
      </c>
      <c r="D180" s="6" t="n">
        <v>2025</v>
      </c>
      <c r="E180" s="3" t="inlineStr">
        <is>
          <t>The effects of risk preferences on consumers’ reference-dependent choices for autonomous vehicles</t>
        </is>
      </c>
      <c r="F180" s="5" t="inlineStr">
        <is>
          <t>Journal article</t>
        </is>
      </c>
      <c r="G180" s="10" t="inlineStr">
        <is>
          <t>FT</t>
        </is>
      </c>
      <c r="H180" s="3" t="inlineStr">
        <is>
          <t>INCLUDE</t>
        </is>
      </c>
      <c r="I180" s="3" t="n"/>
      <c r="J180" s="3" t="inlineStr">
        <is>
          <t>Experiment</t>
        </is>
      </c>
      <c r="K180" s="3" t="inlineStr">
        <is>
          <t>n=910 respondents across Beijing, Shanghai, Guangzhou, Chongqing and Changsha; stated-preference and risk-preference experiment</t>
        </is>
      </c>
      <c r="L180" s="3" t="n"/>
      <c r="O180" s="3" t="inlineStr">
        <is>
          <t>Published</t>
        </is>
      </c>
      <c r="P180" s="12" t="n">
        <v>46301</v>
      </c>
      <c r="Q180" s="3" t="n"/>
      <c r="R180" s="3" t="inlineStr">
        <is>
          <t>Choice experiment included privacy anxiety among AV attributes and modelled reference-dependent AV preferences and individual risk preferences.</t>
        </is>
      </c>
      <c r="S180" s="3" t="inlineStr">
        <is>
          <t>Y</t>
        </is>
      </c>
      <c r="T180" s="3" t="inlineStr">
        <is>
          <t>N</t>
        </is>
      </c>
      <c r="U180" s="3" t="inlineStr">
        <is>
          <t>N</t>
        </is>
      </c>
    </row>
    <row r="181" ht="42.75" customHeight="1" s="18">
      <c r="A181" s="5" t="inlineStr">
        <is>
          <t>S2-0256</t>
        </is>
      </c>
      <c r="B181" s="5" t="inlineStr">
        <is>
          <t>A</t>
        </is>
      </c>
      <c r="C181" s="3" t="inlineStr">
        <is>
          <t>Xie, H.; David, A.; Mamun, M.R.A.; Prybutok, V.R.; Sidorova, A.</t>
        </is>
      </c>
      <c r="D181" s="6" t="n">
        <v>2023</v>
      </c>
      <c r="E181" s="3" t="inlineStr">
        <is>
          <t>The formation of initial trust by potential passengers of self-driving taxis</t>
        </is>
      </c>
      <c r="F181" s="5" t="inlineStr">
        <is>
          <t>Journal article</t>
        </is>
      </c>
      <c r="G181" s="10" t="inlineStr">
        <is>
          <t>FT</t>
        </is>
      </c>
      <c r="H181" s="3" t="inlineStr">
        <is>
          <t>INCLUDE</t>
        </is>
      </c>
      <c r="I181" s="3" t="n"/>
      <c r="J181" s="3" t="inlineStr">
        <is>
          <t>Survey</t>
        </is>
      </c>
      <c r="K181" s="3" t="inlineStr">
        <is>
          <t>n=208 undergraduate students at a public university in the southwestern United States; self-driving-taxi initial-trust model</t>
        </is>
      </c>
      <c r="L181" s="3" t="n"/>
      <c r="O181" s="3" t="inlineStr">
        <is>
          <t>Published</t>
        </is>
      </c>
      <c r="P181" s="12" t="n">
        <v>46301</v>
      </c>
      <c r="Q181" s="3" t="n"/>
      <c r="R181" s="3" t="inlineStr">
        <is>
          <t>Survey modelled initial trust and structural assurance; perceived privacy concerns were explicitly not included in the tested model.</t>
        </is>
      </c>
      <c r="S181" s="3" t="inlineStr">
        <is>
          <t>N</t>
        </is>
      </c>
      <c r="T181" s="3" t="inlineStr">
        <is>
          <t>N</t>
        </is>
      </c>
      <c r="U181" s="3" t="inlineStr">
        <is>
          <t>N</t>
        </is>
      </c>
    </row>
    <row r="182" ht="42.75" customHeight="1" s="18">
      <c r="A182" s="5" t="inlineStr">
        <is>
          <t>S2-0260</t>
        </is>
      </c>
      <c r="B182" s="5" t="inlineStr">
        <is>
          <t>A</t>
        </is>
      </c>
      <c r="C182" s="3" t="inlineStr">
        <is>
          <t>Luca, O.; Andrei, L.</t>
        </is>
      </c>
      <c r="D182" s="6" t="n">
        <v>2024</v>
      </c>
      <c r="E182" s="3" t="inlineStr">
        <is>
          <t>THE IMPACT OF AUTONOMOUS VEHICLES ON THE CITY STRUCTURE: A CASE STUDY IN ROMANIAN UNIVERSITIES</t>
        </is>
      </c>
      <c r="F182" s="5" t="inlineStr">
        <is>
          <t>Journal article</t>
        </is>
      </c>
      <c r="G182" s="10" t="inlineStr">
        <is>
          <t>FT</t>
        </is>
      </c>
      <c r="H182" s="3" t="inlineStr">
        <is>
          <t>INCLUDE</t>
        </is>
      </c>
      <c r="I182" s="3" t="n"/>
      <c r="J182" s="3" t="inlineStr">
        <is>
          <t>Mixed</t>
        </is>
      </c>
      <c r="K182" s="3" t="inlineStr">
        <is>
          <t>Student surveys in 2021 and 2023 using different cohorts; 2023 n=50; plus n=10 Romanian university experts interviewed</t>
        </is>
      </c>
      <c r="L182" s="3" t="n"/>
      <c r="O182" s="3" t="inlineStr">
        <is>
          <t>Published</t>
        </is>
      </c>
      <c r="P182" s="12" t="n">
        <v>46301</v>
      </c>
      <c r="Q182" s="3" t="n"/>
      <c r="R182" s="3" t="inlineStr">
        <is>
          <t>Repeated cross-sectional cohorts reported privacy/cybersecurity concerns; the same participants were not followed across 2021 and 2023.</t>
        </is>
      </c>
      <c r="S182" s="3" t="inlineStr">
        <is>
          <t>Y</t>
        </is>
      </c>
      <c r="T182" s="3" t="inlineStr">
        <is>
          <t>N</t>
        </is>
      </c>
      <c r="U182" s="3" t="inlineStr">
        <is>
          <t>N</t>
        </is>
      </c>
    </row>
    <row r="183" ht="28.5" customHeight="1" s="18">
      <c r="A183" s="5" t="inlineStr">
        <is>
          <t>S2-0066</t>
        </is>
      </c>
      <c r="B183" s="5" t="inlineStr">
        <is>
          <t>A</t>
        </is>
      </c>
      <c r="C183" s="3" t="inlineStr">
        <is>
          <t>A. Kovačević; E. Demić</t>
        </is>
      </c>
      <c r="D183" s="6" t="n">
        <v>2024</v>
      </c>
      <c r="E183" s="3" t="inlineStr">
        <is>
          <t>The Impact of Gender, Seniority, Knowledge, and Interest on Attitudes to Artificial Intelligence</t>
        </is>
      </c>
      <c r="F183" s="5" t="inlineStr">
        <is>
          <t>Journal article</t>
        </is>
      </c>
      <c r="G183" s="10" t="inlineStr">
        <is>
          <t>FT</t>
        </is>
      </c>
      <c r="H183" s="3" t="inlineStr">
        <is>
          <t>INCLUDE</t>
        </is>
      </c>
      <c r="I183" s="3" t="n"/>
      <c r="J183" s="3" t="inlineStr">
        <is>
          <t>Survey</t>
        </is>
      </c>
      <c r="K183" s="3" t="inlineStr">
        <is>
          <t>University student survey in Belgrade, Serbia; self-driving-car attitudes analysed as a specific AI application</t>
        </is>
      </c>
      <c r="L183" s="3" t="n"/>
      <c r="O183" s="3" t="inlineStr">
        <is>
          <t>Published</t>
        </is>
      </c>
      <c r="P183" s="12" t="n">
        <v>46301</v>
      </c>
      <c r="Q183" s="3" t="n"/>
      <c r="R183" s="3" t="inlineStr">
        <is>
          <t>Survey directly measured attitudes towards self-driving cars and tested effects of gender, seniority, knowledge and AI interest.</t>
        </is>
      </c>
      <c r="S183" s="3" t="inlineStr">
        <is>
          <t>N</t>
        </is>
      </c>
      <c r="T183" s="3" t="inlineStr">
        <is>
          <t>N</t>
        </is>
      </c>
      <c r="U183" s="3" t="inlineStr">
        <is>
          <t>N</t>
        </is>
      </c>
    </row>
    <row r="184" ht="28.5" customHeight="1" s="18">
      <c r="A184" s="5" t="inlineStr">
        <is>
          <t>S2-0137</t>
        </is>
      </c>
      <c r="B184" s="5" t="inlineStr">
        <is>
          <t>A</t>
        </is>
      </c>
      <c r="C184" s="3" t="inlineStr">
        <is>
          <t>Zhang, J.; Ma, Y.; Xing, G.; Zhang, Z.; Kang, K.; Gao, L.</t>
        </is>
      </c>
      <c r="D184" s="6" t="n">
        <v>2025</v>
      </c>
      <c r="E184" s="3" t="inlineStr">
        <is>
          <t>The Impact of Human-Machine Interaction Transparency on Driver Trust in Autonomous Driving</t>
        </is>
      </c>
      <c r="F184" s="5" t="inlineStr">
        <is>
          <t>Conference paper</t>
        </is>
      </c>
      <c r="G184" s="10" t="inlineStr">
        <is>
          <t>FT</t>
        </is>
      </c>
      <c r="H184" s="3" t="inlineStr">
        <is>
          <t>INCLUDE</t>
        </is>
      </c>
      <c r="I184" s="3" t="n"/>
      <c r="J184" s="3" t="inlineStr">
        <is>
          <t>Experiment</t>
        </is>
      </c>
      <c r="K184" s="3" t="inlineStr">
        <is>
          <t>n=58 drivers; CARLA simulated lane-change experiment with four HMI-transparency conditions and repeated trust measurement</t>
        </is>
      </c>
      <c r="L184" s="3" t="n"/>
      <c r="O184" s="3" t="inlineStr">
        <is>
          <t>Published</t>
        </is>
      </c>
      <c r="P184" s="12" t="n">
        <v>46301</v>
      </c>
      <c r="Q184" s="3" t="n"/>
      <c r="R184" s="3" t="inlineStr">
        <is>
          <t>Trust was repeatedly assessed in the same drivers across transparency conditions; higher transparency significantly increased trust.</t>
        </is>
      </c>
      <c r="S184" s="3" t="inlineStr">
        <is>
          <t>N</t>
        </is>
      </c>
      <c r="T184" s="3" t="inlineStr">
        <is>
          <t>Y</t>
        </is>
      </c>
      <c r="U184" s="3" t="inlineStr">
        <is>
          <t>N</t>
        </is>
      </c>
    </row>
    <row r="185" ht="57" customHeight="1" s="18">
      <c r="A185" s="5" t="inlineStr">
        <is>
          <t>S2-0163</t>
        </is>
      </c>
      <c r="B185" s="5" t="inlineStr">
        <is>
          <t>A</t>
        </is>
      </c>
      <c r="C185" s="3" t="inlineStr">
        <is>
          <t>Khan, S.K.; Shiwakoti, N.; Stasinopoulos, P.; Chen, Y.; Warren, M.</t>
        </is>
      </c>
      <c r="D185" s="6" t="n">
        <v>2024</v>
      </c>
      <c r="E185" s="3" t="inlineStr">
        <is>
          <t>The impact of perceived cyber-risks on automated vehicle acceptance: Insights from a survey of participants from the United States, the United Kingdom, New Zealand, and Australia</t>
        </is>
      </c>
      <c r="F185" s="5" t="inlineStr">
        <is>
          <t>Journal article</t>
        </is>
      </c>
      <c r="G185" s="10" t="inlineStr">
        <is>
          <t>FT</t>
        </is>
      </c>
      <c r="H185" s="3" t="inlineStr">
        <is>
          <t>INCLUDE</t>
        </is>
      </c>
      <c r="I185" s="3" t="n"/>
      <c r="J185" s="3" t="inlineStr">
        <is>
          <t>Survey</t>
        </is>
      </c>
      <c r="K185" s="3" t="inlineStr">
        <is>
          <t>n=2062 nationally representative adults from US, UK, New Zealand and Australia; structural-equation modelling</t>
        </is>
      </c>
      <c r="L185" s="3" t="n"/>
      <c r="O185" s="3" t="inlineStr">
        <is>
          <t>Published</t>
        </is>
      </c>
      <c r="P185" s="12" t="n">
        <v>46301</v>
      </c>
      <c r="Q185" s="3" t="n"/>
      <c r="R185" s="3" t="inlineStr">
        <is>
          <t>Survey directly modelled cyberattack, connectivity, privacy, safety and performance risks, including risks across identifiable CAV data/connectivity interfaces.</t>
        </is>
      </c>
      <c r="S185" s="3" t="inlineStr">
        <is>
          <t>Y</t>
        </is>
      </c>
      <c r="T185" s="3" t="inlineStr">
        <is>
          <t>N</t>
        </is>
      </c>
      <c r="U185" s="3" t="inlineStr">
        <is>
          <t>Y</t>
        </is>
      </c>
    </row>
    <row r="186" ht="42.75" customHeight="1" s="18">
      <c r="A186" s="5" t="inlineStr">
        <is>
          <t>S2-0112</t>
        </is>
      </c>
      <c r="B186" s="5" t="inlineStr">
        <is>
          <t>A</t>
        </is>
      </c>
      <c r="C186" s="3" t="inlineStr">
        <is>
          <t>Hamadneh, J.; Hamdan, N.</t>
        </is>
      </c>
      <c r="D186" s="6" t="n">
        <v>2025</v>
      </c>
      <c r="E186" s="3" t="inlineStr">
        <is>
          <t>The Impact of Travel Behavior Factors on the Acceptance of Carsharing and Autonomous Vehicles: A Machine Learning Analysis</t>
        </is>
      </c>
      <c r="F186" s="5" t="inlineStr">
        <is>
          <t>Journal article</t>
        </is>
      </c>
      <c r="G186" s="10" t="inlineStr">
        <is>
          <t>FT</t>
        </is>
      </c>
      <c r="H186" s="3" t="inlineStr">
        <is>
          <t>INCLUDE</t>
        </is>
      </c>
      <c r="I186" s="3" t="n"/>
      <c r="J186" s="3" t="inlineStr">
        <is>
          <t>Survey</t>
        </is>
      </c>
      <c r="K186" s="3" t="inlineStr">
        <is>
          <t>n=1840 valid stated-preference responses; Budapest, Hungary; online survey conducted in 2021</t>
        </is>
      </c>
      <c r="L186" s="3" t="n"/>
      <c r="O186" s="3" t="inlineStr">
        <is>
          <t>Published</t>
        </is>
      </c>
      <c r="P186" s="12" t="n">
        <v>46301</v>
      </c>
      <c r="Q186" s="3" t="n"/>
      <c r="R186" s="3" t="inlineStr">
        <is>
          <t>SP survey included privacy, cybersecurity and surveillance concerns and modelled their contribution to CS/PSAV mode acceptance.</t>
        </is>
      </c>
      <c r="S186" s="3" t="inlineStr">
        <is>
          <t>Y</t>
        </is>
      </c>
      <c r="T186" s="3" t="inlineStr">
        <is>
          <t>N</t>
        </is>
      </c>
      <c r="U186" s="3" t="inlineStr">
        <is>
          <t>N</t>
        </is>
      </c>
    </row>
    <row r="187" ht="57" customHeight="1" s="18">
      <c r="A187" s="5" t="inlineStr">
        <is>
          <t>S2-0143</t>
        </is>
      </c>
      <c r="B187" s="5" t="inlineStr">
        <is>
          <t>A</t>
        </is>
      </c>
      <c r="C187" s="3" t="inlineStr">
        <is>
          <t>Awad, E.; Dsouza, S.; Kim, R.; Schulz, J.; Henrich, J.; Shariff, A.; Bonnefon, J.-F.; Rahwan, I.</t>
        </is>
      </c>
      <c r="D187" s="6" t="n">
        <v>2018</v>
      </c>
      <c r="E187" s="3" t="inlineStr">
        <is>
          <t>The Moral Machine experiment</t>
        </is>
      </c>
      <c r="F187" s="5" t="inlineStr">
        <is>
          <t>Journal article</t>
        </is>
      </c>
      <c r="G187" s="10" t="inlineStr">
        <is>
          <t>FT</t>
        </is>
      </c>
      <c r="H187" s="3" t="inlineStr">
        <is>
          <t>INCLUDE</t>
        </is>
      </c>
      <c r="I187" s="3" t="n"/>
      <c r="J187" s="3" t="inlineStr">
        <is>
          <t>Experiment</t>
        </is>
      </c>
      <c r="K187" s="3" t="inlineStr">
        <is>
          <t>39.61 million online AV moral-dilemma decisions from 233 countries/territories; demographic subsample n=492921</t>
        </is>
      </c>
      <c r="L187" s="3" t="n"/>
      <c r="O187" s="3" t="inlineStr">
        <is>
          <t>Published</t>
        </is>
      </c>
      <c r="P187" s="12" t="n">
        <v>46301</v>
      </c>
      <c r="Q187" s="3" t="n"/>
      <c r="R187" s="3" t="inlineStr">
        <is>
          <t>Online experiment quantified public preferences for how autonomous vehicles should resolve unavoidable moral dilemmas.</t>
        </is>
      </c>
      <c r="S187" s="3" t="inlineStr">
        <is>
          <t>N</t>
        </is>
      </c>
      <c r="T187" s="3" t="inlineStr">
        <is>
          <t>N</t>
        </is>
      </c>
      <c r="U187" s="3" t="inlineStr">
        <is>
          <t>N</t>
        </is>
      </c>
    </row>
    <row r="188" ht="28.5" customHeight="1" s="18">
      <c r="A188" s="5" t="inlineStr">
        <is>
          <t>S2-0145</t>
        </is>
      </c>
      <c r="B188" s="5" t="inlineStr">
        <is>
          <t>A</t>
        </is>
      </c>
      <c r="C188" s="3" t="inlineStr">
        <is>
          <t>Yang, Y.; Song, Z.</t>
        </is>
      </c>
      <c r="D188" s="6" t="n">
        <v>2025</v>
      </c>
      <c r="E188" s="3" t="inlineStr">
        <is>
          <t>The public perception and adaptability of laws and regulations of autonomous driving vehicles</t>
        </is>
      </c>
      <c r="F188" s="5" t="inlineStr">
        <is>
          <t>Journal article</t>
        </is>
      </c>
      <c r="G188" s="10" t="inlineStr">
        <is>
          <t>FT</t>
        </is>
      </c>
      <c r="H188" s="3" t="inlineStr">
        <is>
          <t>INCLUDE</t>
        </is>
      </c>
      <c r="I188" s="3" t="n"/>
      <c r="J188" s="3" t="inlineStr">
        <is>
          <t>Survey</t>
        </is>
      </c>
      <c r="K188" s="3" t="inlineStr">
        <is>
          <t>n=1061 adults with autonomous-driving awareness; online Wenjuanxing survey across major Chinese cities</t>
        </is>
      </c>
      <c r="L188" s="3" t="n"/>
      <c r="O188" s="3" t="inlineStr">
        <is>
          <t>Published</t>
        </is>
      </c>
      <c r="P188" s="12" t="n">
        <v>46301</v>
      </c>
      <c r="Q188" s="3" t="n"/>
      <c r="R188" s="3" t="inlineStr">
        <is>
          <t>Public survey measured autonomous-driving trust, acceptance, legal adaptability, safety/ethical risks and reported concern about privacy protection.</t>
        </is>
      </c>
      <c r="S188" s="3" t="inlineStr">
        <is>
          <t>Y</t>
        </is>
      </c>
      <c r="T188" s="3" t="inlineStr">
        <is>
          <t>N</t>
        </is>
      </c>
      <c r="U188" s="3" t="inlineStr">
        <is>
          <t>N</t>
        </is>
      </c>
    </row>
    <row r="189" ht="57" customHeight="1" s="18">
      <c r="A189" s="5" t="inlineStr">
        <is>
          <t>S2-0087</t>
        </is>
      </c>
      <c r="B189" s="5" t="inlineStr">
        <is>
          <t>A</t>
        </is>
      </c>
      <c r="C189" s="3" t="inlineStr">
        <is>
          <t>Kyriakidis, M.; Sodnik, J.; Stojmenova, K.; Elvarsson, A.B.; Pronello, C.; Thomopoulos, N.</t>
        </is>
      </c>
      <c r="D189" s="6" t="n">
        <v>2020</v>
      </c>
      <c r="E189" s="3" t="inlineStr">
        <is>
          <t>The role of human operators in safety perception of av deployment—insights from a large european survey</t>
        </is>
      </c>
      <c r="F189" s="5" t="inlineStr">
        <is>
          <t>Journal article</t>
        </is>
      </c>
      <c r="G189" s="10" t="inlineStr">
        <is>
          <t>FT</t>
        </is>
      </c>
      <c r="H189" s="3" t="inlineStr">
        <is>
          <t>INCLUDE</t>
        </is>
      </c>
      <c r="I189" s="3" t="n"/>
      <c r="J189" s="3" t="inlineStr">
        <is>
          <t>Survey</t>
        </is>
      </c>
      <c r="K189" s="3" t="inlineStr">
        <is>
          <t>n=1639 valid responses across eight European countries; WISE-ACT online survey; Spring 2020</t>
        </is>
      </c>
      <c r="L189" s="3" t="n"/>
      <c r="O189" s="3" t="inlineStr">
        <is>
          <t>Published</t>
        </is>
      </c>
      <c r="P189" s="12" t="n">
        <v>46301</v>
      </c>
      <c r="Q189" s="3" t="n"/>
      <c r="R189" s="3" t="inlineStr">
        <is>
          <t>Study analysed AV safety perception, willingness to use and preference for human supervision; project waves were not repeated measures of the same participants.</t>
        </is>
      </c>
      <c r="S189" s="3" t="inlineStr">
        <is>
          <t>N</t>
        </is>
      </c>
      <c r="T189" s="3" t="inlineStr">
        <is>
          <t>N</t>
        </is>
      </c>
      <c r="U189" s="3" t="inlineStr">
        <is>
          <t>N</t>
        </is>
      </c>
    </row>
    <row r="190" ht="42.75" customHeight="1" s="18">
      <c r="A190" s="5" t="inlineStr">
        <is>
          <t>S2-0154</t>
        </is>
      </c>
      <c r="B190" s="5" t="inlineStr">
        <is>
          <t>A</t>
        </is>
      </c>
      <c r="C190" s="3" t="inlineStr">
        <is>
          <t>Liang, Y.; Qian, L.; Lu, Y.; Bektaş, T.</t>
        </is>
      </c>
      <c r="D190" s="6" t="n">
        <v>2024</v>
      </c>
      <c r="E190" s="3" t="inlineStr">
        <is>
          <t>THE ROLE OF TECHNOLOGY READINESS IN THE CONSUMERS’ ACCEPTANCE OF AUTONOMOUS DELIVERY SERVICE</t>
        </is>
      </c>
      <c r="F190" s="5" t="inlineStr">
        <is>
          <t>Conference paper</t>
        </is>
      </c>
      <c r="G190" s="10" t="inlineStr">
        <is>
          <t>FT</t>
        </is>
      </c>
      <c r="H190" s="3" t="inlineStr">
        <is>
          <t>INCLUDE</t>
        </is>
      </c>
      <c r="I190" s="3" t="n"/>
      <c r="J190" s="3" t="inlineStr">
        <is>
          <t>Survey</t>
        </is>
      </c>
      <c r="K190" s="3" t="inlineStr">
        <is>
          <t>n=827 adults; Beijing, Shanghai, Shenzhen, Wuhan and Chengdu, China; Wenjuanxing online survey; May–Jun 2023</t>
        </is>
      </c>
      <c r="L190" s="3" t="n"/>
      <c r="O190" s="3" t="inlineStr">
        <is>
          <t>Published</t>
        </is>
      </c>
      <c r="P190" s="12" t="n">
        <v>46303</v>
      </c>
      <c r="Q190" s="3" t="n"/>
      <c r="R190" s="3" t="inlineStr">
        <is>
          <t>§Methods and Data; n=827 adults across five Chinese cities; survey modelled technology readiness, reasons for/against ADS and acceptance intention.</t>
        </is>
      </c>
      <c r="S190" s="3" t="inlineStr">
        <is>
          <t>N</t>
        </is>
      </c>
      <c r="T190" s="3" t="inlineStr">
        <is>
          <t>N</t>
        </is>
      </c>
      <c r="U190" s="3" t="inlineStr">
        <is>
          <t>N</t>
        </is>
      </c>
    </row>
    <row r="191" ht="28.5" customHeight="1" s="18">
      <c r="A191" s="5" t="inlineStr">
        <is>
          <t>S2-0298</t>
        </is>
      </c>
      <c r="B191" s="5" t="inlineStr">
        <is>
          <t>A</t>
        </is>
      </c>
      <c r="C191" s="3" t="inlineStr">
        <is>
          <t>Zhang, T.; Tao, D.; Qu, X.; Zhang, X.; Lin, R.; Zhang, W.</t>
        </is>
      </c>
      <c r="D191" s="6" t="n">
        <v>2019</v>
      </c>
      <c r="E191" s="3" t="inlineStr">
        <is>
          <t>The roles of initial trust and perceived risk in public's acceptance of automated vehicles</t>
        </is>
      </c>
      <c r="F191" s="5" t="inlineStr">
        <is>
          <t>Journal article</t>
        </is>
      </c>
      <c r="G191" s="10" t="inlineStr">
        <is>
          <t>FT</t>
        </is>
      </c>
      <c r="H191" s="3" t="inlineStr">
        <is>
          <t>INCLUDE</t>
        </is>
      </c>
      <c r="I191" s="3" t="n"/>
      <c r="J191" s="3" t="inlineStr">
        <is>
          <t>Survey</t>
        </is>
      </c>
      <c r="K191" s="3" t="inlineStr">
        <is>
          <t>n=216 licensed drivers; face-to-face questionnaire in public parking areas in Shenzhen, China; March 2018</t>
        </is>
      </c>
      <c r="L191" s="3" t="n"/>
      <c r="O191" s="3" t="inlineStr">
        <is>
          <t>Published</t>
        </is>
      </c>
      <c r="P191" s="12" t="n">
        <v>46301</v>
      </c>
      <c r="Q191" s="3" t="n"/>
      <c r="R191" s="3" t="inlineStr">
        <is>
          <t>Level 3 AV acceptance model directly measured perceived privacy risk through excessive personal-information collection, unauthorised secondary use and unauthorised sharing.</t>
        </is>
      </c>
      <c r="S191" s="3" t="inlineStr">
        <is>
          <t>Y</t>
        </is>
      </c>
      <c r="T191" s="3" t="inlineStr">
        <is>
          <t>N</t>
        </is>
      </c>
      <c r="U191" s="3" t="inlineStr">
        <is>
          <t>N</t>
        </is>
      </c>
    </row>
    <row r="192" ht="42.75" customHeight="1" s="18">
      <c r="A192" s="5" t="inlineStr">
        <is>
          <t>S2-0169</t>
        </is>
      </c>
      <c r="B192" s="5" t="inlineStr">
        <is>
          <t>A</t>
        </is>
      </c>
      <c r="C192" s="3" t="inlineStr">
        <is>
          <t>Shatnawi, I.; Gonzalez, J.N.; Masoud, N.</t>
        </is>
      </c>
      <c r="D192" s="6" t="n">
        <v>2025</v>
      </c>
      <c r="E192" s="3" t="inlineStr">
        <is>
          <t>Toward AV-CAV deployment in the Kingdom of Saudi Arabia: A readiness assessment based on expert feedback</t>
        </is>
      </c>
      <c r="F192" s="5" t="inlineStr">
        <is>
          <t>Journal article</t>
        </is>
      </c>
      <c r="G192" s="10" t="inlineStr">
        <is>
          <t>FT</t>
        </is>
      </c>
      <c r="H192" s="3" t="inlineStr">
        <is>
          <t>INCLUDE</t>
        </is>
      </c>
      <c r="I192" s="3" t="n"/>
      <c r="J192" s="3" t="inlineStr">
        <is>
          <t>Survey</t>
        </is>
      </c>
      <c r="K192" s="3" t="inlineStr">
        <is>
          <t>n=31 AV-CAV professionals from government, academia, private industry and transport sectors in Saudi Arabia</t>
        </is>
      </c>
      <c r="L192" s="3" t="n"/>
      <c r="O192" s="3" t="inlineStr">
        <is>
          <t>Published</t>
        </is>
      </c>
      <c r="P192" s="12" t="n">
        <v>46301</v>
      </c>
      <c r="Q192" s="3" t="n"/>
      <c r="R192" s="3" t="inlineStr">
        <is>
          <t>Expert survey assessed AV-CAV readiness, including cybersecurity, data privacy, V2X/digital infrastructure, public acceptance and trust.</t>
        </is>
      </c>
      <c r="S192" s="3" t="inlineStr">
        <is>
          <t>Y</t>
        </is>
      </c>
      <c r="T192" s="3" t="inlineStr">
        <is>
          <t>N</t>
        </is>
      </c>
      <c r="U192" s="3" t="inlineStr">
        <is>
          <t>Y</t>
        </is>
      </c>
    </row>
    <row r="193" ht="28.5" customHeight="1" s="18">
      <c r="A193" s="5" t="inlineStr">
        <is>
          <t>S2-0300</t>
        </is>
      </c>
      <c r="B193" s="5" t="inlineStr">
        <is>
          <t>A</t>
        </is>
      </c>
      <c r="C193" s="3" t="inlineStr">
        <is>
          <t>Zmud, J.P.; Sener, I.N.</t>
        </is>
      </c>
      <c r="D193" s="6" t="n">
        <v>2017</v>
      </c>
      <c r="E193" s="3" t="inlineStr">
        <is>
          <t>Towards an Understanding of the Travel Behavior Impact of Autonomous Vehicles</t>
        </is>
      </c>
      <c r="F193" s="5" t="inlineStr">
        <is>
          <t>Conference paper</t>
        </is>
      </c>
      <c r="G193" s="10" t="inlineStr">
        <is>
          <t>FT</t>
        </is>
      </c>
      <c r="H193" s="3" t="inlineStr">
        <is>
          <t>INCLUDE</t>
        </is>
      </c>
      <c r="I193" s="3" t="n"/>
      <c r="J193" s="3" t="inlineStr">
        <is>
          <t>Mixed</t>
        </is>
      </c>
      <c r="K193" s="3" t="inlineStr">
        <is>
          <t>n=556 metropolitan Austin residents in online survey plus n=44 follow-up face-to-face interviews</t>
        </is>
      </c>
      <c r="L193" s="3" t="n"/>
      <c r="O193" s="3" t="inlineStr">
        <is>
          <t>Published</t>
        </is>
      </c>
      <c r="P193" s="12" t="n">
        <v>46301</v>
      </c>
      <c r="Q193" s="3" t="n"/>
      <c r="R193" s="3" t="inlineStr">
        <is>
          <t>Data-privacy concern was empirically associated with intention to use self-driving vehicles; follow-up interviews investigated expected travel-behaviour impacts.</t>
        </is>
      </c>
      <c r="S193" s="3" t="inlineStr">
        <is>
          <t>Y</t>
        </is>
      </c>
      <c r="T193" s="3" t="inlineStr">
        <is>
          <t>N</t>
        </is>
      </c>
      <c r="U193" s="3" t="inlineStr">
        <is>
          <t>N</t>
        </is>
      </c>
    </row>
    <row r="194" ht="42.75" customHeight="1" s="18">
      <c r="A194" s="5" t="inlineStr">
        <is>
          <t>S2-0267</t>
        </is>
      </c>
      <c r="B194" s="5" t="inlineStr">
        <is>
          <t>A</t>
        </is>
      </c>
      <c r="C194" s="3" t="inlineStr">
        <is>
          <t>Mathis, L.-A.; Widlroither, H.; Traub, N.</t>
        </is>
      </c>
      <c r="D194" s="6" t="n">
        <v>2021</v>
      </c>
      <c r="E194" s="3" t="inlineStr">
        <is>
          <t>Towards Future Interior Concepts: User Perception and Requirements for the Use Case Working in the Autonomous Car</t>
        </is>
      </c>
      <c r="F194" s="5" t="inlineStr">
        <is>
          <t>Conference paper</t>
        </is>
      </c>
      <c r="G194" s="10" t="inlineStr">
        <is>
          <t>FT</t>
        </is>
      </c>
      <c r="H194" s="3" t="inlineStr">
        <is>
          <t>INCLUDE</t>
        </is>
      </c>
      <c r="I194" s="3" t="n"/>
      <c r="J194" s="3" t="inlineStr">
        <is>
          <t>Survey</t>
        </is>
      </c>
      <c r="K194" s="3" t="inlineStr">
        <is>
          <t>n=618 participants aged 18–65; German online LimeSurvey conducted Sep–Oct 2020</t>
        </is>
      </c>
      <c r="L194" s="3" t="n"/>
      <c r="O194" s="3" t="inlineStr">
        <is>
          <t>Published</t>
        </is>
      </c>
      <c r="P194" s="12" t="n">
        <v>46301</v>
      </c>
      <c r="Q194" s="3" t="n"/>
      <c r="R194" s="3" t="inlineStr">
        <is>
          <t>Survey investigated autonomous-car interior requirements and directly evaluated lack of privacy and specific privacy options including screens, sight protection and individual acoustic zones.</t>
        </is>
      </c>
      <c r="S194" s="3" t="inlineStr">
        <is>
          <t>Y</t>
        </is>
      </c>
      <c r="T194" s="3" t="inlineStr">
        <is>
          <t>N</t>
        </is>
      </c>
      <c r="U194" s="3" t="inlineStr">
        <is>
          <t>Y</t>
        </is>
      </c>
    </row>
    <row r="195">
      <c r="A195" s="5" t="inlineStr">
        <is>
          <t>S2-0194</t>
        </is>
      </c>
      <c r="B195" s="5" t="inlineStr">
        <is>
          <t>A</t>
        </is>
      </c>
      <c r="C195" s="3" t="inlineStr">
        <is>
          <t>Stålhane, T.; Myklebust, T.</t>
        </is>
      </c>
      <c r="D195" s="6" t="n">
        <v>2022</v>
      </c>
      <c r="E195" s="3" t="inlineStr">
        <is>
          <t>Trust and acceptance of self-driving buses</t>
        </is>
      </c>
      <c r="F195" s="5" t="inlineStr">
        <is>
          <t>Conference paper</t>
        </is>
      </c>
      <c r="G195" s="10" t="inlineStr">
        <is>
          <t>FT</t>
        </is>
      </c>
      <c r="H195" s="3" t="inlineStr">
        <is>
          <t>EXCLUDE</t>
        </is>
      </c>
      <c r="I195" s="3" t="inlineStr">
        <is>
          <t>E6</t>
        </is>
      </c>
      <c r="J195" s="3" t="n"/>
      <c r="K195" s="3" t="n"/>
      <c r="L195" s="3" t="n"/>
      <c r="O195" s="3" t="inlineStr">
        <is>
          <t>Not retrieved</t>
        </is>
      </c>
      <c r="P195" s="12" t="n">
        <v>46303</v>
      </c>
      <c r="Q195" s="3" t="n"/>
      <c r="R195" s="3" t="n"/>
      <c r="S195" s="3" t="n"/>
      <c r="T195" s="3" t="n"/>
      <c r="U195" s="3" t="n"/>
    </row>
    <row r="196" ht="28.5" customHeight="1" s="18">
      <c r="A196" s="5" t="inlineStr">
        <is>
          <t>S2-0203</t>
        </is>
      </c>
      <c r="B196" s="5" t="inlineStr">
        <is>
          <t>A</t>
        </is>
      </c>
      <c r="C196" s="3" t="inlineStr">
        <is>
          <t>Waung, M.; McAuslan, P.; Lakshmanan, S.</t>
        </is>
      </c>
      <c r="D196" s="6" t="n">
        <v>2021</v>
      </c>
      <c r="E196" s="3" t="inlineStr">
        <is>
          <t>Trust and intention to use autonomous vehicles: Manufacturer focus and passenger control</t>
        </is>
      </c>
      <c r="F196" s="5" t="inlineStr">
        <is>
          <t>Journal article</t>
        </is>
      </c>
      <c r="G196" s="10" t="inlineStr">
        <is>
          <t>FT</t>
        </is>
      </c>
      <c r="H196" s="3" t="inlineStr">
        <is>
          <t>INCLUDE</t>
        </is>
      </c>
      <c r="I196" s="3" t="n"/>
      <c r="J196" s="3" t="inlineStr">
        <is>
          <t>Experiment</t>
        </is>
      </c>
      <c r="K196" s="3" t="inlineStr">
        <is>
          <t>n=337 US college students; experimental manipulation of manufacturer focus and passenger control</t>
        </is>
      </c>
      <c r="L196" s="3" t="n"/>
      <c r="O196" s="3" t="inlineStr">
        <is>
          <t>Published</t>
        </is>
      </c>
      <c r="P196" s="12" t="n">
        <v>46301</v>
      </c>
      <c r="Q196" s="3" t="n"/>
      <c r="R196" s="3" t="inlineStr">
        <is>
          <t>Experiment measured AV privacy/security risk and manipulated control over privacy settings; technical context included location tracking and on-vehicle LiDAR, cameras and radar.</t>
        </is>
      </c>
      <c r="S196" s="3" t="inlineStr">
        <is>
          <t>Y</t>
        </is>
      </c>
      <c r="T196" s="3" t="inlineStr">
        <is>
          <t>N</t>
        </is>
      </c>
      <c r="U196" s="3" t="inlineStr">
        <is>
          <t>Y</t>
        </is>
      </c>
    </row>
    <row r="197" ht="57" customHeight="1" s="18">
      <c r="A197" s="5" t="inlineStr">
        <is>
          <t>S2-0178</t>
        </is>
      </c>
      <c r="B197" s="5" t="inlineStr">
        <is>
          <t>A</t>
        </is>
      </c>
      <c r="C197" s="3" t="inlineStr">
        <is>
          <t>Kenesei, Z.; Ásványi, K.; Kökény, L.; Jászberényi, M.; Miskolczi, M.; Gyulavári, T.; Syahrivar, J.</t>
        </is>
      </c>
      <c r="D197" s="6" t="n">
        <v>2022</v>
      </c>
      <c r="E197" s="3" t="inlineStr">
        <is>
          <t>Trust and perceived risk: How different manifestations affect the adoption of autonomous vehicles</t>
        </is>
      </c>
      <c r="F197" s="5" t="inlineStr">
        <is>
          <t>Journal article</t>
        </is>
      </c>
      <c r="G197" s="10" t="inlineStr">
        <is>
          <t>FT</t>
        </is>
      </c>
      <c r="H197" s="3" t="inlineStr">
        <is>
          <t>INCLUDE</t>
        </is>
      </c>
      <c r="I197" s="3" t="n"/>
      <c r="J197" s="3" t="inlineStr">
        <is>
          <t>Survey</t>
        </is>
      </c>
      <c r="K197" s="3" t="inlineStr">
        <is>
          <t>n=949 adult respondents; online Level 5 AV questionnaire</t>
        </is>
      </c>
      <c r="L197" s="3" t="n"/>
      <c r="O197" s="3" t="inlineStr">
        <is>
          <t>Published</t>
        </is>
      </c>
      <c r="P197" s="12" t="n">
        <v>46301</v>
      </c>
      <c r="Q197" s="3" t="n"/>
      <c r="R197" s="3" t="inlineStr">
        <is>
          <t>Survey directly measured privacy risk including loss of control over personal data, unauthorised secondary use and inability to guarantee personal-information security.</t>
        </is>
      </c>
      <c r="S197" s="3" t="inlineStr">
        <is>
          <t>Y</t>
        </is>
      </c>
      <c r="T197" s="3" t="inlineStr">
        <is>
          <t>N</t>
        </is>
      </c>
      <c r="U197" s="3" t="inlineStr">
        <is>
          <t>N</t>
        </is>
      </c>
    </row>
    <row r="198" ht="28.5" customHeight="1" s="18">
      <c r="A198" s="5" t="inlineStr">
        <is>
          <t>S2-0079</t>
        </is>
      </c>
      <c r="B198" s="5" t="inlineStr">
        <is>
          <t>A</t>
        </is>
      </c>
      <c r="C198" s="3" t="inlineStr">
        <is>
          <t>Q. Sun; S. Hou; J. Yao; P. Cheng</t>
        </is>
      </c>
      <c r="D198" s="6" t="n">
        <v>2022</v>
      </c>
      <c r="E198" s="3" t="inlineStr">
        <is>
          <t>Trust-oriented HMI Design for Conditional Autonomous Driving Takeover Systems</t>
        </is>
      </c>
      <c r="F198" s="5" t="inlineStr">
        <is>
          <t>Conference paper</t>
        </is>
      </c>
      <c r="G198" s="10" t="inlineStr">
        <is>
          <t>FT</t>
        </is>
      </c>
      <c r="H198" s="3" t="inlineStr">
        <is>
          <t>INCLUDE</t>
        </is>
      </c>
      <c r="I198" s="3" t="n"/>
      <c r="J198" s="3" t="inlineStr">
        <is>
          <t>Interview/focus group</t>
        </is>
      </c>
      <c r="K198" s="3" t="inlineStr">
        <is>
          <t>n=8 drivers; semi-structured interviews on conditional-automation takeover information needs and HMI preferences</t>
        </is>
      </c>
      <c r="L198" s="3" t="n"/>
      <c r="O198" s="3" t="inlineStr">
        <is>
          <t>Published</t>
        </is>
      </c>
      <c r="P198" s="12" t="n">
        <v>46301</v>
      </c>
      <c r="Q198" s="3" t="n"/>
      <c r="R198" s="3" t="inlineStr">
        <is>
          <t>Qualitative study investigated trust, acceptance and information needs across pre-takeover, takeover and post-takeover phases; no empirical privacy/data/cybersecurity construct was measured.</t>
        </is>
      </c>
      <c r="S198" s="3" t="inlineStr">
        <is>
          <t>N</t>
        </is>
      </c>
      <c r="T198" s="3" t="inlineStr">
        <is>
          <t>N</t>
        </is>
      </c>
      <c r="U198" s="3" t="inlineStr">
        <is>
          <t>N</t>
        </is>
      </c>
    </row>
    <row r="199" ht="42.75" customHeight="1" s="18">
      <c r="A199" s="5" t="inlineStr">
        <is>
          <t>S2-0159</t>
        </is>
      </c>
      <c r="B199" s="5" t="inlineStr">
        <is>
          <t>A</t>
        </is>
      </c>
      <c r="C199" s="3" t="inlineStr">
        <is>
          <t>Tham, Y.J.; Hashimoto, T.; Karasawa, K.</t>
        </is>
      </c>
      <c r="D199" s="6" t="n">
        <v>2022</v>
      </c>
      <c r="E199" s="3" t="inlineStr">
        <is>
          <t>Underlying dimensions of benefit and risk perception and their effects on people’s acceptance of conditionally/fully automated vehicles</t>
        </is>
      </c>
      <c r="F199" s="5" t="inlineStr">
        <is>
          <t>Journal article</t>
        </is>
      </c>
      <c r="G199" s="10" t="inlineStr">
        <is>
          <t>FT</t>
        </is>
      </c>
      <c r="H199" s="3" t="inlineStr">
        <is>
          <t>INCLUDE</t>
        </is>
      </c>
      <c r="I199" s="3" t="n"/>
      <c r="J199" s="3" t="inlineStr">
        <is>
          <t>Survey</t>
        </is>
      </c>
      <c r="K199" s="3" t="inlineStr">
        <is>
          <t>n=840 adults in Japan; online survey with random assignment to conditional or fully automated vehicle description</t>
        </is>
      </c>
      <c r="L199" s="3" t="n"/>
      <c r="O199" s="3" t="inlineStr">
        <is>
          <t>Published</t>
        </is>
      </c>
      <c r="P199" s="12" t="n">
        <v>46301</v>
      </c>
      <c r="Q199" s="3" t="n"/>
      <c r="R199" s="3" t="inlineStr">
        <is>
          <t>Survey identified cybersecurity as a distinct risk dimension using items on personal-data hacking/abuse and intrusion into AV networks.</t>
        </is>
      </c>
      <c r="S199" s="3" t="inlineStr">
        <is>
          <t>Y</t>
        </is>
      </c>
      <c r="T199" s="3" t="inlineStr">
        <is>
          <t>N</t>
        </is>
      </c>
      <c r="U199" s="3" t="inlineStr">
        <is>
          <t>Y</t>
        </is>
      </c>
    </row>
    <row r="200" ht="28.5" customHeight="1" s="18">
      <c r="A200" s="5" t="inlineStr">
        <is>
          <t>S2-0136</t>
        </is>
      </c>
      <c r="B200" s="5" t="inlineStr">
        <is>
          <t>A</t>
        </is>
      </c>
      <c r="C200" s="3" t="inlineStr">
        <is>
          <t>Zekun, C.; Aiping, X.</t>
        </is>
      </c>
      <c r="D200" s="6" t="n">
        <v>2023</v>
      </c>
      <c r="E200" s="3" t="inlineStr">
        <is>
          <t>Understand Users' Privacy Perception and Decision of V2X Communication in Connected Autonomous Vehicles</t>
        </is>
      </c>
      <c r="F200" s="5" t="inlineStr">
        <is>
          <t>Conference paper</t>
        </is>
      </c>
      <c r="G200" s="10" t="inlineStr">
        <is>
          <t>FT</t>
        </is>
      </c>
      <c r="H200" s="3" t="inlineStr">
        <is>
          <t>INCLUDE</t>
        </is>
      </c>
      <c r="I200" s="3" t="n"/>
      <c r="J200" s="3" t="inlineStr">
        <is>
          <t>Mixed</t>
        </is>
      </c>
      <c r="K200" s="3" t="inlineStr">
        <is>
          <t>n=6 participants; vignette-based V2X survey evaluation with think-aloud interviews</t>
        </is>
      </c>
      <c r="L200" s="3" t="n"/>
      <c r="O200" s="3" t="inlineStr">
        <is>
          <t>Published</t>
        </is>
      </c>
      <c r="P200" s="12" t="n">
        <v>46301</v>
      </c>
      <c r="Q200" s="3" t="n"/>
      <c r="R200" s="3" t="inlineStr">
        <is>
          <t>Pilot directly measured V2X privacy perception, disclosure decisions and security perception across CAV data-sharing scenarios.</t>
        </is>
      </c>
      <c r="S200" s="3" t="inlineStr">
        <is>
          <t>Y</t>
        </is>
      </c>
      <c r="T200" s="3" t="inlineStr">
        <is>
          <t>N</t>
        </is>
      </c>
      <c r="U200" s="3" t="inlineStr">
        <is>
          <t>Y</t>
        </is>
      </c>
    </row>
    <row r="201" ht="28.5" customHeight="1" s="18">
      <c r="A201" s="5" t="inlineStr">
        <is>
          <t>S2-0062</t>
        </is>
      </c>
      <c r="B201" s="5" t="inlineStr">
        <is>
          <t>A</t>
        </is>
      </c>
      <c r="C201" s="3" t="inlineStr">
        <is>
          <t>A. Adikari; D. Alahakoon</t>
        </is>
      </c>
      <c r="D201" s="6" t="n">
        <v>2021</v>
      </c>
      <c r="E201" s="3" t="inlineStr">
        <is>
          <t>Understanding Citizens’ Emotional Pulse in a Smart City Using Artificial Intelligence</t>
        </is>
      </c>
      <c r="F201" s="5" t="inlineStr">
        <is>
          <t>Journal article</t>
        </is>
      </c>
      <c r="G201" s="10" t="inlineStr">
        <is>
          <t>FT</t>
        </is>
      </c>
      <c r="H201" s="3" t="inlineStr">
        <is>
          <t>INCLUDE</t>
        </is>
      </c>
      <c r="I201" s="3" t="n"/>
      <c r="J201" s="3" t="inlineStr">
        <is>
          <t>Online-discourse analysis</t>
        </is>
      </c>
      <c r="K201" s="3" t="inlineStr">
        <is>
          <t>29928 publicly available social-media conversations concerning self-driving vehicles analysed using NLP, Markov modelling and toxicity classification</t>
        </is>
      </c>
      <c r="L201" s="3" t="n"/>
      <c r="O201" s="3" t="inlineStr">
        <is>
          <t>Published</t>
        </is>
      </c>
      <c r="P201" s="12" t="n">
        <v>46301</v>
      </c>
      <c r="Q201" s="3" t="n"/>
      <c r="R201" s="3" t="inlineStr">
        <is>
          <t>Empirical public-discourse study modelled citizens’ emotions and perception shifts concerning self-driving vehicles; AV privacy/data/cybersecurity was not an empirical outcome.</t>
        </is>
      </c>
      <c r="S201" s="3" t="inlineStr">
        <is>
          <t>N</t>
        </is>
      </c>
      <c r="T201" s="3" t="inlineStr">
        <is>
          <t>N</t>
        </is>
      </c>
      <c r="U201" s="3" t="inlineStr">
        <is>
          <t>N</t>
        </is>
      </c>
    </row>
    <row r="202" ht="42.75" customHeight="1" s="18">
      <c r="A202" s="5" t="inlineStr">
        <is>
          <t>S2-0102</t>
        </is>
      </c>
      <c r="B202" s="5" t="inlineStr">
        <is>
          <t>A</t>
        </is>
      </c>
      <c r="C202" s="3" t="inlineStr">
        <is>
          <t>Zhou, W.; Espahbod, S.; Shi, V.; Nketiah, E.</t>
        </is>
      </c>
      <c r="D202" s="6" t="n">
        <v>2025</v>
      </c>
      <c r="E202" s="3" t="inlineStr">
        <is>
          <t>Understanding Consumers’ Adoption Behavior of Driverless Delivery Vehicles: Insights from the Combined Use of NCA and PLS-SEM</t>
        </is>
      </c>
      <c r="F202" s="5" t="inlineStr">
        <is>
          <t>Journal article</t>
        </is>
      </c>
      <c r="G202" s="10" t="inlineStr">
        <is>
          <t>FT</t>
        </is>
      </c>
      <c r="H202" s="3" t="inlineStr">
        <is>
          <t>INCLUDE</t>
        </is>
      </c>
      <c r="I202" s="3" t="n"/>
      <c r="J202" s="3" t="inlineStr">
        <is>
          <t>Survey</t>
        </is>
      </c>
      <c r="K202" s="3" t="inlineStr">
        <is>
          <t>n=579 adult residents of Jiangsu Province, China; cross-sectional Sojump questionnaire</t>
        </is>
      </c>
      <c r="L202" s="3" t="n"/>
      <c r="O202" s="3" t="inlineStr">
        <is>
          <t>Published</t>
        </is>
      </c>
      <c r="P202" s="12" t="n">
        <v>46301</v>
      </c>
      <c r="Q202" s="3" t="n"/>
      <c r="R202" s="3" t="inlineStr">
        <is>
          <t>Road-operating driverless delivery vehicle adoption study measured trust, technological complexity, usefulness, ease of use, attitude and adoption intention; privacy/security appeared only in background discussion.</t>
        </is>
      </c>
      <c r="S202" s="3" t="inlineStr">
        <is>
          <t>N</t>
        </is>
      </c>
      <c r="T202" s="3" t="inlineStr">
        <is>
          <t>N</t>
        </is>
      </c>
      <c r="U202" s="3" t="inlineStr">
        <is>
          <t>N</t>
        </is>
      </c>
    </row>
    <row r="203" ht="28.5" customHeight="1" s="18">
      <c r="A203" s="5" t="inlineStr">
        <is>
          <t>S2-0148</t>
        </is>
      </c>
      <c r="B203" s="5" t="inlineStr">
        <is>
          <t>A</t>
        </is>
      </c>
      <c r="C203" s="3" t="inlineStr">
        <is>
          <t>Soltani, A.; Ananda, D.; Rith, M.</t>
        </is>
      </c>
      <c r="D203" s="6" t="n">
        <v>2021</v>
      </c>
      <c r="E203" s="3" t="inlineStr">
        <is>
          <t>University students’ perspectives on autonomous vehicle adoption: Adelaide case study</t>
        </is>
      </c>
      <c r="F203" s="5" t="inlineStr">
        <is>
          <t>Journal article</t>
        </is>
      </c>
      <c r="G203" s="10" t="inlineStr">
        <is>
          <t>FT</t>
        </is>
      </c>
      <c r="H203" s="3" t="inlineStr">
        <is>
          <t>INCLUDE</t>
        </is>
      </c>
      <c r="I203" s="3" t="n"/>
      <c r="J203" s="3" t="inlineStr">
        <is>
          <t>Survey</t>
        </is>
      </c>
      <c r="K203" s="3" t="inlineStr">
        <is>
          <t>n=152 complete responses from University of South Australia students; survey collected Oct–Nov 2019</t>
        </is>
      </c>
      <c r="L203" s="3" t="n"/>
      <c r="O203" s="3" t="inlineStr">
        <is>
          <t>Published</t>
        </is>
      </c>
      <c r="P203" s="12" t="n">
        <v>46301</v>
      </c>
      <c r="Q203" s="3" t="n"/>
      <c r="R203" s="3" t="inlineStr">
        <is>
          <t>Survey directly measured cybersecurity concern through an item on AV vulnerability to remote control and hacking, including possible effects on individual privacy.</t>
        </is>
      </c>
      <c r="S203" s="3" t="inlineStr">
        <is>
          <t>Y</t>
        </is>
      </c>
      <c r="T203" s="3" t="inlineStr">
        <is>
          <t>N</t>
        </is>
      </c>
      <c r="U203" s="3" t="inlineStr">
        <is>
          <t>N</t>
        </is>
      </c>
    </row>
    <row r="204" ht="42.75" customHeight="1" s="18">
      <c r="A204" s="5" t="inlineStr">
        <is>
          <t>S2-0213</t>
        </is>
      </c>
      <c r="B204" s="5" t="inlineStr">
        <is>
          <t>A</t>
        </is>
      </c>
      <c r="C204" s="3" t="inlineStr">
        <is>
          <t>Demir, C.; Meschtscherjakov, A.; Gärtner, M.</t>
        </is>
      </c>
      <c r="D204" s="6" t="n">
        <v>2024</v>
      </c>
      <c r="E204" s="3" t="inlineStr">
        <is>
          <t>Unlocking Trust and Acceptance in Tomorrow’s Ride: How In-Vehicle Intelligent Agents Redefine SAE Level 5 Autonomy</t>
        </is>
      </c>
      <c r="F204" s="5" t="inlineStr">
        <is>
          <t>Journal article</t>
        </is>
      </c>
      <c r="G204" s="10" t="inlineStr">
        <is>
          <t>FT</t>
        </is>
      </c>
      <c r="H204" s="3" t="inlineStr">
        <is>
          <t>INCLUDE</t>
        </is>
      </c>
      <c r="I204" s="3" t="n"/>
      <c r="J204" s="3" t="inlineStr">
        <is>
          <t>Mixed</t>
        </is>
      </c>
      <c r="K204" s="3" t="inlineStr">
        <is>
          <t>n=25 participants; SAE Level 5 driving-simulator study with voice-only in-vehicle intelligent agent, repeated event ratings and post-study interviews</t>
        </is>
      </c>
      <c r="L204" s="3" t="n"/>
      <c r="O204" s="3" t="inlineStr">
        <is>
          <t>Published</t>
        </is>
      </c>
      <c r="P204" s="12" t="n">
        <v>46301</v>
      </c>
      <c r="Q204" s="3" t="n"/>
      <c r="R204" s="3" t="inlineStr">
        <is>
          <t>Personalised IVIA information generated empirical privacy and data-access concerns tied to the in-vehicle intelligent-agent subsystem; event-specific repeated ratings do not satisfy the frozen longitudinal tag.</t>
        </is>
      </c>
      <c r="S204" s="3" t="inlineStr">
        <is>
          <t>Y</t>
        </is>
      </c>
      <c r="T204" s="3" t="inlineStr">
        <is>
          <t>N</t>
        </is>
      </c>
      <c r="U204" s="3" t="inlineStr">
        <is>
          <t>Y</t>
        </is>
      </c>
    </row>
    <row r="205" ht="28.5" customHeight="1" s="18">
      <c r="A205" s="5" t="inlineStr">
        <is>
          <t>S2-0250</t>
        </is>
      </c>
      <c r="B205" s="5" t="inlineStr">
        <is>
          <t>A</t>
        </is>
      </c>
      <c r="C205" s="3" t="inlineStr">
        <is>
          <t>Vasudavan, H.; Shanmugam, K.; Ahmada, H.A.</t>
        </is>
      </c>
      <c r="D205" s="6" t="n">
        <v>2018</v>
      </c>
      <c r="E205" s="3" t="inlineStr">
        <is>
          <t>User perceptions in adopting cloud computing in autonomous vehicle</t>
        </is>
      </c>
      <c r="F205" s="5" t="inlineStr">
        <is>
          <t>Conference paper</t>
        </is>
      </c>
      <c r="G205" s="10" t="inlineStr">
        <is>
          <t>FT</t>
        </is>
      </c>
      <c r="H205" s="3" t="inlineStr">
        <is>
          <t>INCLUDE</t>
        </is>
      </c>
      <c r="I205" s="3" t="n"/>
      <c r="J205" s="3" t="inlineStr">
        <is>
          <t>Mixed</t>
        </is>
      </c>
      <c r="K205" s="3" t="inlineStr">
        <is>
          <t>n=80 quantitative respondents (50 APU IT students and 30 general-public/Uber/Grab drivers) plus specialist lecturer interviews</t>
        </is>
      </c>
      <c r="L205" s="3" t="n"/>
      <c r="O205" s="3" t="inlineStr">
        <is>
          <t>Published</t>
        </is>
      </c>
      <c r="P205" s="12" t="n">
        <v>46301</v>
      </c>
      <c r="Q205" s="3" t="n"/>
      <c r="R205" s="3" t="inlineStr">
        <is>
          <t>Study examined user adoption of cloud computing in AVs; respondents reported data/passenger-security concerns and interviewees discussed cloud security, malicious attacks, countermeasures and offline operation.</t>
        </is>
      </c>
      <c r="S205" s="3" t="inlineStr">
        <is>
          <t>Y</t>
        </is>
      </c>
      <c r="T205" s="3" t="inlineStr">
        <is>
          <t>N</t>
        </is>
      </c>
      <c r="U205" s="3" t="inlineStr">
        <is>
          <t>Y</t>
        </is>
      </c>
    </row>
    <row r="206" ht="99.75" customHeight="1" s="18">
      <c r="A206" s="5" t="inlineStr">
        <is>
          <t>S2-0273</t>
        </is>
      </c>
      <c r="B206" s="5" t="inlineStr">
        <is>
          <t>A</t>
        </is>
      </c>
      <c r="C206" s="3" t="inlineStr">
        <is>
          <t>Hussein, S.; Nasiruddeen Muhammad, N.M.; Eman Abu Shabab, E.; Saad Amin, S.; Hussain Al-Ahmad, H.; Mukhtar, H.; Mohammad Rababa, M.; Burkhard Schafer, B.</t>
        </is>
      </c>
      <c r="D206" s="6" t="n">
        <v>2023</v>
      </c>
      <c r="E206" s="3" t="inlineStr">
        <is>
          <t>Users' Perception of Data Privacy in Self-Driving Vehicles in Dubai</t>
        </is>
      </c>
      <c r="F206" s="5" t="inlineStr">
        <is>
          <t>Conference paper</t>
        </is>
      </c>
      <c r="G206" s="10" t="inlineStr">
        <is>
          <t>FT</t>
        </is>
      </c>
      <c r="H206" s="3" t="inlineStr">
        <is>
          <t>EXCLUDE</t>
        </is>
      </c>
      <c r="I206" s="3" t="inlineStr">
        <is>
          <t>E6</t>
        </is>
      </c>
      <c r="J206" s="3" t="n"/>
      <c r="K206" s="3" t="n"/>
      <c r="L206" s="3" t="n"/>
      <c r="O206" s="3" t="n"/>
      <c r="P206" s="12" t="n">
        <v>46304</v>
      </c>
      <c r="Q206" s="3" t="n"/>
      <c r="R206" s="3" t="inlineStr">
        <is>
          <t>Full text could not be located despite retrieval attempts; full-text eligibility could not be assessed.</t>
        </is>
      </c>
      <c r="S206" s="3" t="n"/>
      <c r="T206" s="3" t="n"/>
      <c r="U206" s="3" t="n"/>
    </row>
    <row r="207" ht="28.5" customHeight="1" s="18">
      <c r="A207" s="5" t="inlineStr">
        <is>
          <t>S2-0277</t>
        </is>
      </c>
      <c r="B207" s="5" t="inlineStr">
        <is>
          <t>A</t>
        </is>
      </c>
      <c r="C207" s="3" t="inlineStr">
        <is>
          <t>Koul, S.; Eydgahi, A.</t>
        </is>
      </c>
      <c r="D207" s="6" t="n">
        <v>2018</v>
      </c>
      <c r="E207" s="3" t="inlineStr">
        <is>
          <t>Utilizing technology acceptance model (Tam) for driverless car technology adoption</t>
        </is>
      </c>
      <c r="F207" s="5" t="inlineStr">
        <is>
          <t>Journal article</t>
        </is>
      </c>
      <c r="G207" s="10" t="inlineStr">
        <is>
          <t>FT</t>
        </is>
      </c>
      <c r="H207" s="3" t="inlineStr">
        <is>
          <t>INCLUDE</t>
        </is>
      </c>
      <c r="I207" s="3" t="n"/>
      <c r="J207" s="3" t="inlineStr">
        <is>
          <t>Survey</t>
        </is>
      </c>
      <c r="K207" s="3" t="inlineStr">
        <is>
          <t>n=377 analysed US employees from a truck-accessory manufacturer with 13 subsidiaries across multiple states; SurveyMonkey online survey; open for 10 business days; exact dates not stated</t>
        </is>
      </c>
      <c r="L207" s="3" t="n"/>
      <c r="O207" s="3" t="inlineStr">
        <is>
          <t>Published</t>
        </is>
      </c>
      <c r="P207" s="12" t="n">
        <v>46301</v>
      </c>
      <c r="Q207" s="3" t="n"/>
      <c r="R207" s="3" t="inlineStr">
        <is>
          <t>§Methodology–Results; cross-sectional TAM survey measured perceived usefulness, perceived ease of use, age, driving experience and intention to use driverless cars; privacy/data/cybersecurity were not measured constructs.</t>
        </is>
      </c>
      <c r="S207" s="3" t="inlineStr">
        <is>
          <t>N</t>
        </is>
      </c>
      <c r="T207" s="3" t="inlineStr">
        <is>
          <t>N</t>
        </is>
      </c>
      <c r="U207" s="3" t="inlineStr">
        <is>
          <t>N</t>
        </is>
      </c>
    </row>
    <row r="208" ht="28.5" customHeight="1" s="18">
      <c r="A208" s="5" t="inlineStr">
        <is>
          <t>S2-0243</t>
        </is>
      </c>
      <c r="B208" s="5" t="inlineStr">
        <is>
          <t>A</t>
        </is>
      </c>
      <c r="C208" s="3" t="inlineStr">
        <is>
          <t>Maksimenko, V.; Li, X.; Kim, E.-J.; Bansal, P.</t>
        </is>
      </c>
      <c r="D208" s="6" t="n">
        <v>2025</v>
      </c>
      <c r="E208" s="3" t="inlineStr">
        <is>
          <t>Video-Based experiments better unveil societal biases towards ethical decisions of autonomous vehicles</t>
        </is>
      </c>
      <c r="F208" s="5" t="inlineStr">
        <is>
          <t>Journal article</t>
        </is>
      </c>
      <c r="G208" s="10" t="inlineStr">
        <is>
          <t>FT</t>
        </is>
      </c>
      <c r="H208" s="3" t="inlineStr">
        <is>
          <t>INCLUDE</t>
        </is>
      </c>
      <c r="I208" s="3" t="n"/>
      <c r="J208" s="3" t="inlineStr">
        <is>
          <t>Experiment</t>
        </is>
      </c>
      <c r="K208" s="3" t="inlineStr">
        <is>
          <t>n=40 NUS students/staff aged 21–39; 20 male and 20 female; Singapore; within-subject picture- and video-based AV moral-dilemma experiment; collection period not stated</t>
        </is>
      </c>
      <c r="L208" s="3" t="n"/>
      <c r="O208" s="3" t="inlineStr">
        <is>
          <t>Published</t>
        </is>
      </c>
      <c r="P208" s="12" t="n">
        <v>46301</v>
      </c>
      <c r="Q208" s="3" t="n"/>
      <c r="R208" s="3" t="inlineStr">
        <is>
          <t>§2.1–2.2, §2.8; n=40 completed picture- and video-based moral-decision sessions; same choice measure compared within subjects.</t>
        </is>
      </c>
      <c r="S208" s="3" t="inlineStr">
        <is>
          <t>N</t>
        </is>
      </c>
      <c r="T208" s="3" t="inlineStr">
        <is>
          <t>Y</t>
        </is>
      </c>
      <c r="U208" s="3" t="inlineStr">
        <is>
          <t>N</t>
        </is>
      </c>
    </row>
    <row r="209" ht="28.5" customHeight="1" s="18">
      <c r="A209" s="5" t="inlineStr">
        <is>
          <t>S2-0050</t>
        </is>
      </c>
      <c r="B209" s="5" t="inlineStr">
        <is>
          <t>A</t>
        </is>
      </c>
      <c r="C209" s="3" t="inlineStr">
        <is>
          <t>J. Chen; Q. Zhang</t>
        </is>
      </c>
      <c r="D209" s="6" t="n">
        <v>2025</v>
      </c>
      <c r="E209" s="3" t="inlineStr">
        <is>
          <t>Voice Design and Trust in Automated Vehicles: Findings and a Research Agenda</t>
        </is>
      </c>
      <c r="F209" s="5" t="inlineStr">
        <is>
          <t>Conference paper</t>
        </is>
      </c>
      <c r="G209" s="10" t="inlineStr">
        <is>
          <t>FT</t>
        </is>
      </c>
      <c r="H209" s="3" t="inlineStr">
        <is>
          <t>INCLUDE</t>
        </is>
      </c>
      <c r="I209" s="3" t="n"/>
      <c r="J209" s="3" t="inlineStr">
        <is>
          <t>Experiment</t>
        </is>
      </c>
      <c r="K209" s="3" t="inlineStr">
        <is>
          <t>n=326 US drivers; 160 women and 166 men; online 2×2 between-subjects AV voice experiment; collection period not stated</t>
        </is>
      </c>
      <c r="L209" s="3" t="n"/>
      <c r="O209" s="3" t="inlineStr">
        <is>
          <t>Published</t>
        </is>
      </c>
      <c r="P209" s="12" t="n">
        <v>46301</v>
      </c>
      <c r="Q209" s="3" t="n"/>
      <c r="R209" s="3" t="inlineStr">
        <is>
          <t>§II; n=326 US drivers; synthetic AV voice gender and role congruity were manipulated and cognitive/affective trust measured.</t>
        </is>
      </c>
      <c r="S209" s="3" t="inlineStr">
        <is>
          <t>N</t>
        </is>
      </c>
      <c r="T209" s="3" t="inlineStr">
        <is>
          <t>N</t>
        </is>
      </c>
      <c r="U209" s="3" t="inlineStr">
        <is>
          <t>Y</t>
        </is>
      </c>
    </row>
    <row r="210" ht="28.5" customHeight="1" s="18">
      <c r="A210" s="5" t="inlineStr">
        <is>
          <t>S2-0127</t>
        </is>
      </c>
      <c r="B210" s="5" t="inlineStr">
        <is>
          <t>A</t>
        </is>
      </c>
      <c r="C210" s="3" t="inlineStr">
        <is>
          <t>Jászberényi, M.; Miskolczi, M.; Munkácsy, A.; Földes, D.</t>
        </is>
      </c>
      <c r="D210" s="6" t="n">
        <v>2022</v>
      </c>
      <c r="E210" s="3" t="inlineStr">
        <is>
          <t>What drives tourists to adopt self-driving cars?</t>
        </is>
      </c>
      <c r="F210" s="5" t="inlineStr">
        <is>
          <t>Journal article</t>
        </is>
      </c>
      <c r="G210" s="10" t="inlineStr">
        <is>
          <t>FT</t>
        </is>
      </c>
      <c r="H210" s="3" t="inlineStr">
        <is>
          <t>INCLUDE</t>
        </is>
      </c>
      <c r="I210" s="3" t="n"/>
      <c r="J210" s="3" t="inlineStr">
        <is>
          <t>Survey</t>
        </is>
      </c>
      <c r="K210" s="3" t="inlineStr">
        <is>
          <t>n=646 analysed respondents aged 19–81; Hungary; Qualtrics online survey; autumn 2020</t>
        </is>
      </c>
      <c r="L210" s="3" t="n"/>
      <c r="O210" s="3" t="inlineStr">
        <is>
          <t>Published</t>
        </is>
      </c>
      <c r="P210" s="12" t="n">
        <v>46301</v>
      </c>
      <c r="Q210" s="3" t="n"/>
      <c r="R210" s="3" t="inlineStr">
        <is>
          <t>§4.5–5; 646 responses modelled self-driving-car tourism acceptance; privacy/data/security were not measured constructs in the empirical TAMAT model.</t>
        </is>
      </c>
      <c r="S210" s="3" t="inlineStr">
        <is>
          <t>N</t>
        </is>
      </c>
      <c r="T210" s="3" t="inlineStr">
        <is>
          <t>N</t>
        </is>
      </c>
      <c r="U210" s="3" t="inlineStr">
        <is>
          <t>N</t>
        </is>
      </c>
    </row>
    <row r="211" ht="42.75" customHeight="1" s="18">
      <c r="A211" s="5" t="inlineStr">
        <is>
          <t>S2-0216</t>
        </is>
      </c>
      <c r="B211" s="5" t="inlineStr">
        <is>
          <t>A</t>
        </is>
      </c>
      <c r="C211" s="3" t="inlineStr">
        <is>
          <t>Wang, F.; Wang, S.; Fang, F.; Cheng, K.</t>
        </is>
      </c>
      <c r="D211" s="6" t="n">
        <v>2024</v>
      </c>
      <c r="E211" s="3" t="inlineStr">
        <is>
          <t>Who should be responsible? Responsibility attribution and public response to data security risks in China's intelligent connected vehicles</t>
        </is>
      </c>
      <c r="F211" s="5" t="inlineStr">
        <is>
          <t>Journal article</t>
        </is>
      </c>
      <c r="G211" s="10" t="inlineStr">
        <is>
          <t>FT</t>
        </is>
      </c>
      <c r="H211" s="3" t="inlineStr">
        <is>
          <t>INCLUDE</t>
        </is>
      </c>
      <c r="I211" s="3" t="n"/>
      <c r="J211" s="3" t="inlineStr">
        <is>
          <t>Survey</t>
        </is>
      </c>
      <c r="K211" s="3" t="inlineStr">
        <is>
          <t>n=523 valid intelligent-connected-vehicle users; major Chinese cities; SoJump online questionnaire; collection period not stated</t>
        </is>
      </c>
      <c r="L211" s="3" t="n"/>
      <c r="O211" s="3" t="inlineStr">
        <is>
          <t>Published</t>
        </is>
      </c>
      <c r="P211" s="12" t="n">
        <v>46301</v>
      </c>
      <c r="Q211" s="3" t="n"/>
      <c r="R211" s="3" t="inlineStr">
        <is>
          <t>§3.1–3.2, Appendix B; n=523 ICV users; data-security risk perception, responsibility attribution and coping behaviours were directly measured.</t>
        </is>
      </c>
      <c r="S211" s="3" t="inlineStr">
        <is>
          <t>Y</t>
        </is>
      </c>
      <c r="T211" s="3" t="inlineStr">
        <is>
          <t>N</t>
        </is>
      </c>
      <c r="U211" s="3" t="inlineStr">
        <is>
          <t>N</t>
        </is>
      </c>
    </row>
    <row r="212" ht="42.75" customHeight="1" s="18">
      <c r="A212" s="5" t="inlineStr">
        <is>
          <t>S2-0138</t>
        </is>
      </c>
      <c r="B212" s="5" t="inlineStr">
        <is>
          <t>A</t>
        </is>
      </c>
      <c r="C212" s="3" t="inlineStr">
        <is>
          <t>Zhou, Y.; Guo, H.; Tang, L.; Deng, Y.; Shi, H.</t>
        </is>
      </c>
      <c r="D212" s="6" t="n">
        <v>2024</v>
      </c>
      <c r="E212" s="3" t="inlineStr">
        <is>
          <t>Willingness to utilize autonomous vehicles following accidents: A fresh perspective from mixed-methods research</t>
        </is>
      </c>
      <c r="F212" s="5" t="inlineStr">
        <is>
          <t>Journal article</t>
        </is>
      </c>
      <c r="G212" s="10" t="inlineStr">
        <is>
          <t>FT</t>
        </is>
      </c>
      <c r="H212" s="3" t="inlineStr">
        <is>
          <t>INCLUDE</t>
        </is>
      </c>
      <c r="I212" s="3" t="n"/>
      <c r="J212" s="3" t="inlineStr">
        <is>
          <t>Mixed</t>
        </is>
      </c>
      <c r="K212" s="3" t="inlineStr">
        <is>
          <t>TikTok n=30,044 cleaned comments, 2–10 Aug 2023; incident-context survey n=315 valid; main questionnaire n=2,008 valid respondents, China, 10 Dec 2023</t>
        </is>
      </c>
      <c r="L212" s="3" t="n"/>
      <c r="O212" s="3" t="inlineStr">
        <is>
          <t>Published</t>
        </is>
      </c>
      <c r="P212" s="12" t="n">
        <v>46305</v>
      </c>
      <c r="Q212" s="3" t="n"/>
      <c r="R212" s="3" t="inlineStr">
        <is>
          <t>§3.1–3.2, Appendix A; TikTok LDA and n=2,008 survey measured privacy/data security; risk items named AI decision systems and vehicle sensors.</t>
        </is>
      </c>
      <c r="S212" s="3" t="inlineStr">
        <is>
          <t>Y</t>
        </is>
      </c>
      <c r="T212" s="3" t="inlineStr">
        <is>
          <t>N</t>
        </is>
      </c>
      <c r="U212" s="3" t="inlineStr">
        <is>
          <t>Y</t>
        </is>
      </c>
    </row>
    <row r="213" ht="28.5" customHeight="1" s="18">
      <c r="A213" s="5" t="inlineStr">
        <is>
          <t>S2-0294</t>
        </is>
      </c>
      <c r="B213" s="5" t="inlineStr">
        <is>
          <t>A</t>
        </is>
      </c>
      <c r="C213" s="3" t="inlineStr">
        <is>
          <t>Schuß, M.; Manger, C.; Löcken, A.; Riener, A.</t>
        </is>
      </c>
      <c r="D213" s="6" t="n">
        <v>2022</v>
      </c>
      <c r="E213" s="3" t="inlineStr">
        <is>
          <t>You'll Never Ride Alone: Insights into Women's Security Needs in Shared Automated Vehicles</t>
        </is>
      </c>
      <c r="F213" s="5" t="inlineStr">
        <is>
          <t>Conference paper</t>
        </is>
      </c>
      <c r="G213" s="10" t="inlineStr">
        <is>
          <t>FT</t>
        </is>
      </c>
      <c r="H213" s="3" t="inlineStr">
        <is>
          <t>INCLUDE</t>
        </is>
      </c>
      <c r="I213" s="3" t="n"/>
      <c r="J213" s="3" t="inlineStr">
        <is>
          <t>Interview/focus group</t>
        </is>
      </c>
      <c r="K213" s="3" t="inlineStr">
        <is>
          <t>n=21 women across three participatory workshops; German, Italian and Finnish participants; two Zoom workshops and one in-person workshop during COVID-19; exact collection date not stated</t>
        </is>
      </c>
      <c r="L213" s="3" t="n"/>
      <c r="O213" s="3" t="inlineStr">
        <is>
          <t>Published</t>
        </is>
      </c>
      <c r="P213" s="12" t="n">
        <v>46305</v>
      </c>
      <c r="Q213" s="3" t="n"/>
      <c r="R213" s="3" t="inlineStr">
        <is>
          <t>§3–4; three participatory workshops, n=21 women, identified SAV security/privacy needs involving booking apps, authentication, information displays, cameras and emergency controls.</t>
        </is>
      </c>
      <c r="S213" s="3" t="inlineStr">
        <is>
          <t>Y</t>
        </is>
      </c>
      <c r="T213" s="3" t="inlineStr">
        <is>
          <t>N</t>
        </is>
      </c>
      <c r="U213" s="3" t="inlineStr">
        <is>
          <t>Y</t>
        </is>
      </c>
    </row>
    <row r="214" ht="42.75" customHeight="1" s="18">
      <c r="A214" s="5" t="inlineStr">
        <is>
          <t>S2-0713</t>
        </is>
      </c>
      <c r="B214" s="5" t="inlineStr">
        <is>
          <t>B-i</t>
        </is>
      </c>
      <c r="C214" s="3" t="inlineStr">
        <is>
          <t>Liu, Q.; Wu, J.; Deng, R.</t>
        </is>
      </c>
      <c r="D214" s="6" t="n">
        <v>2026</v>
      </c>
      <c r="E214" s="3" t="inlineStr">
        <is>
          <t>A Generative AI Framework for Privacy-Aware Audience Perception Analysis: Leveraging Large Language Models for Comment Understanding and Content Profiling</t>
        </is>
      </c>
      <c r="F214" s="5" t="inlineStr">
        <is>
          <t>Conference paper</t>
        </is>
      </c>
      <c r="G214" s="10" t="inlineStr">
        <is>
          <t>FT</t>
        </is>
      </c>
      <c r="H214" s="3" t="inlineStr">
        <is>
          <t>EXCLUDE</t>
        </is>
      </c>
      <c r="I214" s="3" t="inlineStr">
        <is>
          <t>E2</t>
        </is>
      </c>
      <c r="J214" s="3" t="n"/>
      <c r="K214" s="3" t="n"/>
      <c r="L214" s="3" t="n"/>
      <c r="O214" s="3" t="inlineStr">
        <is>
          <t>Published</t>
        </is>
      </c>
      <c r="P214" s="12" t="n">
        <v>46301</v>
      </c>
      <c r="Q214" s="3" t="inlineStr">
        <is>
          <t>Bi-direct</t>
        </is>
      </c>
      <c r="R214" s="3" t="inlineStr">
        <is>
          <t>§IV.A–B, Table II; supervised 70/15/15 split is stated, but use of the same held-out test data for LLM arms is not established.</t>
        </is>
      </c>
      <c r="S214" s="3" t="n"/>
      <c r="T214" s="3" t="n"/>
      <c r="U214" s="3" t="n"/>
    </row>
    <row r="215" ht="57" customHeight="1" s="18">
      <c r="A215" s="5" t="inlineStr">
        <is>
          <t>S2-0392</t>
        </is>
      </c>
      <c r="B215" s="5" t="inlineStr">
        <is>
          <t>B-i</t>
        </is>
      </c>
      <c r="C215" s="3" t="inlineStr">
        <is>
          <t>Philipo, Adamu Gaston; Sarwatt, Doreen Sebastian; Ding, Jianguo; Daneshmand, Mahmoud; Ning, Huansheng</t>
        </is>
      </c>
      <c r="D215" s="6" t="n">
        <v>2024</v>
      </c>
      <c r="E215" s="3" t="inlineStr">
        <is>
          <t>Assessing Text Classification Methods for Cyberbullying Detection on Social Media Platforms</t>
        </is>
      </c>
      <c r="F215" s="5" t="inlineStr">
        <is>
          <t>Preprint (arXiv)</t>
        </is>
      </c>
      <c r="G215" s="10" t="inlineStr">
        <is>
          <t>FT</t>
        </is>
      </c>
      <c r="H215" s="3" t="inlineStr">
        <is>
          <t>EXCLUDE</t>
        </is>
      </c>
      <c r="I215" s="3" t="inlineStr">
        <is>
          <t>E2</t>
        </is>
      </c>
      <c r="J215" s="3" t="n"/>
      <c r="K215" s="3" t="n"/>
      <c r="L215" s="3" t="n"/>
      <c r="O215" s="3" t="inlineStr">
        <is>
          <t>Published</t>
        </is>
      </c>
      <c r="P215" s="12" t="n">
        <v>46303</v>
      </c>
      <c r="Q215" s="3" t="inlineStr">
        <is>
          <t>Bi-zeroshot</t>
        </is>
      </c>
      <c r="R215" s="3" t="inlineStr">
        <is>
          <t>§III, §IV-C; GPT-2 and the other experimental transformers were fine-tuned on labelled task data; no zero-shot/prompted arm.</t>
        </is>
      </c>
      <c r="S215" s="3" t="n"/>
      <c r="T215" s="3" t="n"/>
      <c r="U215" s="3" t="n"/>
    </row>
    <row r="216" ht="42.75" customHeight="1" s="18">
      <c r="A216" s="5" t="inlineStr">
        <is>
          <t>S2-1052</t>
        </is>
      </c>
      <c r="B216" s="5" t="inlineStr">
        <is>
          <t>B-i</t>
        </is>
      </c>
      <c r="C216" s="3" t="inlineStr">
        <is>
          <t>Gaim, F.; Song, H.; Lee, H.; Ko, C.; Hwang, E.J.; Park, J.C.</t>
        </is>
      </c>
      <c r="D216" s="6" t="n">
        <v>2025</v>
      </c>
      <c r="E216" s="3" t="inlineStr">
        <is>
          <t>A Multi-Task Benchmark for Abusive Language Detection in Low-Resource Settings</t>
        </is>
      </c>
      <c r="F216" s="5" t="inlineStr">
        <is>
          <t>Conference paper</t>
        </is>
      </c>
      <c r="G216" s="10" t="inlineStr">
        <is>
          <t>FT</t>
        </is>
      </c>
      <c r="H216" s="3" t="inlineStr">
        <is>
          <t>INCLUDE</t>
        </is>
      </c>
      <c r="I216" s="3" t="n"/>
      <c r="J216" s="3" t="inlineStr">
        <is>
          <t>ZS: GPT-4o / FT: TiRoBERTa-base</t>
        </is>
      </c>
      <c r="K216" s="3" t="inlineStr">
        <is>
          <t>YouTube comments; abusiveness detection; Tigrinya; n=900 test items</t>
        </is>
      </c>
      <c r="L216" s="3" t="inlineStr">
        <is>
          <t>Fine-tuned TiRoBERTa-base achieved 86.67 F1, outperforming zero-shot GPT-4o at 71.05 and the best few-shot LLM at 79.31.</t>
        </is>
      </c>
      <c r="M216" t="inlineStr">
        <is>
          <t>Direct same-test supervision-axis comparison on short user-generated comments; supports comparing fine-tuning with prompting in a low-resource-language setting.</t>
        </is>
      </c>
      <c r="O216" s="3" t="inlineStr">
        <is>
          <t>Preprint</t>
        </is>
      </c>
      <c r="P216" s="12" t="n">
        <v>46303</v>
      </c>
      <c r="Q216" s="3" t="n"/>
      <c r="R216" s="3" t="inlineStr">
        <is>
          <t>§3.3, Table 2; prompted GPT-4o and fine-tuned TiRoBERTa-base were evaluated on the same 900-comment Tigrinya test set.</t>
        </is>
      </c>
      <c r="S216" s="3" t="inlineStr">
        <is>
          <t>FT</t>
        </is>
      </c>
      <c r="T216" s="3" t="inlineStr">
        <is>
          <t>N</t>
        </is>
      </c>
      <c r="U216" s="3" t="inlineStr">
        <is>
          <t>N</t>
        </is>
      </c>
    </row>
    <row r="217" ht="42.75" customHeight="1" s="18">
      <c r="A217" s="5" t="inlineStr">
        <is>
          <t>S2-0305</t>
        </is>
      </c>
      <c r="B217" s="5" t="inlineStr">
        <is>
          <t>B-i</t>
        </is>
      </c>
      <c r="C217" s="3" t="inlineStr">
        <is>
          <t>Zafeiropoulos, Michail; Antonakaki, Despoina; Ioannidis, Sotiris</t>
        </is>
      </c>
      <c r="D217" s="6" t="n">
        <v>2026</v>
      </c>
      <c r="E217" s="3" t="inlineStr">
        <is>
          <t>A Social Media Analysis of Discourse on the Israel--Palestine Conflict on Telegram</t>
        </is>
      </c>
      <c r="F217" s="5" t="inlineStr">
        <is>
          <t>Preprint (arXiv)</t>
        </is>
      </c>
      <c r="G217" s="10" t="inlineStr">
        <is>
          <t>FT</t>
        </is>
      </c>
      <c r="H217" s="3" t="inlineStr">
        <is>
          <t>INCLUDE</t>
        </is>
      </c>
      <c r="I217" s="3" t="n"/>
      <c r="J217" s="3" t="inlineStr">
        <is>
          <t>ZS: DeBERTa / FT: BERTweet</t>
        </is>
      </c>
      <c r="K217" s="3" t="inlineStr">
        <is>
          <t>Telegram messages; stance classification; English; n=736 annotated messages</t>
        </is>
      </c>
      <c r="L217" s="3" t="inlineStr">
        <is>
          <t>Fine-tuned BERTweet achieved 0.721 macro-F1 versus 0.643 for zero-shot DeBERTa on the same labelled messages.</t>
        </is>
      </c>
      <c r="M217" t="inlineStr">
        <is>
          <t>Direct same-data comparison shows substantial benefit from supervised in-domain fine-tuning over zero-shot classification on short social-media text.</t>
        </is>
      </c>
      <c r="O217" s="3" t="inlineStr">
        <is>
          <t>Preprint</t>
        </is>
      </c>
      <c r="P217" s="12" t="n">
        <v>46303</v>
      </c>
      <c r="Q217" s="3" t="n"/>
      <c r="R217" s="3" t="inlineStr">
        <is>
          <t>§5.4–5.5, §6.2; zero-shot DeBERTa and fine-tuned BERTweet were evaluated on the same 736 annotated Telegram messages.</t>
        </is>
      </c>
      <c r="S217" s="3" t="inlineStr">
        <is>
          <t>FT</t>
        </is>
      </c>
      <c r="T217" s="3" t="inlineStr">
        <is>
          <t>Y</t>
        </is>
      </c>
      <c r="U217" s="3" t="inlineStr">
        <is>
          <t>N</t>
        </is>
      </c>
    </row>
    <row r="218" ht="42.75" customHeight="1" s="18">
      <c r="A218" s="5" t="inlineStr">
        <is>
          <t>S2-0688</t>
        </is>
      </c>
      <c r="B218" s="5" t="inlineStr">
        <is>
          <t>B-i</t>
        </is>
      </c>
      <c r="C218" s="3" t="inlineStr">
        <is>
          <t>Sherif, A.; Hussein, R.; Sabty, C.</t>
        </is>
      </c>
      <c r="D218" s="6" t="n">
        <v>2027</v>
      </c>
      <c r="E218" s="3" t="inlineStr">
        <is>
          <t>Adapting GPT for Egyptian Arabic-English Code-Switched Sentiment Analysis Through Prompting, Retrieval, and Sentiment-Guided Fine-Tuning</t>
        </is>
      </c>
      <c r="F218" s="5" t="inlineStr">
        <is>
          <t>Conference paper</t>
        </is>
      </c>
      <c r="G218" s="10" t="inlineStr">
        <is>
          <t>FT</t>
        </is>
      </c>
      <c r="H218" s="3" t="inlineStr">
        <is>
          <t>INCLUDE</t>
        </is>
      </c>
      <c r="I218" s="3" t="n"/>
      <c r="J218" s="3" t="inlineStr">
        <is>
          <t>ZS: GPT-4o / FT: GPT-4o-mini</t>
        </is>
      </c>
      <c r="K218" s="3" t="inlineStr">
        <is>
          <t>YouTube comments; three-class sentiment classification; Egyptian Arabic-English code-switched; official EESA test set</t>
        </is>
      </c>
      <c r="L218" s="3" t="inlineStr">
        <is>
          <t>Fine-tuned GPT-4o-mini with sentiment hints achieved 95.5% F1 versus 90.8% for the best prompt-only GPT-4o configuration.</t>
        </is>
      </c>
      <c r="M218" t="inlineStr">
        <is>
          <t>Direct same-test comparison shows fine-tuning outperforming structured prompting on short code-switched user-generated text, while reporting the additional training-time burden.</t>
        </is>
      </c>
      <c r="O218" s="3" t="inlineStr">
        <is>
          <t>Published</t>
        </is>
      </c>
      <c r="P218" s="12" t="n">
        <v>46303</v>
      </c>
      <c r="Q218" s="3" t="n"/>
      <c r="R218" s="3" t="inlineStr">
        <is>
          <t>§3, §5, Tables 1 and 6; prompted and fine-tuned GPT models were evaluated on the same unchanged EESA test split.</t>
        </is>
      </c>
      <c r="S218" s="3" t="inlineStr">
        <is>
          <t>FT</t>
        </is>
      </c>
      <c r="T218" s="3" t="inlineStr">
        <is>
          <t>Y</t>
        </is>
      </c>
      <c r="U218" s="3" t="inlineStr">
        <is>
          <t>N</t>
        </is>
      </c>
    </row>
    <row r="219" ht="57" customHeight="1" s="18">
      <c r="A219" s="5" t="inlineStr">
        <is>
          <t>S2-0388</t>
        </is>
      </c>
      <c r="B219" s="5" t="inlineStr">
        <is>
          <t>B-i</t>
        </is>
      </c>
      <c r="C219" s="3" t="inlineStr">
        <is>
          <t>Allaham, Mowafak; Lokmanoglu, Ayse D.; Hart, P. Sol; Nisbet, Erik C.</t>
        </is>
      </c>
      <c r="D219" s="6" t="n">
        <v>2025</v>
      </c>
      <c r="E219" s="3" t="inlineStr">
        <is>
          <t>Enhancing LLMs for Governance with Human Oversight: Evaluating and Aligning LLMs on Expert Classification of Climate Misinformation for Detecting False or Misleading Claims about Climate Change</t>
        </is>
      </c>
      <c r="F219" s="5" t="inlineStr">
        <is>
          <t>Preprint (arXiv)</t>
        </is>
      </c>
      <c r="G219" s="10" t="inlineStr">
        <is>
          <t>FT</t>
        </is>
      </c>
      <c r="H219" s="3" t="inlineStr">
        <is>
          <t>EXCLUDE</t>
        </is>
      </c>
      <c r="I219" s="3" t="inlineStr">
        <is>
          <t>E2</t>
        </is>
      </c>
      <c r="J219" s="3" t="n"/>
      <c r="K219" s="3" t="n"/>
      <c r="L219" s="3" t="n"/>
      <c r="O219" s="3" t="inlineStr">
        <is>
          <t>Preprint</t>
        </is>
      </c>
      <c r="P219" s="12" t="n">
        <v>46303</v>
      </c>
      <c r="Q219" s="3" t="inlineStr">
        <is>
          <t>Bi-text</t>
        </is>
      </c>
      <c r="R219" s="3" t="inlineStr">
        <is>
          <t>§3.1, §4.1; CARDS evaluates paragraphs from think-tank/blog articles, not qualifying short user-generated text.</t>
        </is>
      </c>
      <c r="S219" s="3" t="n"/>
      <c r="T219" s="3" t="n"/>
      <c r="U219" s="3" t="n"/>
    </row>
    <row r="220" ht="28.5" customHeight="1" s="18">
      <c r="A220" s="5" t="inlineStr">
        <is>
          <t>S2-1085</t>
        </is>
      </c>
      <c r="B220" s="5" t="inlineStr">
        <is>
          <t>B-i</t>
        </is>
      </c>
      <c r="C220" s="3" t="inlineStr">
        <is>
          <t>Diamantini, C.; Mircoli, A.; Potena, D.; Vagnoni, S.</t>
        </is>
      </c>
      <c r="D220" s="6" t="n">
        <v>2023</v>
      </c>
      <c r="E220" s="3" t="inlineStr">
        <is>
          <t>An Experimental Comparison of Large Language Models for Emotion Recognition in Italian Tweets</t>
        </is>
      </c>
      <c r="F220" s="5" t="inlineStr">
        <is>
          <t>Conference paper</t>
        </is>
      </c>
      <c r="G220" s="10" t="inlineStr">
        <is>
          <t>FT</t>
        </is>
      </c>
      <c r="H220" s="3" t="inlineStr">
        <is>
          <t>INCLUDE</t>
        </is>
      </c>
      <c r="I220" s="3" t="n"/>
      <c r="J220" s="3" t="inlineStr">
        <is>
          <t>ZS: GPT-3.5 / FT: GPT-3</t>
        </is>
      </c>
      <c r="K220" s="3" t="inlineStr">
        <is>
          <t>Twitter/TwIT; six-class emotion recognition; Italian; n=619 test items</t>
        </is>
      </c>
      <c r="L220" s="3" t="inlineStr">
        <is>
          <t>Fine-tuned GPT-3 achieved F1=0.90 versus 0.48 for few-shot prompted GPT-3.5 on Italian tweet emotion recognition.</t>
        </is>
      </c>
      <c r="M220" t="inlineStr">
        <is>
          <t>Direct same-dataset comparison shows a large fine-tuning advantage over prompting on short user-generated text.</t>
        </is>
      </c>
      <c r="O220" s="3" t="inlineStr">
        <is>
          <t>Published</t>
        </is>
      </c>
      <c r="P220" s="12" t="n">
        <v>46303</v>
      </c>
      <c r="Q220" s="3" t="n"/>
      <c r="R220" s="3" t="inlineStr">
        <is>
          <t>§4.1–4.2, Table 2; fine-tuned GPT-3 and few-shot GPT-3.5 were evaluated on the same TwIT emotion-classification test set.</t>
        </is>
      </c>
      <c r="S220" s="3" t="inlineStr">
        <is>
          <t>FT</t>
        </is>
      </c>
      <c r="T220" s="3" t="inlineStr">
        <is>
          <t>Y</t>
        </is>
      </c>
      <c r="U220" s="3" t="inlineStr">
        <is>
          <t>N</t>
        </is>
      </c>
    </row>
    <row r="221" ht="57" customHeight="1" s="18">
      <c r="A221" s="5" t="inlineStr">
        <is>
          <t>S2-0682</t>
        </is>
      </c>
      <c r="B221" s="5" t="inlineStr">
        <is>
          <t>B-i</t>
        </is>
      </c>
      <c r="C221" s="3" t="inlineStr">
        <is>
          <t>Limseesawan, K.; Netisopakul, P.; Chotipant, S.; Voravuthikunchai, W.; Sirivorachodphokin, T.</t>
        </is>
      </c>
      <c r="D221" s="6" t="n">
        <v>2026</v>
      </c>
      <c r="E221" s="3" t="inlineStr">
        <is>
          <t>Application of Large Language Models for Aspect-Based Sentiment Analysis on Social Media Data: A Case Study of the Thai Telecommunications Industry</t>
        </is>
      </c>
      <c r="F221" s="5" t="inlineStr">
        <is>
          <t>Conference paper</t>
        </is>
      </c>
      <c r="G221" s="10" t="inlineStr">
        <is>
          <t>FT</t>
        </is>
      </c>
      <c r="H221" s="3" t="inlineStr">
        <is>
          <t>INCLUDE</t>
        </is>
      </c>
      <c r="I221" s="3" t="n"/>
      <c r="J221" s="3" t="inlineStr">
        <is>
          <t>ZS: Gemini-2.5-Flash-Lite / FT: Qwen2.5-1.5B-Instruct</t>
        </is>
      </c>
      <c r="K221" s="3" t="inlineStr">
        <is>
          <t>Pantip.com/YouTube; ABSA classification; Thai; n=3,213 evaluated customer records</t>
        </is>
      </c>
      <c r="L221" s="3" t="inlineStr">
        <is>
          <t>Fine-tuned Qwen2.5 exceeded 87% average accuracy in under four seconds per text and dominated sentiment F1, while prompted models led some dimensions.</t>
        </is>
      </c>
      <c r="M221" t="inlineStr">
        <is>
          <t>Direct same-test comparison shows domain-specific fine-tuning can outperform or match much larger prompted models on short Thai social-media text.</t>
        </is>
      </c>
      <c r="O221" s="3" t="inlineStr">
        <is>
          <t>Published</t>
        </is>
      </c>
      <c r="P221" s="12" t="n">
        <v>46303</v>
      </c>
      <c r="Q221" s="3" t="n"/>
      <c r="R221" s="3" t="inlineStr">
        <is>
          <t>§III–IV, Tables I–III; zero-shot prompted and QLoRA-supervised models were evaluated on the same 3,508-text test set.</t>
        </is>
      </c>
      <c r="S221" s="3" t="inlineStr">
        <is>
          <t>FT</t>
        </is>
      </c>
      <c r="T221" s="3" t="inlineStr">
        <is>
          <t>Y</t>
        </is>
      </c>
      <c r="U221" s="3" t="inlineStr">
        <is>
          <t>N</t>
        </is>
      </c>
    </row>
    <row r="222" ht="42.75" customHeight="1" s="18">
      <c r="A222" s="5" t="inlineStr">
        <is>
          <t>S2-0396</t>
        </is>
      </c>
      <c r="B222" s="5" t="inlineStr">
        <is>
          <t>B-i</t>
        </is>
      </c>
      <c r="C222" s="3" t="inlineStr">
        <is>
          <t>Qian, Shenbin; Orăsan, Constantin; Kanojia, Diptesh; Carmo, Félix do</t>
        </is>
      </c>
      <c r="D222" s="6" t="n">
        <v>2024</v>
      </c>
      <c r="E222" s="3" t="inlineStr">
        <is>
          <t>Are Large Language Models State-of-the-art Quality Estimators for Machine Translation of User-generated Content?</t>
        </is>
      </c>
      <c r="F222" s="5" t="inlineStr">
        <is>
          <t>Preprint (arXiv)</t>
        </is>
      </c>
      <c r="G222" s="10" t="inlineStr">
        <is>
          <t>FT</t>
        </is>
      </c>
      <c r="H222" s="3" t="inlineStr">
        <is>
          <t>EXCLUDE</t>
        </is>
      </c>
      <c r="I222" s="3" t="inlineStr">
        <is>
          <t>E2</t>
        </is>
      </c>
      <c r="J222" s="3" t="n"/>
      <c r="K222" s="3" t="n"/>
      <c r="L222" s="3" t="n"/>
      <c r="O222" s="3" t="inlineStr">
        <is>
          <t>Preprint</t>
        </is>
      </c>
      <c r="P222" s="12" t="n">
        <v>46303</v>
      </c>
      <c r="Q222" s="3" t="inlineStr">
        <is>
          <t>Bi-task</t>
        </is>
      </c>
      <c r="R222" s="3" t="inlineStr">
        <is>
          <t>§4.4, Tables 2–4; task predicts continuous MQM quality scores evaluated by correlation, not class labels.</t>
        </is>
      </c>
      <c r="S222" s="3" t="n"/>
      <c r="T222" s="3" t="n"/>
      <c r="U222" s="3" t="n"/>
    </row>
    <row r="223" ht="28.5" customHeight="1" s="18">
      <c r="A223" s="5" t="inlineStr">
        <is>
          <t>S2-0421</t>
        </is>
      </c>
      <c r="B223" s="5" t="inlineStr">
        <is>
          <t>B-i</t>
        </is>
      </c>
      <c r="C223" s="3" t="inlineStr">
        <is>
          <t>Singh, Smriti; Caragea, Cornelia; Li, Junyi Jessy</t>
        </is>
      </c>
      <c r="D223" s="6" t="n">
        <v>2024</v>
      </c>
      <c r="E223" s="3" t="inlineStr">
        <is>
          <t>Language Models (Mostly) Do Not Consider Emotion Triggers When Predicting Emotion</t>
        </is>
      </c>
      <c r="F223" s="5" t="inlineStr">
        <is>
          <t>Preprint (arXiv)</t>
        </is>
      </c>
      <c r="G223" s="10" t="inlineStr">
        <is>
          <t>FT</t>
        </is>
      </c>
      <c r="H223" s="3" t="inlineStr">
        <is>
          <t>INCLUDE</t>
        </is>
      </c>
      <c r="I223" s="3" t="n"/>
      <c r="J223" s="3" t="inlineStr">
        <is>
          <t>ZS: GPT-4 / FT: EmoBERTa</t>
        </is>
      </c>
      <c r="K223" s="3" t="inlineStr">
        <is>
          <t>Twitter/Reddit/online cancer network; emotion classification; English; n=900 EmoTrigger samples</t>
        </is>
      </c>
      <c r="L223" s="3" t="inlineStr">
        <is>
          <t>Few-shot GPT-4 achieved macro-F1 around 0.91–0.92 across datasets, substantially above fine-tuned EmoBERTa at 0.34–0.48.</t>
        </is>
      </c>
      <c r="M223" t="inlineStr">
        <is>
          <t>Direct prompted-versus-fine-tuned comparison on short social-media text shows strong prompted-LLM performance and reports substantial compute use.</t>
        </is>
      </c>
      <c r="O223" s="3" t="inlineStr">
        <is>
          <t>Preprint</t>
        </is>
      </c>
      <c r="P223" s="12" t="n">
        <v>46303</v>
      </c>
      <c r="Q223" s="3" t="n"/>
      <c r="R223" s="3" t="inlineStr">
        <is>
          <t>§3–4, Table 2; few-shot GPT-4 and fine-tuned EmoBERTa are compared across the same three EmoTrigger source datasets. D5 note, 14 Oct 2026: version read arXiv 2311.09602v2 (25 Mar 2024); published version cited in the report: Singh, Caragea and Li, NAACL 2024 short papers, pp. 603-614, doi 10.18653/v1/2024.naacl-short.51.</t>
        </is>
      </c>
      <c r="S223" s="3" t="inlineStr">
        <is>
          <t>ZS</t>
        </is>
      </c>
      <c r="T223" s="3" t="inlineStr">
        <is>
          <t>Y</t>
        </is>
      </c>
      <c r="U223" s="3" t="inlineStr">
        <is>
          <t>N</t>
        </is>
      </c>
    </row>
    <row r="224" ht="42.75" customHeight="1" s="18">
      <c r="A224" s="5" t="inlineStr">
        <is>
          <t>S2-0402</t>
        </is>
      </c>
      <c r="B224" s="5" t="inlineStr">
        <is>
          <t>B-i</t>
        </is>
      </c>
      <c r="C224" s="3" t="inlineStr">
        <is>
          <t>Plisiecki, Hubert; Koc, Piotr; Flakus, Maria; Pokropek, Artur</t>
        </is>
      </c>
      <c r="D224" s="6" t="n">
        <v>2024</v>
      </c>
      <c r="E224" s="3" t="inlineStr">
        <is>
          <t>Predicting Emotion Intensity in Polish Political Texts: Comparing Supervised Models and Large Language Models in a Resource-Poor Language</t>
        </is>
      </c>
      <c r="F224" s="5" t="inlineStr">
        <is>
          <t>Preprint (arXiv)</t>
        </is>
      </c>
      <c r="G224" s="10" t="inlineStr">
        <is>
          <t>FT</t>
        </is>
      </c>
      <c r="H224" s="3" t="inlineStr">
        <is>
          <t>EXCLUDE</t>
        </is>
      </c>
      <c r="I224" s="3" t="inlineStr">
        <is>
          <t>E2</t>
        </is>
      </c>
      <c r="J224" s="3" t="n"/>
      <c r="K224" s="3" t="n"/>
      <c r="L224" s="3" t="n"/>
      <c r="O224" s="3" t="inlineStr">
        <is>
          <t>Preprint</t>
        </is>
      </c>
      <c r="P224" s="12" t="n">
        <v>46303</v>
      </c>
      <c r="Q224" s="3" t="inlineStr">
        <is>
          <t>Bi-task</t>
        </is>
      </c>
      <c r="R224" s="3" t="inlineStr">
        <is>
          <t>Abstract, §1.1; outcome is continuous emotion-intensity prediction rather than a classification task.</t>
        </is>
      </c>
      <c r="S224" s="3" t="n"/>
      <c r="T224" s="3" t="n"/>
      <c r="U224" s="3" t="n"/>
    </row>
    <row r="225" ht="28.5" customHeight="1" s="18">
      <c r="A225" s="5" t="inlineStr">
        <is>
          <t>S2-0003</t>
        </is>
      </c>
      <c r="B225" s="5" t="inlineStr">
        <is>
          <t>A</t>
        </is>
      </c>
      <c r="C225" s="3" t="inlineStr">
        <is>
          <t>O. Alharasees; H. A. Al Hasanat; D. Alothman</t>
        </is>
      </c>
      <c r="D225" s="6" t="n">
        <v>2024</v>
      </c>
      <c r="E225" s="3" t="inlineStr">
        <is>
          <t>Public Perception of Autonomous and Shared Autonomous Vehicles: Case Study of Amman</t>
        </is>
      </c>
      <c r="F225" s="5" t="inlineStr">
        <is>
          <t>Conference paper</t>
        </is>
      </c>
      <c r="G225" s="10" t="inlineStr">
        <is>
          <t>FT</t>
        </is>
      </c>
      <c r="H225" s="3" t="inlineStr">
        <is>
          <t>INCLUDE</t>
        </is>
      </c>
      <c r="I225" s="3" t="n"/>
      <c r="J225" s="3" t="inlineStr">
        <is>
          <t>Survey</t>
        </is>
      </c>
      <c r="K225" s="3" t="inlineStr">
        <is>
          <t>n=130 respondents from the local community in Amman, Jordan; anonymous online survey; collection period not stated</t>
        </is>
      </c>
      <c r="L225" s="3" t="inlineStr">
        <is>
          <t>The survey found safety concerns in 50.72% of respondents, technology-failure concerns in 9.42%, and privacy concerns in 8.70%.</t>
        </is>
      </c>
      <c r="M225" t="inlineStr">
        <is>
          <t>Provides direct empirical evidence on AV/SAV public perception and adoption concerns, including privacy and cybersecurity concerns in Amman.</t>
        </is>
      </c>
      <c r="O225" s="12" t="inlineStr">
        <is>
          <t>Published</t>
        </is>
      </c>
      <c r="P225" s="12" t="n">
        <v>46305</v>
      </c>
      <c r="Q225" s="3" t="n"/>
      <c r="R225" s="3" t="inlineStr">
        <is>
          <t>§II–III; n=130 anonymous online survey; participants were asked about cybersecurity threats and system malfunctions, and 8.70% reported privacy as a concern.</t>
        </is>
      </c>
      <c r="S225" s="3" t="inlineStr">
        <is>
          <t>Y</t>
        </is>
      </c>
      <c r="T225" s="3" t="inlineStr">
        <is>
          <t>N</t>
        </is>
      </c>
      <c r="U225" s="3" t="inlineStr">
        <is>
          <t>N</t>
        </is>
      </c>
    </row>
    <row r="226" ht="28.5" customHeight="1" s="18">
      <c r="A226" s="5" t="inlineStr">
        <is>
          <t>S2-0377</t>
        </is>
      </c>
      <c r="B226" s="5" t="inlineStr">
        <is>
          <t>B-i</t>
        </is>
      </c>
      <c r="C226" s="3" t="inlineStr">
        <is>
          <t>Gole, Montgomery; Miranskyy, Andriy</t>
        </is>
      </c>
      <c r="D226" s="6" t="n">
        <v>2025</v>
      </c>
      <c r="E226" s="3" t="inlineStr">
        <is>
          <t>Assessing how hyperparameters impact Large Language Models' sarcasm detection performance</t>
        </is>
      </c>
      <c r="F226" s="5" t="inlineStr">
        <is>
          <t>Preprint (arXiv)</t>
        </is>
      </c>
      <c r="G226" s="10" t="inlineStr">
        <is>
          <t>FT</t>
        </is>
      </c>
      <c r="H226" s="3" t="inlineStr">
        <is>
          <t>INCLUDE</t>
        </is>
      </c>
      <c r="I226" s="3" t="n"/>
      <c r="J226" s="3" t="inlineStr">
        <is>
          <t>ZS: GPT-4-0613 / FT: Llama-2-13b</t>
        </is>
      </c>
      <c r="K226" s="3" t="inlineStr">
        <is>
          <t>Reddit/SARC2.0 pol-bal; binary sarcasm classification; English; n=3,406 test observations</t>
        </is>
      </c>
      <c r="L226" s="3" t="inlineStr">
        <is>
          <t>Fine-tuned Llama-2-13b achieved about 0.83 accuracy/F1 versus 0.70 accuracy and 0.75 F1 for the strongest zero-shot GPT-4 model.</t>
        </is>
      </c>
      <c r="M226" t="inlineStr">
        <is>
          <t>Direct same-test comparison shows supervised fine-tuning outperforming zero-shot LLM classification on Reddit user-generated text.</t>
        </is>
      </c>
      <c r="O226" s="3" t="inlineStr">
        <is>
          <t>Preprint</t>
        </is>
      </c>
      <c r="P226" s="12" t="n">
        <v>46303</v>
      </c>
      <c r="Q226" s="3" t="n"/>
      <c r="R226" s="3" t="inlineStr">
        <is>
          <t>§4.2–4.4, Table 1; zero-shot and fine-tuned LLMs were evaluated on the same 3,406-observation SARC2.0 pol-bal test set.</t>
        </is>
      </c>
      <c r="S226" s="3" t="inlineStr">
        <is>
          <t>FT</t>
        </is>
      </c>
      <c r="T226" s="3" t="inlineStr">
        <is>
          <t>N</t>
        </is>
      </c>
      <c r="U226" s="3" t="inlineStr">
        <is>
          <t>N</t>
        </is>
      </c>
    </row>
    <row r="227" ht="85.5" customHeight="1" s="18">
      <c r="A227" s="5" t="inlineStr">
        <is>
          <t>S2-0314</t>
        </is>
      </c>
      <c r="B227" s="5" t="inlineStr">
        <is>
          <t>B-i</t>
        </is>
      </c>
      <c r="C227" s="3" t="inlineStr">
        <is>
          <t>Vangapandu, Parmitha; Mokkapati, Sai Ganesh; Narkedimilli, Sathwik; Sathvik, MSVPJ; Liu, Timothy; See, Simon; Eichstaedt, Johannes C.</t>
        </is>
      </c>
      <c r="D227" s="6" t="n">
        <v>2026</v>
      </c>
      <c r="E227" s="3" t="inlineStr">
        <is>
          <t>RSPC: A Benchmark for Modeling Stress and Psychiatric Conditions in Digitally Mediated Relationships using Psychiatrist Annotations</t>
        </is>
      </c>
      <c r="F227" s="5" t="inlineStr">
        <is>
          <t>Preprint (arXiv)</t>
        </is>
      </c>
      <c r="G227" s="10" t="inlineStr">
        <is>
          <t>FT</t>
        </is>
      </c>
      <c r="H227" s="3" t="inlineStr">
        <is>
          <t>INCLUDE</t>
        </is>
      </c>
      <c r="I227" s="3" t="n"/>
      <c r="J227" s="3" t="inlineStr">
        <is>
          <t>ZS: Claude-3-Haiku / FT: BigBird-RoBERTa</t>
        </is>
      </c>
      <c r="K227" s="3" t="inlineStr">
        <is>
          <t>Reddit posts; psychiatric/relational/temporal classification; English; n=1,799 corpus, 20% test split</t>
        </is>
      </c>
      <c r="L227" s="3" t="inlineStr">
        <is>
          <t>Prompted LLMs lead Tasks 1–2, while fine-tuned transformers are stronger on temporal-phase classification, giving mixed performance across the benchmark.</t>
        </is>
      </c>
      <c r="M227" t="inlineStr">
        <is>
          <t>Direct same-benchmark comparison shows task-dependent differences between prompted LLMs and supervised fine-tuned transformers on Reddit posts.</t>
        </is>
      </c>
      <c r="O227" s="3" t="inlineStr">
        <is>
          <t>Preprint</t>
        </is>
      </c>
      <c r="P227" s="12" t="n">
        <v>46303</v>
      </c>
      <c r="Q227" s="3" t="n"/>
      <c r="R227" s="3" t="inlineStr">
        <is>
          <t>§4–5, Tables 1–3; prompted LLMs and fine-tuned transformers were evaluated on the same stratified RSPC test partition across three classification tasks.</t>
        </is>
      </c>
      <c r="S227" s="3" t="inlineStr">
        <is>
          <t>Mixed</t>
        </is>
      </c>
      <c r="T227" s="3" t="inlineStr">
        <is>
          <t>Y</t>
        </is>
      </c>
      <c r="U227" s="3" t="inlineStr">
        <is>
          <t>N</t>
        </is>
      </c>
    </row>
    <row r="228" ht="42.75" customHeight="1" s="18">
      <c r="A228" s="5" t="inlineStr">
        <is>
          <t>S2-0822</t>
        </is>
      </c>
      <c r="B228" s="5" t="inlineStr">
        <is>
          <t>B-i</t>
        </is>
      </c>
      <c r="C228" s="3" t="inlineStr">
        <is>
          <t>Hannani, M.; Soudi, A.; Van Laerhoven, K.</t>
        </is>
      </c>
      <c r="D228" s="6" t="n">
        <v>2024</v>
      </c>
      <c r="E228" s="3" t="inlineStr">
        <is>
          <t>Assessing the Performance of ChatGPT-4, Fine-tuned BERT and Traditional ML Models on Moroccan Arabic Sentiment Analysis</t>
        </is>
      </c>
      <c r="F228" s="5" t="inlineStr">
        <is>
          <t>Conference paper</t>
        </is>
      </c>
      <c r="G228" s="10" t="inlineStr">
        <is>
          <t>FT</t>
        </is>
      </c>
      <c r="H228" s="3" t="inlineStr">
        <is>
          <t>INCLUDE</t>
        </is>
      </c>
      <c r="I228" s="3" t="n"/>
      <c r="J228" s="3" t="inlineStr">
        <is>
          <t>ZS: GPT-4-turbo / FT: DarijaBERT</t>
        </is>
      </c>
      <c r="K228" s="3" t="inlineStr">
        <is>
          <t>X/Twitter tweets and YouTube comments; sentiment classification; Moroccan Arabic; MAC20% and MYC20% test splits</t>
        </is>
      </c>
      <c r="L228" s="3" t="inlineStr">
        <is>
          <t>Fine-tuned DarijaBERT substantially outperformed zero-shot GPT-4, reaching F1=0.877 on MAC20% and 0.856 on MYC20%.</t>
        </is>
      </c>
      <c r="M228" t="inlineStr">
        <is>
          <t>Direct same-test comparison shows strong gains from supervised dialect-specific fine-tuning over zero-shot GPT-4 on Moroccan Arabic social-media text.</t>
        </is>
      </c>
      <c r="O228" s="3" t="inlineStr">
        <is>
          <t>Published</t>
        </is>
      </c>
      <c r="P228" s="12" t="n">
        <v>46303</v>
      </c>
      <c r="Q228" s="3" t="n"/>
      <c r="R228" s="3" t="inlineStr">
        <is>
          <t>§3–4, Tables 8, 10, 12; zero-shot GPT-4 and fine-tuned BERT models were evaluated on the same MAC20% and MYC20% test splits.</t>
        </is>
      </c>
      <c r="S228" s="3" t="inlineStr">
        <is>
          <t>FT</t>
        </is>
      </c>
      <c r="T228" s="3" t="inlineStr">
        <is>
          <t>N</t>
        </is>
      </c>
      <c r="U228" s="3" t="inlineStr">
        <is>
          <t>N</t>
        </is>
      </c>
    </row>
    <row r="229" ht="57" customHeight="1" s="18">
      <c r="A229" s="5" t="inlineStr">
        <is>
          <t>S2-1094</t>
        </is>
      </c>
      <c r="B229" s="5" t="inlineStr">
        <is>
          <t>B-i</t>
        </is>
      </c>
      <c r="C229" s="3" t="inlineStr">
        <is>
          <t>Heinrich, P.; Blombach, A.; Dang, B.M.D.; Zilio, L.; Havenstein, L.; Dykes, N.; Evert, S.; Schäfer, F.</t>
        </is>
      </c>
      <c r="D229" s="6" t="n">
        <v>2024</v>
      </c>
      <c r="E229" s="3" t="inlineStr">
        <is>
          <t>Automatic Identification of COVID-19-related Narratives in German Telegram Channels and Chats</t>
        </is>
      </c>
      <c r="F229" s="5" t="inlineStr">
        <is>
          <t>Conference paper</t>
        </is>
      </c>
      <c r="G229" s="10" t="inlineStr">
        <is>
          <t>FT</t>
        </is>
      </c>
      <c r="H229" s="3" t="inlineStr">
        <is>
          <t>INCLUDE</t>
        </is>
      </c>
      <c r="I229" s="3" t="n"/>
      <c r="J229" s="3" t="inlineStr">
        <is>
          <t>ZS: sentence similarity / FT: SetFit</t>
        </is>
      </c>
      <c r="K229" s="3" t="inlineStr">
        <is>
          <t>Telegram posts; multi-label conspiracy-narrative classification; German; n=1,099 corpus, 25% held-out test split</t>
        </is>
      </c>
      <c r="L229" s="3" t="inlineStr">
        <is>
          <t>Zero-shot sentence similarity achieved the highest ROC-AUC (0.86), while optimised SetFit achieved higher optimal F1 than the zero-shot classifiers.</t>
        </is>
      </c>
      <c r="M229" t="inlineStr">
        <is>
          <t>Direct same-test comparison shows that zero-shot methods can excel on ranking performance while supervised fine-tuning retains an advantage on thresholded F1.</t>
        </is>
      </c>
      <c r="O229" s="3" t="inlineStr">
        <is>
          <t>Published</t>
        </is>
      </c>
      <c r="P229" s="12" t="n">
        <v>46303</v>
      </c>
      <c r="Q229" s="3" t="n"/>
      <c r="R229" s="3" t="inlineStr">
        <is>
          <t>§3–4, Table 3; trained and zero-shot approaches use the same held-out test set; performance advantage depends on ROC-AUC versus optimal F1.</t>
        </is>
      </c>
      <c r="S229" s="3" t="inlineStr">
        <is>
          <t>Mixed</t>
        </is>
      </c>
      <c r="T229" s="3" t="inlineStr">
        <is>
          <t>Y</t>
        </is>
      </c>
      <c r="U229" s="3" t="inlineStr">
        <is>
          <t>N</t>
        </is>
      </c>
    </row>
    <row r="230" ht="57" customHeight="1" s="18">
      <c r="A230" s="5" t="inlineStr">
        <is>
          <t>S2-0394</t>
        </is>
      </c>
      <c r="B230" s="5" t="inlineStr">
        <is>
          <t>B-i</t>
        </is>
      </c>
      <c r="C230" s="3" t="inlineStr">
        <is>
          <t>Antypas, Dimosthenis; Sen, Indira; Perez-Almendros, Carla; Camacho-Collados, Jose; Barbieri, Francesco</t>
        </is>
      </c>
      <c r="D230" s="6" t="n">
        <v>2025</v>
      </c>
      <c r="E230" s="3" t="inlineStr">
        <is>
          <t>Sensitive Content Classification in Social Media: A Holistic Resource and Evaluation</t>
        </is>
      </c>
      <c r="F230" s="5" t="inlineStr">
        <is>
          <t>Preprint (arXiv)</t>
        </is>
      </c>
      <c r="G230" s="10" t="inlineStr">
        <is>
          <t>FT</t>
        </is>
      </c>
      <c r="H230" s="3" t="inlineStr">
        <is>
          <t>INCLUDE</t>
        </is>
      </c>
      <c r="I230" s="3" t="n"/>
      <c r="J230" s="3" t="inlineStr">
        <is>
          <t>ZS: Llama3-8B / FT: Llama3-8B</t>
        </is>
      </c>
      <c r="K230" s="3" t="inlineStr">
        <is>
          <t>X/Twitter; sensitive-content classification; English; n=2,000 test tweets</t>
        </is>
      </c>
      <c r="L230" s="3" t="inlineStr">
        <is>
          <t>Fine-tuned Llama3-8B achieved macro-F1 85.6 binary and 69.8 multi-label, versus 75.0 and 52.2 respectively in zero-shot mode.</t>
        </is>
      </c>
      <c r="M230" t="inlineStr">
        <is>
          <t>Direct same-test comparison demonstrates substantial gains from supervised task-specific fine-tuning over zero-shot classification on short social-media text.</t>
        </is>
      </c>
      <c r="O230" s="3" t="inlineStr">
        <is>
          <t>Preprint</t>
        </is>
      </c>
      <c r="P230" s="12" t="n">
        <v>46303</v>
      </c>
      <c r="Q230" s="3" t="n"/>
      <c r="R230" s="3" t="inlineStr">
        <is>
          <t>§4–5, Table 2; fine-tuned and zero-shot models are evaluated on the same 2,000-tweet test partition.</t>
        </is>
      </c>
      <c r="S230" s="3" t="inlineStr">
        <is>
          <t>FT</t>
        </is>
      </c>
      <c r="T230" s="3" t="inlineStr">
        <is>
          <t>N</t>
        </is>
      </c>
      <c r="U230" s="3" t="inlineStr">
        <is>
          <t>N</t>
        </is>
      </c>
    </row>
    <row r="231" ht="28.5" customHeight="1" s="18">
      <c r="A231" s="5" t="inlineStr">
        <is>
          <t>S2-0803</t>
        </is>
      </c>
      <c r="B231" s="5" t="inlineStr">
        <is>
          <t>B-i</t>
        </is>
      </c>
      <c r="C231" s="3" t="inlineStr">
        <is>
          <t>Vanetik, N.; Litvak, M.; Liebeskind, C.</t>
        </is>
      </c>
      <c r="D231" s="6" t="n">
        <v>2026</v>
      </c>
      <c r="E231" s="3" t="inlineStr">
        <is>
          <t>Benchmarking Arabic Emotion Detection: Transformers Evaluation using a Unified Dataset</t>
        </is>
      </c>
      <c r="F231" s="5" t="inlineStr">
        <is>
          <t>Journal article</t>
        </is>
      </c>
      <c r="G231" s="10" t="inlineStr">
        <is>
          <t>FT</t>
        </is>
      </c>
      <c r="H231" s="3" t="inlineStr">
        <is>
          <t>EXCLUDE</t>
        </is>
      </c>
      <c r="I231" s="3" t="inlineStr">
        <is>
          <t>E2</t>
        </is>
      </c>
      <c r="J231" s="3" t="n"/>
      <c r="K231" s="3" t="n"/>
      <c r="L231" s="3" t="n"/>
      <c r="O231" s="3" t="inlineStr">
        <is>
          <t>Published</t>
        </is>
      </c>
      <c r="P231" s="12" t="n">
        <v>46303</v>
      </c>
      <c r="Q231" s="3" t="inlineStr">
        <is>
          <t>Bi-zeroshot</t>
        </is>
      </c>
      <c r="R231" s="3" t="inlineStr">
        <is>
          <t>§IV–VI; models called zero-shot were already task-specific emotion classifiers applied without further tuning, so R6 does not treat them as an eligible zero-shot arm.</t>
        </is>
      </c>
      <c r="S231" s="3" t="n"/>
      <c r="T231" s="3" t="n"/>
      <c r="U231" s="3" t="n"/>
    </row>
    <row r="232" ht="85.5" customHeight="1" s="18">
      <c r="A232" s="5" t="inlineStr">
        <is>
          <t>S2-0397</t>
        </is>
      </c>
      <c r="B232" s="5" t="inlineStr">
        <is>
          <t>B-i</t>
        </is>
      </c>
      <c r="C232" s="3" t="inlineStr">
        <is>
          <t>Hengle, Amey; Kulkarni, Atharva; Patankar, Shantanu; Chandrasekaran, Madhumitha; D'Silva, Sneha; Jacob, Jemima; Gupta, Rashmi</t>
        </is>
      </c>
      <c r="D232" s="6" t="n">
        <v>2024</v>
      </c>
      <c r="E232" s="3" t="inlineStr">
        <is>
          <t>Still Not Quite There! Evaluating Large Language Models for Comorbid Mental Health Diagnosis</t>
        </is>
      </c>
      <c r="F232" s="5" t="inlineStr">
        <is>
          <t>Preprint (arXiv)</t>
        </is>
      </c>
      <c r="G232" s="10" t="inlineStr">
        <is>
          <t>FT</t>
        </is>
      </c>
      <c r="H232" s="3" t="inlineStr">
        <is>
          <t>INCLUDE</t>
        </is>
      </c>
      <c r="I232" s="3" t="n"/>
      <c r="J232" s="3" t="inlineStr">
        <is>
          <t>ZS: GPT-4 / FT: Mental-BERTlarge</t>
        </is>
      </c>
      <c r="K232" s="3" t="inlineStr">
        <is>
          <t>Reddit posts; depression/anxiety classification; English; n=2,876 gold test posts</t>
        </is>
      </c>
      <c r="L232" s="3" t="inlineStr">
        <is>
          <t>Zero-shot GPT-4 achieved F1 70.8 and macro-F1 66.7 on multi-label classification, slightly exceeding supervised Mental-BERTlarge at 70.0 and 65.2.</t>
        </is>
      </c>
      <c r="M232" t="inlineStr">
        <is>
          <t>Direct same-benchmark comparison shows prompted LLMs can narrowly outperform supervised domain-specific PLMs on difficult comorbid mental-health classification.</t>
        </is>
      </c>
      <c r="O232" s="3" t="inlineStr">
        <is>
          <t>Published</t>
        </is>
      </c>
      <c r="P232" s="12" t="n">
        <v>46303</v>
      </c>
      <c r="Q232" s="3" t="n"/>
      <c r="R232" s="3" t="inlineStr">
        <is>
          <t>§5–6, Table 6; ANGST is the common gold test benchmark for prompted LLMs and PLMs fine-tuned separately on ANGST-SILVER.</t>
        </is>
      </c>
      <c r="S232" s="3" t="inlineStr">
        <is>
          <t>ZS</t>
        </is>
      </c>
      <c r="T232" s="3" t="inlineStr">
        <is>
          <t>N</t>
        </is>
      </c>
      <c r="U232" s="3" t="inlineStr">
        <is>
          <t>N</t>
        </is>
      </c>
    </row>
    <row r="233" ht="114" customHeight="1" s="18">
      <c r="A233" s="5" t="inlineStr">
        <is>
          <t>S2-0410</t>
        </is>
      </c>
      <c r="B233" s="5" t="inlineStr">
        <is>
          <t>B-i</t>
        </is>
      </c>
      <c r="C233" s="3" t="inlineStr">
        <is>
          <t>Vuruma, Sai Krishna Revanth; Wu, Dezhi; Gupta, Saborny Sen; Aust, Lucas; Lookingbill, Valerie; Henry, Caleb; Ren, Yang; Kasson, Erin; Chen, Li-Shiun; Cavazos-Rehg, Patricia; Hu, Dian; Huang, Ming</t>
        </is>
      </c>
      <c r="D233" s="6" t="n">
        <v>2024</v>
      </c>
      <c r="E233" s="3" t="inlineStr">
        <is>
          <t>Utilizing Large Language Models to Identify Reddit Users Considering Vaping Cessation for Digital Interventions</t>
        </is>
      </c>
      <c r="F233" s="5" t="inlineStr">
        <is>
          <t>Preprint (arXiv)</t>
        </is>
      </c>
      <c r="G233" s="10" t="inlineStr">
        <is>
          <t>FT</t>
        </is>
      </c>
      <c r="H233" s="3" t="inlineStr">
        <is>
          <t>EXCLUDE</t>
        </is>
      </c>
      <c r="I233" s="3" t="inlineStr">
        <is>
          <t>E2</t>
        </is>
      </c>
      <c r="J233" s="3" t="n"/>
      <c r="K233" s="3" t="n"/>
      <c r="L233" s="3" t="n"/>
      <c r="O233" s="3" t="inlineStr">
        <is>
          <t>Preprint</t>
        </is>
      </c>
      <c r="P233" s="12" t="n">
        <v>46303</v>
      </c>
      <c r="Q233" s="3" t="inlineStr">
        <is>
          <t>Bi-direct</t>
        </is>
      </c>
      <c r="R233" s="3" t="inlineStr">
        <is>
          <t>§III–IV; BERT uses 186 held-out test items, while GPT-4 is scored against the annotated dataset without establishing the same test split.</t>
        </is>
      </c>
      <c r="S233" s="3" t="n"/>
      <c r="T233" s="3" t="n"/>
      <c r="U233" s="3" t="n"/>
    </row>
    <row r="234" ht="42.75" customHeight="1" s="18">
      <c r="A234" s="5" t="inlineStr">
        <is>
          <t>S2-0963</t>
        </is>
      </c>
      <c r="B234" s="5" t="inlineStr">
        <is>
          <t>B-i</t>
        </is>
      </c>
      <c r="C234" s="3" t="inlineStr">
        <is>
          <t>Rachman, B.</t>
        </is>
      </c>
      <c r="D234" s="6" t="n">
        <v>2025</v>
      </c>
      <c r="E234" s="3" t="inlineStr">
        <is>
          <t>Benchmarking Lightweight Transformers and Small Language Models for Climate Change Sentiment Analysis</t>
        </is>
      </c>
      <c r="F234" s="5" t="inlineStr">
        <is>
          <t>Conference paper</t>
        </is>
      </c>
      <c r="G234" s="10" t="inlineStr">
        <is>
          <t>FT</t>
        </is>
      </c>
      <c r="H234" s="3" t="inlineStr">
        <is>
          <t>INCLUDE</t>
        </is>
      </c>
      <c r="I234" s="3" t="n"/>
      <c r="J234" s="3" t="inlineStr">
        <is>
          <t>ZS: Mistral-7B / FT: RoBERTa-large</t>
        </is>
      </c>
      <c r="K234" s="3" t="inlineStr">
        <is>
          <t>Twitter; three-class climate-change sentiment classification; English; common 10% test split</t>
        </is>
      </c>
      <c r="L234" s="3" t="inlineStr">
        <is>
          <t>Fine-tuned RoBERTa-large achieved macro-F1 0.8217 versus 0.4313 for zero-shot Mistral-7B and 0.5070 for few-shot Mistral-7B.</t>
        </is>
      </c>
      <c r="M234" t="inlineStr">
        <is>
          <t>Direct same-data comparison strongly favours supervised fine-tuning and additionally quantifies the substantial inference-latency disadvantage of prompted small language models.</t>
        </is>
      </c>
      <c r="O234" s="3" t="inlineStr">
        <is>
          <t>Published</t>
        </is>
      </c>
      <c r="P234" s="12" t="n">
        <v>46303</v>
      </c>
      <c r="Q234" s="3" t="n"/>
      <c r="R234" s="3" t="inlineStr">
        <is>
          <t>§III–IV, Table I; fine-tuned Transformers and zero/few-shot SLMs use the same climate-tweet dataset and consistent preprocessing.</t>
        </is>
      </c>
      <c r="S234" s="3" t="inlineStr">
        <is>
          <t>FT</t>
        </is>
      </c>
      <c r="T234" s="3" t="inlineStr">
        <is>
          <t>Y</t>
        </is>
      </c>
      <c r="U234" s="3" t="inlineStr">
        <is>
          <t>N</t>
        </is>
      </c>
    </row>
    <row r="235" ht="57" customHeight="1" s="18">
      <c r="A235" s="5" t="inlineStr">
        <is>
          <t>S2-1031</t>
        </is>
      </c>
      <c r="B235" s="5" t="inlineStr">
        <is>
          <t>B-i</t>
        </is>
      </c>
      <c r="C235" s="3" t="inlineStr">
        <is>
          <t>De Langhe, L.; Maladry, A.; Vanroy, B.; De Bruyne, L.; Singh, P.; Lefever, E.; De Clercq, O.</t>
        </is>
      </c>
      <c r="D235" s="6" t="n">
        <v>2024</v>
      </c>
      <c r="E235" s="3" t="inlineStr">
        <is>
          <t>Benchmarking Zero-Shot Text Classification for Dutch</t>
        </is>
      </c>
      <c r="F235" s="5" t="inlineStr">
        <is>
          <t>Conference paper</t>
        </is>
      </c>
      <c r="G235" s="10" t="inlineStr">
        <is>
          <t>FT</t>
        </is>
      </c>
      <c r="H235" s="3" t="inlineStr">
        <is>
          <t>INCLUDE</t>
        </is>
      </c>
      <c r="I235" s="3" t="n"/>
      <c r="J235" s="3" t="inlineStr">
        <is>
          <t>ZS: GPT-3.5-turbo / FT: XLM-RoBERTa-large</t>
        </is>
      </c>
      <c r="K235" s="3" t="inlineStr">
        <is>
          <t>Twitter; binary irony detection; Dutch; n=5,566 tweets</t>
        </is>
      </c>
      <c r="L235" s="3" t="inlineStr">
        <is>
          <t>Fine-tuned XLM-RoBERTa-large achieved F1 0.72 versus 0.60 for zero-shot GPT-3.5-turbo on the Dutch irony benchmark.</t>
        </is>
      </c>
      <c r="M235" t="inlineStr">
        <is>
          <t>Same-benchmark comparison shows supervised fine-tuning retaining a clear advantage over prompting on short Dutch social-media text.</t>
        </is>
      </c>
      <c r="O235" s="3" t="inlineStr">
        <is>
          <t>Published</t>
        </is>
      </c>
      <c r="P235" s="12" t="n">
        <v>46303</v>
      </c>
      <c r="Q235" s="3" t="n"/>
      <c r="R235" s="3" t="inlineStr">
        <is>
          <t>§3.4, §5.4, Table 8; zero-shot systems are compared against the fine-tuned SOTA result on the same manually annotated Dutch tweet benchmark.</t>
        </is>
      </c>
      <c r="S235" s="3" t="inlineStr">
        <is>
          <t>FT</t>
        </is>
      </c>
      <c r="T235" s="3" t="inlineStr">
        <is>
          <t>N</t>
        </is>
      </c>
      <c r="U235" s="3" t="inlineStr">
        <is>
          <t>N</t>
        </is>
      </c>
    </row>
    <row r="236" ht="28.5" customHeight="1" s="18">
      <c r="A236" s="5" t="inlineStr">
        <is>
          <t>S2-0539</t>
        </is>
      </c>
      <c r="B236" s="5" t="inlineStr">
        <is>
          <t>B-i</t>
        </is>
      </c>
      <c r="C236" s="3" t="inlineStr">
        <is>
          <t>Ghosh, S.; Singh, G.V.; Pathak, K.; Ekbal, A.</t>
        </is>
      </c>
      <c r="D236" s="6" t="n">
        <v>2026</v>
      </c>
      <c r="E236" s="3" t="inlineStr">
        <is>
          <t>Blunt Giants, Sharp Specialists: Decoding Stress and Triggers Beyond General-Purpose LLMs</t>
        </is>
      </c>
      <c r="F236" s="5" t="inlineStr">
        <is>
          <t>Journal article</t>
        </is>
      </c>
      <c r="G236" s="10" t="inlineStr">
        <is>
          <t>FT</t>
        </is>
      </c>
      <c r="H236" s="3" t="inlineStr">
        <is>
          <t>INCLUDE</t>
        </is>
      </c>
      <c r="I236" s="3" t="n"/>
      <c r="J236" s="3" t="inlineStr">
        <is>
          <t>ZS: Qwen2.5-7B / FT: Qwen2.5-7B</t>
        </is>
      </c>
      <c r="K236" s="3" t="inlineStr">
        <is>
          <t>Reddit/Dreaddit-SACReD; stress and stress-cause classification; English; n=715 test posts</t>
        </is>
      </c>
      <c r="L236" s="3" t="inlineStr">
        <is>
          <t>Fine-tuning Qwen2.5-7B raised stress-detection F1 from 62.75 to 71.90 and stress-cause F1 from 48.15 to 66.20.</t>
        </is>
      </c>
      <c r="M236" t="inlineStr">
        <is>
          <t>Direct same-model, same-test comparison demonstrates substantial benefit from supervised task adaptation over zero-shot inference on Reddit stress-analysis data.</t>
        </is>
      </c>
      <c r="O236" s="3" t="inlineStr">
        <is>
          <t>Published</t>
        </is>
      </c>
      <c r="P236" s="12" t="n">
        <v>46303</v>
      </c>
      <c r="Q236" s="3" t="n"/>
      <c r="R236" s="3" t="inlineStr">
        <is>
          <t>§IV–V, Table VII; zero-shot and fine-tuned Qwen2.5-7B are compared on the common SACReD test partition for both classification tasks.</t>
        </is>
      </c>
      <c r="S236" s="3" t="inlineStr">
        <is>
          <t>FT</t>
        </is>
      </c>
      <c r="T236" s="3" t="inlineStr">
        <is>
          <t>N</t>
        </is>
      </c>
      <c r="U236" s="3" t="inlineStr">
        <is>
          <t>N</t>
        </is>
      </c>
    </row>
    <row r="237" ht="28.5" customHeight="1" s="18">
      <c r="A237" s="5" t="inlineStr">
        <is>
          <t>S2-0846</t>
        </is>
      </c>
      <c r="B237" s="5" t="inlineStr">
        <is>
          <t>B-i</t>
        </is>
      </c>
      <c r="C237" s="3" t="inlineStr">
        <is>
          <t>Morbidoni, C.; Sarra, A.</t>
        </is>
      </c>
      <c r="D237" s="6" t="n">
        <v>2023</v>
      </c>
      <c r="E237" s="3" t="inlineStr">
        <is>
          <t>Can LLMs assist humans in assessing online misogyny? Experiments with GPT-3.5</t>
        </is>
      </c>
      <c r="F237" s="5" t="inlineStr">
        <is>
          <t>Conference paper</t>
        </is>
      </c>
      <c r="G237" s="10" t="inlineStr">
        <is>
          <t>FT</t>
        </is>
      </c>
      <c r="H237" s="3" t="inlineStr">
        <is>
          <t>INCLUDE</t>
        </is>
      </c>
      <c r="I237" s="3" t="n"/>
      <c r="J237" s="3" t="inlineStr">
        <is>
          <t>ZS: GPT-3.5-turbo / FT: BERT</t>
        </is>
      </c>
      <c r="K237" s="3" t="inlineStr">
        <is>
          <t>Reddit; binary misogyny classification; English; n=1,303 test posts</t>
        </is>
      </c>
      <c r="L237" s="3" t="inlineStr">
        <is>
          <t>Zero-shot GPT-3.5 prompt ensembles achieved misogynistic-class F1 0.53–0.54 versus 0.42–0.43 for supervised BERT baselines; best ensemble accuracy was 0.91.</t>
        </is>
      </c>
      <c r="M237" t="inlineStr">
        <is>
          <t>Direct same-test comparison shows zero-shot prompting outperforming supervised fine-tuning on the principal misogyny-detection F1 metric.</t>
        </is>
      </c>
      <c r="O237" s="3" t="inlineStr">
        <is>
          <t>Published</t>
        </is>
      </c>
      <c r="P237" s="12" t="n">
        <v>46303</v>
      </c>
      <c r="Q237" s="3" t="n"/>
      <c r="R237" s="3" t="inlineStr">
        <is>
          <t>§3.1, §4, Table 2; zero-shot GPT-3.5 and supervised baselines are evaluated on the same 1,303-post held-out Reddit test set.</t>
        </is>
      </c>
      <c r="S237" s="3" t="inlineStr">
        <is>
          <t>ZS</t>
        </is>
      </c>
      <c r="T237" s="3" t="inlineStr">
        <is>
          <t>N</t>
        </is>
      </c>
      <c r="U237" s="3" t="inlineStr">
        <is>
          <t>N</t>
        </is>
      </c>
    </row>
    <row r="238" ht="57" customHeight="1" s="18">
      <c r="A238" s="5" t="inlineStr">
        <is>
          <t>S2-0510</t>
        </is>
      </c>
      <c r="B238" s="5" t="inlineStr">
        <is>
          <t>B-ii</t>
        </is>
      </c>
      <c r="C238" s="3" t="inlineStr">
        <is>
          <t>Qi, Lei; Khaleel, Mohammed; Tavanapong, Wallapak; Sukul, Adisak; Peterson, David</t>
        </is>
      </c>
      <c r="D238" s="6" t="n">
        <v>2020</v>
      </c>
      <c r="E238" s="3" t="inlineStr">
        <is>
          <t>A Framework for Deep Quantification Learning</t>
        </is>
      </c>
      <c r="F238" s="5" t="inlineStr">
        <is>
          <t>Conference paper</t>
        </is>
      </c>
      <c r="G238" s="10" t="inlineStr">
        <is>
          <t>FT</t>
        </is>
      </c>
      <c r="H238" s="3" t="inlineStr">
        <is>
          <t>INCLUDE</t>
        </is>
      </c>
      <c r="I238" s="3" t="n"/>
      <c r="J238" s="3" t="inlineStr">
        <is>
          <t>Method</t>
        </is>
      </c>
      <c r="K238" s="3" t="inlineStr">
        <is>
          <t>Text documents; IMDB, Yelp, AG-NEWS and 20-NEWS; binary and multiclass quantification</t>
        </is>
      </c>
      <c r="L238" s="3" t="inlineStr">
        <is>
          <t>DQN directly estimates test-set class distributions and reduces MAE by about 35% versus the best existing comparator while using about 40% fewer training samples for comparable MAE.</t>
        </is>
      </c>
      <c r="M238" t="inlineStr">
        <is>
          <t>Extends prevalence estimation beyond classify-and-correct pipelines with an end-to-end deep quantifier and benchmarks against established quantification methods including ACC/PACC.</t>
        </is>
      </c>
      <c r="O238" s="3" t="inlineStr">
        <is>
          <t>Published</t>
        </is>
      </c>
      <c r="P238" s="12" t="n">
        <v>46303</v>
      </c>
      <c r="Q238" s="3" t="n"/>
      <c r="R238" s="3" t="inlineStr">
        <is>
          <t>§1–2, §5–6; DQN is explicitly designed to estimate class distributions of unlabelled test sets and evaluated on four text datasets.</t>
        </is>
      </c>
      <c r="S238" s="3" t="inlineStr">
        <is>
          <t>Y</t>
        </is>
      </c>
      <c r="T238" s="3" t="inlineStr">
        <is>
          <t>N</t>
        </is>
      </c>
      <c r="U238" s="3" t="inlineStr">
        <is>
          <t>Y</t>
        </is>
      </c>
    </row>
    <row r="239" ht="28.5" customHeight="1" s="18">
      <c r="A239" s="5" t="inlineStr">
        <is>
          <t>S2-0498</t>
        </is>
      </c>
      <c r="B239" s="5" t="inlineStr">
        <is>
          <t>B-ii</t>
        </is>
      </c>
      <c r="C239" s="3" t="inlineStr">
        <is>
          <t>Xu, Jian; Huang, Shao-Lun</t>
        </is>
      </c>
      <c r="D239" s="6" t="n">
        <v>2023</v>
      </c>
      <c r="E239" s="3" t="inlineStr">
        <is>
          <t>A Joint Training-Calibration Framework for Test-Time Personalization with Label Shift in Federated Learning</t>
        </is>
      </c>
      <c r="F239" s="5" t="inlineStr">
        <is>
          <t>Conference paper</t>
        </is>
      </c>
      <c r="G239" s="10" t="inlineStr">
        <is>
          <t>FT</t>
        </is>
      </c>
      <c r="H239" s="3" t="inlineStr">
        <is>
          <t>INCLUDE</t>
        </is>
      </c>
      <c r="I239" s="3" t="n"/>
      <c r="J239" s="3" t="inlineStr">
        <is>
          <t>Method</t>
        </is>
      </c>
      <c r="K239" s="3" t="inlineStr">
        <is>
          <t>Image classification; MNIST, Fashion-MNIST, CIFAR-10 and CINIC-10; federated-learning label shift</t>
        </is>
      </c>
      <c r="L239" s="3" t="inlineStr">
        <is>
          <t>FedCal estimates unknown test-time class priors and rescales classifier predictions using the target/source prior ratio; EM and BBSE variants are evaluated.</t>
        </is>
      </c>
      <c r="M239" t="inlineStr">
        <is>
          <t>Directly addresses test-time label-shift estimation and output correction for unseen federated-learning clients without labelled target data.</t>
        </is>
      </c>
      <c r="O239" s="3" t="inlineStr">
        <is>
          <t>Published</t>
        </is>
      </c>
      <c r="P239" s="12" t="n">
        <v>46303</v>
      </c>
      <c r="Q239" s="3" t="n"/>
      <c r="R239" s="3" t="inlineStr">
        <is>
          <t>§3–5; test priors are estimated from unlabelled deployment data and used to recalibrate classifier posteriors under label shift.</t>
        </is>
      </c>
      <c r="S239" s="3" t="inlineStr">
        <is>
          <t>Y</t>
        </is>
      </c>
      <c r="T239" s="3" t="inlineStr">
        <is>
          <t>Y</t>
        </is>
      </c>
      <c r="U239" s="3" t="inlineStr">
        <is>
          <t>N</t>
        </is>
      </c>
    </row>
    <row r="240" ht="42.75" customHeight="1" s="18">
      <c r="A240" s="5" t="inlineStr">
        <is>
          <t>S2-0516</t>
        </is>
      </c>
      <c r="B240" s="5" t="inlineStr">
        <is>
          <t>B-ii</t>
        </is>
      </c>
      <c r="C240" s="3" t="inlineStr">
        <is>
          <t>González, Pablo; Castaño, Alberto; Chawla, Nitesh V.; Coz, Juan José Del</t>
        </is>
      </c>
      <c r="D240" s="6" t="n">
        <v>2017</v>
      </c>
      <c r="E240" s="3" t="inlineStr">
        <is>
          <t>A Review on Quantification Learning</t>
        </is>
      </c>
      <c r="F240" s="5" t="inlineStr">
        <is>
          <t>Journal article</t>
        </is>
      </c>
      <c r="G240" s="10" t="inlineStr">
        <is>
          <t>FT</t>
        </is>
      </c>
      <c r="H240" s="3" t="inlineStr">
        <is>
          <t>INCLUDE</t>
        </is>
      </c>
      <c r="I240" s="3" t="n"/>
      <c r="J240" s="3" t="inlineStr">
        <is>
          <t>Review/benchmark</t>
        </is>
      </c>
      <c r="K240" s="3" t="inlineStr">
        <is>
          <t>Quantification methods across classification, sentiment/social-media, biological and other domains</t>
        </is>
      </c>
      <c r="L240" s="3" t="inlineStr">
        <is>
          <t>Provides a unified taxonomy and tutorial review of methods for estimating class prevalence in unseen test sets, including Adjusted Count and Saerens et al.'s EM procedure.</t>
        </is>
      </c>
      <c r="M240" t="inlineStr">
        <is>
          <t>Foundational synthesis covering both major correction families relevant to the project: classify-and-correct approaches and EM/SLD prior adjustment.</t>
        </is>
      </c>
      <c r="O240" s="3" t="inlineStr">
        <is>
          <t>Published</t>
        </is>
      </c>
      <c r="P240" s="12" t="n">
        <v>46303</v>
      </c>
      <c r="Q240" s="3" t="n"/>
      <c r="R240" s="3" t="inlineStr">
        <is>
          <t>§1–2, §6, §8; review centres on aggregate class-distribution estimation under changing train/test distributions.</t>
        </is>
      </c>
      <c r="S240" s="3" t="inlineStr">
        <is>
          <t>Y</t>
        </is>
      </c>
      <c r="T240" s="3" t="inlineStr">
        <is>
          <t>Y</t>
        </is>
      </c>
      <c r="U240" s="3" t="inlineStr">
        <is>
          <t>Y</t>
        </is>
      </c>
    </row>
    <row r="241" ht="42.75" customHeight="1" s="18">
      <c r="A241" s="5" t="inlineStr">
        <is>
          <t>S2-0446</t>
        </is>
      </c>
      <c r="B241" s="5" t="inlineStr">
        <is>
          <t>B-ii</t>
        </is>
      </c>
      <c r="C241" s="3" t="inlineStr">
        <is>
          <t>Volpi, Lorenzo; Moreo, Alejandro; Sebastiani, Fabrizio</t>
        </is>
      </c>
      <c r="D241" s="6" t="n">
        <v>2024</v>
      </c>
      <c r="E241" s="3" t="inlineStr">
        <is>
          <t>A Simple Method for&amp;nbsp;Classifier Accuracy Prediction Under Prior Probability Shift</t>
        </is>
      </c>
      <c r="F241" s="5" t="inlineStr">
        <is>
          <t>Conference paper</t>
        </is>
      </c>
      <c r="G241" s="10" t="inlineStr">
        <is>
          <t>FT</t>
        </is>
      </c>
      <c r="H241" s="3" t="inlineStr">
        <is>
          <t>INCLUDE</t>
        </is>
      </c>
      <c r="I241" s="3" t="n"/>
      <c r="J241" s="3" t="inlineStr">
        <is>
          <t>Method</t>
        </is>
      </c>
      <c r="K241" s="3" t="inlineStr">
        <is>
          <t>29 UCI tabular classification datasets; simulated prior-probability shift</t>
        </is>
      </c>
      <c r="L241" s="3" t="inlineStr">
        <is>
          <t>LEAP predicts classifier performance under prior shift, with a required step that estimates target-set class prevalences using quantification methods such as ACC/BBSE.</t>
        </is>
      </c>
      <c r="M241" t="inlineStr">
        <is>
          <t>Although framed as classifier-accuracy prediction, the method explicitly performs eligible target-prior estimation as an internal component under prior probability shift.</t>
        </is>
      </c>
      <c r="O241" s="3" t="inlineStr">
        <is>
          <t>Published</t>
        </is>
      </c>
      <c r="P241" s="12" t="n">
        <v>46303</v>
      </c>
      <c r="Q241" s="3" t="n"/>
      <c r="R241" s="3" t="inlineStr">
        <is>
          <t>§4.2–5; LEAP requires estimated test-set class prevalences and directly uses Adjusted Classify &amp; Count/BBSE for this purpose.</t>
        </is>
      </c>
      <c r="S241" s="3" t="inlineStr">
        <is>
          <t>Y</t>
        </is>
      </c>
      <c r="T241" s="3" t="inlineStr">
        <is>
          <t>N</t>
        </is>
      </c>
      <c r="U241" s="3" t="inlineStr">
        <is>
          <t>N</t>
        </is>
      </c>
    </row>
    <row r="242" ht="42.75" customHeight="1" s="18">
      <c r="A242" s="5" t="inlineStr">
        <is>
          <t>S2-0483</t>
        </is>
      </c>
      <c r="B242" s="5" t="inlineStr">
        <is>
          <t>B-ii</t>
        </is>
      </c>
      <c r="C242" s="3" t="inlineStr">
        <is>
          <t>Garg, Saurabh; Wu, Yifan; Balakrishnan, Sivaraman; Lipton, Zachary C.</t>
        </is>
      </c>
      <c r="D242" s="6" t="n">
        <v>2020</v>
      </c>
      <c r="E242" s="3" t="inlineStr">
        <is>
          <t>A unified view of label shift estimation</t>
        </is>
      </c>
      <c r="F242" s="5" t="inlineStr">
        <is>
          <t>Conference paper</t>
        </is>
      </c>
      <c r="G242" s="10" t="inlineStr">
        <is>
          <t>FT</t>
        </is>
      </c>
      <c r="H242" s="3" t="inlineStr">
        <is>
          <t>INCLUDE</t>
        </is>
      </c>
      <c r="I242" s="3" t="n"/>
      <c r="J242" s="3" t="inlineStr">
        <is>
          <t>Theory</t>
        </is>
      </c>
      <c r="K242" s="3" t="inlineStr">
        <is>
          <t>Synthetic data, MNIST and CIFAR-10; label-shift estimation</t>
        </is>
      </c>
      <c r="L242" s="3" t="inlineStr">
        <is>
          <t>Unifies BBSE and maximum-likelihood label-shift estimation, establishes consistency conditions for MLLS, and finds MLLS can achieve 2–10× lower estimation MSE depending on shift magnitude.</t>
        </is>
      </c>
      <c r="M242" t="inlineStr">
        <is>
          <t>Directly analyses the two principal target-prior estimation families, including confusion-matrix/BBSE estimation and EM-based maximum-likelihood label-shift estimation.</t>
        </is>
      </c>
      <c r="O242" s="3" t="inlineStr">
        <is>
          <t>Published</t>
        </is>
      </c>
      <c r="P242" s="12" t="n">
        <v>46303</v>
      </c>
      <c r="Q242" s="3" t="n"/>
      <c r="R242" s="3" t="inlineStr">
        <is>
          <t>§1, §4, §6; primary estimand is target-domain label distribution/importance weights under label shift.</t>
        </is>
      </c>
      <c r="S242" s="3" t="inlineStr">
        <is>
          <t>Y</t>
        </is>
      </c>
      <c r="T242" s="3" t="inlineStr">
        <is>
          <t>Y</t>
        </is>
      </c>
      <c r="U242" s="3" t="inlineStr">
        <is>
          <t>N</t>
        </is>
      </c>
    </row>
    <row r="243" ht="28.5" customHeight="1" s="18">
      <c r="A243" s="5" t="inlineStr">
        <is>
          <t>S2-0461</t>
        </is>
      </c>
      <c r="B243" s="5" t="inlineStr">
        <is>
          <t>B-ii</t>
        </is>
      </c>
      <c r="C243" s="3" t="inlineStr">
        <is>
          <t>Mielniczuk, Jan; Wawrzeńczyk, Adam</t>
        </is>
      </c>
      <c r="D243" s="6" t="n">
        <v>2025</v>
      </c>
      <c r="E243" s="3" t="inlineStr">
        <is>
          <t>Accounting for Label Shift of Positive Unlabeled Data under Selection Bias</t>
        </is>
      </c>
      <c r="F243" s="5" t="inlineStr">
        <is>
          <t>Journal article</t>
        </is>
      </c>
      <c r="G243" s="10" t="inlineStr">
        <is>
          <t>FT</t>
        </is>
      </c>
      <c r="H243" s="3" t="inlineStr">
        <is>
          <t>INCLUDE</t>
        </is>
      </c>
      <c r="I243" s="3" t="n"/>
      <c r="J243" s="3" t="inlineStr">
        <is>
          <t>Method</t>
        </is>
      </c>
      <c r="K243" s="3" t="inlineStr">
        <is>
          <t>Positive-unlabelled data; image/tabular benchmark datasets under label shift and selection bias</t>
        </is>
      </c>
      <c r="L243" s="3" t="inlineStr">
        <is>
          <t>Introduces an estimator of the shifted target-class prior for positive-unlabelled data and compares it with classical EM-based prior estimation and associated classifiers.</t>
        </is>
      </c>
      <c r="M243" t="inlineStr">
        <is>
          <t>Extends class-prior estimation and label-shift correction to the more difficult PU-learning setting with selection bias.</t>
        </is>
      </c>
      <c r="O243" s="3" t="inlineStr">
        <is>
          <t>Published</t>
        </is>
      </c>
      <c r="P243" s="12" t="n">
        <v>46303</v>
      </c>
      <c r="Q243" s="3" t="n"/>
      <c r="R243" s="3" t="inlineStr">
        <is>
          <t>§1–3; explicitly estimates the prior probability of the label-shifted target population and compares against Saerens-style EM estimation.</t>
        </is>
      </c>
      <c r="S243" s="3" t="inlineStr">
        <is>
          <t>N</t>
        </is>
      </c>
      <c r="T243" s="3" t="inlineStr">
        <is>
          <t>Y</t>
        </is>
      </c>
      <c r="U243" s="3" t="inlineStr">
        <is>
          <t>N</t>
        </is>
      </c>
    </row>
    <row r="244" ht="42.75" customHeight="1" s="18">
      <c r="A244" s="5" t="inlineStr">
        <is>
          <t>S2-0466</t>
        </is>
      </c>
      <c r="B244" s="5" t="inlineStr">
        <is>
          <t>B-ii</t>
        </is>
      </c>
      <c r="C244" s="3" t="inlineStr">
        <is>
          <t>Qian, Yu-Yang; Wang, Yi-Han; Zhang, Zhen-Yu; Jiang, Yuan; Zhou, Zhi-Hua</t>
        </is>
      </c>
      <c r="D244" s="6" t="n">
        <v>2025</v>
      </c>
      <c r="E244" s="3" t="inlineStr">
        <is>
          <t>Adapting to Generalized Online Label Shift by Invariant Representation Learning</t>
        </is>
      </c>
      <c r="F244" s="5" t="inlineStr">
        <is>
          <t>Conference paper</t>
        </is>
      </c>
      <c r="G244" s="10" t="inlineStr">
        <is>
          <t>FT</t>
        </is>
      </c>
      <c r="H244" s="3" t="inlineStr">
        <is>
          <t>INCLUDE</t>
        </is>
      </c>
      <c r="I244" s="3" t="n"/>
      <c r="J244" s="3" t="inlineStr">
        <is>
          <t>Method</t>
        </is>
      </c>
      <c r="K244" s="3" t="inlineStr">
        <is>
          <t>Image and text data streams; CIFAR/CINIC benchmarks, iWildCam and Amazon sentiment analysis; generalized online label shift</t>
        </is>
      </c>
      <c r="L244" s="3" t="inlineStr">
        <is>
          <t>Agoe estimates the current label distribution and reweights the initial classifier using the current-to-source class-prior ratio while jointly learning an invariant representation.</t>
        </is>
      </c>
      <c r="M244" t="inlineStr">
        <is>
          <t>Extends prior-based output correction to generalized online label shift where raw class-conditional features may change but an invariant representation exists.</t>
        </is>
      </c>
      <c r="O244" s="3" t="inlineStr">
        <is>
          <t>Published</t>
        </is>
      </c>
      <c r="P244" s="12" t="n">
        <v>46303</v>
      </c>
      <c r="Q244" s="3" t="n"/>
      <c r="R244" s="3" t="inlineStr">
        <is>
          <t>§4, §6; current class-prior estimates are explicitly used to reweight classifier outputs under changing label distributions.</t>
        </is>
      </c>
      <c r="S244" s="3" t="inlineStr">
        <is>
          <t>N</t>
        </is>
      </c>
      <c r="T244" s="3" t="inlineStr">
        <is>
          <t>Y</t>
        </is>
      </c>
      <c r="U244" s="3" t="inlineStr">
        <is>
          <t>Y</t>
        </is>
      </c>
    </row>
    <row r="245" ht="42.75" customHeight="1" s="18">
      <c r="A245" s="5" t="inlineStr">
        <is>
          <t>S2-0481</t>
        </is>
      </c>
      <c r="B245" s="5" t="inlineStr">
        <is>
          <t>B-ii</t>
        </is>
      </c>
      <c r="C245" s="3" t="inlineStr">
        <is>
          <t>Bai, Yong; Zhang, Yu-Jie; Zhao, Peng; Sugiyama, Masashi; Zhou, Zhi-Hua</t>
        </is>
      </c>
      <c r="D245" s="6" t="n">
        <v>2022</v>
      </c>
      <c r="E245" s="3" t="inlineStr">
        <is>
          <t>Adapting to online label shift with provable guarantees</t>
        </is>
      </c>
      <c r="F245" s="5" t="inlineStr">
        <is>
          <t>Conference paper</t>
        </is>
      </c>
      <c r="G245" s="10" t="inlineStr">
        <is>
          <t>FT</t>
        </is>
      </c>
      <c r="H245" s="3" t="inlineStr">
        <is>
          <t>INCLUDE</t>
        </is>
      </c>
      <c r="I245" s="3" t="n"/>
      <c r="J245" s="3" t="inlineStr">
        <is>
          <t>Method</t>
        </is>
      </c>
      <c r="K245" s="3" t="inlineStr">
        <is>
          <t>Online streams; ArXiv text classification, EuroSAT, MNIST, Fashion-MNIST, CIFAR-10, CINIC-10 and SHL sensor data under online label shift</t>
        </is>
      </c>
      <c r="L245" s="3" t="inlineStr">
        <is>
          <t>Uses BBSE to estimate changing target label distributions from unlabelled streaming data, then constructs adaptive risk estimators and online ensemble algorithms with optimal dynamic-regret guarantees.</t>
        </is>
      </c>
      <c r="M245" t="inlineStr">
        <is>
          <t>Extends confusion-matrix-based prevalence estimation to non-stationary online deployment where class priors change continually rather than once.</t>
        </is>
      </c>
      <c r="O245" s="3" t="inlineStr">
        <is>
          <t>Published</t>
        </is>
      </c>
      <c r="P245" s="12" t="n">
        <v>46303</v>
      </c>
      <c r="Q245" s="3" t="n"/>
      <c r="R245" s="3" t="inlineStr">
        <is>
          <t>§3.1, Appendix B.2; BBSE estimates each online target label distribution from unlabelled data via confusion-matrix inversion for subsequent adaptation.</t>
        </is>
      </c>
      <c r="S245" s="3" t="inlineStr">
        <is>
          <t>Y</t>
        </is>
      </c>
      <c r="T245" s="3" t="inlineStr">
        <is>
          <t>N</t>
        </is>
      </c>
      <c r="U245" s="3" t="inlineStr">
        <is>
          <t>Y</t>
        </is>
      </c>
    </row>
    <row r="246" ht="57" customHeight="1" s="18">
      <c r="A246" s="5" t="inlineStr">
        <is>
          <t>S2-0529</t>
        </is>
      </c>
      <c r="B246" s="5" t="inlineStr">
        <is>
          <t>B-ii</t>
        </is>
      </c>
      <c r="C246" s="3" t="inlineStr">
        <is>
          <t>Latinne, Patrice; Saerens, Marco; Decaestecker, Christine</t>
        </is>
      </c>
      <c r="D246" s="6" t="n">
        <v>2001</v>
      </c>
      <c r="E246" s="3" t="inlineStr">
        <is>
          <t>Adjusting the Outputs of a Classifier to New a Priori Probabilities May Significantly Improve Classification Accuracy: Evidence from a multi-class problem in remote sensing</t>
        </is>
      </c>
      <c r="F246" s="5" t="inlineStr">
        <is>
          <t>Conference paper</t>
        </is>
      </c>
      <c r="G246" s="10" t="inlineStr">
        <is>
          <t>FT</t>
        </is>
      </c>
      <c r="H246" s="3" t="inlineStr">
        <is>
          <t>EXCLUDE</t>
        </is>
      </c>
      <c r="I246" s="3" t="inlineStr">
        <is>
          <t>E6</t>
        </is>
      </c>
      <c r="J246" s="3" t="n"/>
      <c r="K246" s="3" t="n"/>
      <c r="L246" s="3" t="n"/>
      <c r="O246" s="12" t="n"/>
      <c r="P246" s="12" t="n">
        <v>46303</v>
      </c>
      <c r="Q246" s="3" t="n"/>
      <c r="R246" s="3" t="n"/>
      <c r="S246" s="3" t="n"/>
      <c r="T246" s="3" t="n"/>
      <c r="U246" s="3" t="n"/>
    </row>
    <row r="247" ht="42.75" customHeight="1" s="18">
      <c r="A247" s="5" t="inlineStr">
        <is>
          <t>S2-0526</t>
        </is>
      </c>
      <c r="B247" s="5" t="inlineStr">
        <is>
          <t>B-ii</t>
        </is>
      </c>
      <c r="C247" s="3" t="inlineStr">
        <is>
          <t>Saerens, Marco; Latinne, Patrice; Decaestecker, Christine</t>
        </is>
      </c>
      <c r="D247" s="6" t="n">
        <v>2002</v>
      </c>
      <c r="E247" s="3" t="inlineStr">
        <is>
          <t>Adjusting the outputs of a classifier to new a priori probabilities: a simple procedure</t>
        </is>
      </c>
      <c r="F247" s="5" t="inlineStr">
        <is>
          <t>Journal article</t>
        </is>
      </c>
      <c r="G247" s="10" t="inlineStr">
        <is>
          <t>FT</t>
        </is>
      </c>
      <c r="H247" s="3" t="inlineStr">
        <is>
          <t>INCLUDE</t>
        </is>
      </c>
      <c r="I247" s="3" t="n"/>
      <c r="J247" s="3" t="inlineStr">
        <is>
          <t>Method</t>
        </is>
      </c>
      <c r="K247" s="3" t="inlineStr">
        <is>
          <t>Artificial and real multiclass classification problems; changed class priors between training and deployment</t>
        </is>
      </c>
      <c r="L247" s="3" t="inlineStr">
        <is>
          <t>Introduces the SLD/EM iterative procedure for jointly estimating unknown deployment class priors and correcting classifier posterior outputs without retraining; adjusted classifiers improve accuracy under prior shift.</t>
        </is>
      </c>
      <c r="M247" t="inlineStr">
        <is>
          <t>Foundational EM-based label-prior correction method directly underlying the review's SLD/EM correction family.</t>
        </is>
      </c>
      <c r="O247" s="12" t="inlineStr">
        <is>
          <t>Published</t>
        </is>
      </c>
      <c r="P247" s="12" t="n">
        <v>46303</v>
      </c>
      <c r="Q247" s="3" t="n"/>
      <c r="R247" s="3" t="inlineStr">
        <is>
          <t>Abstract, §2.3; EM estimates new a priori probabilities from unlabelled deployment data and iteratively adjusts classifier posterior outputs without refitting.</t>
        </is>
      </c>
      <c r="S247" s="3" t="inlineStr">
        <is>
          <t>N</t>
        </is>
      </c>
      <c r="T247" s="3" t="inlineStr">
        <is>
          <t>Y</t>
        </is>
      </c>
      <c r="U247" s="3" t="inlineStr">
        <is>
          <t>N</t>
        </is>
      </c>
    </row>
    <row r="248" ht="42.75" customHeight="1" s="18">
      <c r="A248" s="5" t="inlineStr">
        <is>
          <t>S2-0517</t>
        </is>
      </c>
      <c r="B248" s="5" t="inlineStr">
        <is>
          <t>B-ii</t>
        </is>
      </c>
      <c r="C248" s="3" t="inlineStr">
        <is>
          <t>Sun, Qingyao; Murphy, Kevin; Ebrahimi, Sayna; D'Amour, Alexander</t>
        </is>
      </c>
      <c r="D248" s="6" t="n">
        <v>2023</v>
      </c>
      <c r="E248" s="3" t="inlineStr">
        <is>
          <t>Beyond invariance: test-time label-shift adaptation for addressing "spurious" correlations</t>
        </is>
      </c>
      <c r="F248" s="5" t="inlineStr">
        <is>
          <t>Conference paper</t>
        </is>
      </c>
      <c r="G248" s="10" t="inlineStr">
        <is>
          <t>FT</t>
        </is>
      </c>
      <c r="H248" s="3" t="inlineStr">
        <is>
          <t>INCLUDE</t>
        </is>
      </c>
      <c r="I248" s="3" t="n"/>
      <c r="J248" s="3" t="inlineStr">
        <is>
          <t>Method</t>
        </is>
      </c>
      <c r="K248" s="3" t="inlineStr">
        <is>
          <t>Image and text classification; CelebA, Waterbirds, MultiNLI, CivilComments and CheXpert under expanded label shift</t>
        </is>
      </c>
      <c r="L248" s="3" t="inlineStr">
        <is>
          <t>TTLSA applies EM to unlabelled target samples to estimate shifted joint priors and reweight discriminative classifier outputs, improving robustness under relevant distribution shifts.</t>
        </is>
      </c>
      <c r="M248" t="inlineStr">
        <is>
          <t>Extends SLD/EM-style prior correction to joint class-and-nuisance labels and demonstrates it on both image and text benchmarks.</t>
        </is>
      </c>
      <c r="O248" s="3" t="inlineStr">
        <is>
          <t>Preprint</t>
        </is>
      </c>
      <c r="P248" s="12" t="n">
        <v>46303</v>
      </c>
      <c r="Q248" s="3" t="n"/>
      <c r="R248" s="3" t="inlineStr">
        <is>
          <t>Abstract, §3; TTLSA uses EM on unlabelled target data to estimate shifted priors and reweight classifier outputs; published at NeurIPS 2023.</t>
        </is>
      </c>
      <c r="S248" s="3" t="inlineStr">
        <is>
          <t>N</t>
        </is>
      </c>
      <c r="T248" s="3" t="inlineStr">
        <is>
          <t>Y</t>
        </is>
      </c>
      <c r="U248" s="3" t="inlineStr">
        <is>
          <t>Y</t>
        </is>
      </c>
    </row>
    <row r="249" ht="28.5" customHeight="1" s="18">
      <c r="A249" s="5" t="inlineStr">
        <is>
          <t>S2-0447</t>
        </is>
      </c>
      <c r="B249" s="5" t="inlineStr">
        <is>
          <t>B-ii</t>
        </is>
      </c>
      <c r="C249" s="3" t="inlineStr">
        <is>
          <t>Jeong, Jiun; An, Byeongwoo; Kim, Gi-Soo; Shin, Kyubo</t>
        </is>
      </c>
      <c r="D249" s="6" t="n">
        <v>2026</v>
      </c>
      <c r="E249" s="3" t="inlineStr">
        <is>
          <t>Calibration-aware online adaptation under label shift</t>
        </is>
      </c>
      <c r="F249" s="5" t="inlineStr">
        <is>
          <t>Conference paper</t>
        </is>
      </c>
      <c r="G249" s="10" t="inlineStr">
        <is>
          <t>FT</t>
        </is>
      </c>
      <c r="H249" s="3" t="inlineStr">
        <is>
          <t>INCLUDE</t>
        </is>
      </c>
      <c r="I249" s="3" t="n"/>
      <c r="J249" s="3" t="inlineStr">
        <is>
          <t>Method</t>
        </is>
      </c>
      <c r="K249" s="3" t="inlineStr">
        <is>
          <t>Synthetic Toy-10 and CIFAR-10; streaming multiclass data under constant label shift</t>
        </is>
      </c>
      <c r="L249" s="3" t="inlineStr">
        <is>
          <t>Proposes calibration-aware online estimation of target label proportions followed by importance-weighted classifier adaptation; it substantially reduces label-marginal estimation error versus BBSE-based online baselines.</t>
        </is>
      </c>
      <c r="M249" t="inlineStr">
        <is>
          <t>Directly addresses online class-prior estimation and subsequent classifier correction while analysing how calibration quality affects adaptation error.</t>
        </is>
      </c>
      <c r="O249" s="3" t="inlineStr">
        <is>
          <t>Published</t>
        </is>
      </c>
      <c r="P249" s="12" t="n">
        <v>46303</v>
      </c>
      <c r="Q249" s="3" t="n"/>
      <c r="R249" s="3" t="inlineStr">
        <is>
          <t>§4, §6; Stage 1 estimates the online target label distribution and Stage 2 adapts classifier parameters using the estimated importance weights.</t>
        </is>
      </c>
      <c r="S249" s="3" t="inlineStr">
        <is>
          <t>N</t>
        </is>
      </c>
      <c r="T249" s="3" t="inlineStr">
        <is>
          <t>Y</t>
        </is>
      </c>
      <c r="U249" s="3" t="inlineStr">
        <is>
          <t>N</t>
        </is>
      </c>
    </row>
    <row r="250" ht="57" customHeight="1" s="18">
      <c r="A250" s="5" t="inlineStr">
        <is>
          <t>S2-0528</t>
        </is>
      </c>
      <c r="B250" s="5" t="inlineStr">
        <is>
          <t>B-ii</t>
        </is>
      </c>
      <c r="C250" s="3" t="inlineStr">
        <is>
          <t>Hong, Yu; Li, Zhixu; Qu, Jianfeng; Liang, Jiaqing; Luo, Yi; Zhang, Miyu; Xiao, Yanghua; Wang, Wei</t>
        </is>
      </c>
      <c r="D250" s="6" t="n">
        <v>2022</v>
      </c>
      <c r="E250" s="3" t="inlineStr">
        <is>
          <t>Can We Have Both Fish and Bear's Paw? Improving Performance, Reliability, and both of them for Relation Extraction under Label Shift</t>
        </is>
      </c>
      <c r="F250" s="5" t="inlineStr">
        <is>
          <t>Conference paper</t>
        </is>
      </c>
      <c r="G250" s="10" t="inlineStr">
        <is>
          <t>FT</t>
        </is>
      </c>
      <c r="H250" s="3" t="inlineStr">
        <is>
          <t>INCLUDE</t>
        </is>
      </c>
      <c r="I250" s="3" t="n"/>
      <c r="J250" s="3" t="inlineStr">
        <is>
          <t>Method</t>
        </is>
      </c>
      <c r="K250" s="3" t="inlineStr">
        <is>
          <t>KBP and NYT distant-supervision relation-extraction sentences; real-world train/test label shift</t>
        </is>
      </c>
      <c r="L250" s="3" t="inlineStr">
        <is>
          <t>Label Adaptation rescales predictive probabilities for changed test-set relation distributions; proposed extensions improve F1 and reliability across multiple neural RE models.</t>
        </is>
      </c>
      <c r="M250" t="inlineStr">
        <is>
          <t>Applies classifier-output correction under label shift to an NLP relation-extraction setting, showing the practical effect of changed class priors on predictions.</t>
        </is>
      </c>
      <c r="O250" s="3" t="inlineStr">
        <is>
          <t>Published</t>
        </is>
      </c>
      <c r="P250" s="12" t="n">
        <v>46303</v>
      </c>
      <c r="Q250" s="3" t="n"/>
      <c r="R250" s="3" t="inlineStr">
        <is>
          <t>§3.2, §6; Label Adaptation adjusts predictive probabilities to new test label distributions; KBP and NYT provide shifted relation distributions.</t>
        </is>
      </c>
      <c r="S250" s="3" t="inlineStr">
        <is>
          <t>N</t>
        </is>
      </c>
      <c r="T250" s="3" t="inlineStr">
        <is>
          <t>N</t>
        </is>
      </c>
      <c r="U250" s="3" t="inlineStr">
        <is>
          <t>Y</t>
        </is>
      </c>
    </row>
    <row r="251" ht="42.75" customHeight="1" s="18">
      <c r="A251" s="5" t="inlineStr">
        <is>
          <t>S2-0513</t>
        </is>
      </c>
      <c r="B251" s="5" t="inlineStr">
        <is>
          <t>B-ii</t>
        </is>
      </c>
      <c r="C251" s="3" t="inlineStr">
        <is>
          <t>GonzáLez-Castro, VíCtor; Alaiz-RodríGuez, RocíO; Alegre, Enrique</t>
        </is>
      </c>
      <c r="D251" s="6" t="n">
        <v>2013</v>
      </c>
      <c r="E251" s="3" t="inlineStr">
        <is>
          <t>Class distribution estimation based on the Hellinger distance</t>
        </is>
      </c>
      <c r="F251" s="5" t="inlineStr">
        <is>
          <t>Journal article</t>
        </is>
      </c>
      <c r="G251" s="10" t="inlineStr">
        <is>
          <t>FT</t>
        </is>
      </c>
      <c r="H251" s="3" t="inlineStr">
        <is>
          <t>INCLUDE</t>
        </is>
      </c>
      <c r="I251" s="3" t="n"/>
      <c r="J251" s="3" t="inlineStr">
        <is>
          <t>Method</t>
        </is>
      </c>
      <c r="K251" s="3" t="inlineStr">
        <is>
          <t>15 UCI binary datasets plus a boar-semen computer-vision application; class-prior shift</t>
        </is>
      </c>
      <c r="L251" s="3" t="inlineStr">
        <is>
          <t>Proposes HDx/HDy Hellinger-distance quantifiers for estimating test-set class priors; HDy significantly outperforms CC, Adjusted Count, Median Sweep and posterior-probability methods.</t>
        </is>
      </c>
      <c r="M251" t="inlineStr">
        <is>
          <t>Direct quantification study benchmarking a new distribution-matching estimator against both adjusted-count and EM-inspired posterior-probability correction families.</t>
        </is>
      </c>
      <c r="O251" s="3" t="inlineStr">
        <is>
          <t>Published</t>
        </is>
      </c>
      <c r="P251" s="12" t="n">
        <v>46303</v>
      </c>
      <c r="Q251" s="3" t="n"/>
      <c r="R251" s="3" t="inlineStr">
        <is>
          <t>§2–5; estimates class priors of unlabelled test sets and compares HD methods with AC and an EM-inspired posterior-probability method.</t>
        </is>
      </c>
      <c r="S251" s="3" t="inlineStr">
        <is>
          <t>Y</t>
        </is>
      </c>
      <c r="T251" s="3" t="inlineStr">
        <is>
          <t>Y</t>
        </is>
      </c>
      <c r="U251" s="3" t="inlineStr">
        <is>
          <t>N</t>
        </is>
      </c>
    </row>
    <row r="252" ht="42.75" customHeight="1" s="18">
      <c r="A252" s="5" t="inlineStr">
        <is>
          <t>S2-0507</t>
        </is>
      </c>
      <c r="B252" s="5" t="inlineStr">
        <is>
          <t>B-ii</t>
        </is>
      </c>
      <c r="C252" s="3" t="inlineStr">
        <is>
          <t>Perini, Lorenzo; Vercruyssen, Vincent; Davis, Jesse</t>
        </is>
      </c>
      <c r="D252" s="6" t="n">
        <v>2021</v>
      </c>
      <c r="E252" s="3" t="inlineStr">
        <is>
          <t>Class prior estimation in active positive and unlabeled learning</t>
        </is>
      </c>
      <c r="F252" s="5" t="inlineStr">
        <is>
          <t>Conference paper</t>
        </is>
      </c>
      <c r="G252" s="10" t="inlineStr">
        <is>
          <t>FT</t>
        </is>
      </c>
      <c r="H252" s="3" t="inlineStr">
        <is>
          <t>INCLUDE</t>
        </is>
      </c>
      <c r="I252" s="3" t="n"/>
      <c r="J252" s="3" t="inlineStr">
        <is>
          <t>Method</t>
        </is>
      </c>
      <c r="K252" s="3" t="inlineStr">
        <is>
          <t>Nine anomaly-detection datasets; active positive-unlabelled learning</t>
        </is>
      </c>
      <c r="L252" s="3" t="inlineStr">
        <is>
          <t>Introduces CAPE, which estimates the positive-class prior from actively acquired positive labels and unlabelled observations using propensity scores, outperforming existing estimators.</t>
        </is>
      </c>
      <c r="M252" t="inlineStr">
        <is>
          <t>Extends prevalence estimation to PU data where labelled positives are actively selected rather than selected completely at random.</t>
        </is>
      </c>
      <c r="O252" s="3" t="inlineStr">
        <is>
          <t>Published</t>
        </is>
      </c>
      <c r="P252" s="12" t="n">
        <v>46303</v>
      </c>
      <c r="Q252" s="3" t="n"/>
      <c r="R252" s="3" t="inlineStr">
        <is>
          <t>Abstract, §3, §5; CAPE explicitly estimates the class prior of partially labelled active-PU data and evaluates estimation MAE on nine datasets.</t>
        </is>
      </c>
      <c r="S252" s="3" t="inlineStr">
        <is>
          <t>N</t>
        </is>
      </c>
      <c r="T252" s="3" t="inlineStr">
        <is>
          <t>N</t>
        </is>
      </c>
      <c r="U252" s="3" t="inlineStr">
        <is>
          <t>N</t>
        </is>
      </c>
    </row>
    <row r="253" ht="42.75" customHeight="1" s="18">
      <c r="A253" s="5" t="inlineStr">
        <is>
          <t>S2-0477</t>
        </is>
      </c>
      <c r="B253" s="5" t="inlineStr">
        <is>
          <t>B-ii</t>
        </is>
      </c>
      <c r="C253" s="3" t="inlineStr">
        <is>
          <t>Yoshida, Takeshi; Shin’ya, Eitaro; Washio, Takashi</t>
        </is>
      </c>
      <c r="D253" s="6" t="n">
        <v>2025</v>
      </c>
      <c r="E253" s="3" t="inlineStr">
        <is>
          <t>Class-prior probability estimation using density ratio between unlabeled instances and positively labeled noisy instances</t>
        </is>
      </c>
      <c r="F253" s="5" t="inlineStr">
        <is>
          <t>Journal article</t>
        </is>
      </c>
      <c r="G253" s="10" t="inlineStr">
        <is>
          <t>FT</t>
        </is>
      </c>
      <c r="H253" s="3" t="inlineStr">
        <is>
          <t>INCLUDE</t>
        </is>
      </c>
      <c r="I253" s="3" t="n"/>
      <c r="J253" s="3" t="inlineStr">
        <is>
          <t>Method</t>
        </is>
      </c>
      <c r="K253" s="3" t="inlineStr">
        <is>
          <t>Synthetic data and 12 UCI binary datasets; noisy positive-labelled plus unlabelled mixtures</t>
        </is>
      </c>
      <c r="L253" s="3" t="inlineStr">
        <is>
          <t>Uses direct density-ratio estimation to recover positive and negative mixture proportions in noisy positive-labelled and unlabelled samples, with improved accuracy and speed over comparators.</t>
        </is>
      </c>
      <c r="M253" t="inlineStr">
        <is>
          <t>Provides a distinct prevalence-estimation approach for weakly supervised data where both labelled and unlabelled sets have unknown class mixtures.</t>
        </is>
      </c>
      <c r="O253" s="3" t="inlineStr">
        <is>
          <t>Published</t>
        </is>
      </c>
      <c r="P253" s="12" t="n">
        <v>46303</v>
      </c>
      <c r="Q253" s="3" t="n"/>
      <c r="R253" s="3" t="inlineStr">
        <is>
          <t>Abstract, §6; directly estimates unknown positive/negative mixture proportions and evaluates class-prior MAE on synthetic and 12 UCI datasets.</t>
        </is>
      </c>
      <c r="S253" s="3" t="inlineStr">
        <is>
          <t>N</t>
        </is>
      </c>
      <c r="T253" s="3" t="inlineStr">
        <is>
          <t>N</t>
        </is>
      </c>
      <c r="U253" s="3" t="inlineStr">
        <is>
          <t>N</t>
        </is>
      </c>
    </row>
    <row r="254" ht="57" customHeight="1" s="18">
      <c r="A254" s="5" t="inlineStr">
        <is>
          <t>S2-0456</t>
        </is>
      </c>
      <c r="B254" s="5" t="inlineStr">
        <is>
          <t>B-ii</t>
        </is>
      </c>
      <c r="C254" s="3" t="inlineStr">
        <is>
          <t>Kloos, Kevin; Karch, Julian D.; Meertens, Quinten A.; Scholtus, Sander; de Rooij, Mark</t>
        </is>
      </c>
      <c r="D254" s="6" t="n">
        <v>2026</v>
      </c>
      <c r="E254" s="3" t="inlineStr">
        <is>
          <t>Continuous Sweep for Binary Quantification Learning</t>
        </is>
      </c>
      <c r="F254" s="5" t="inlineStr">
        <is>
          <t>Journal article</t>
        </is>
      </c>
      <c r="G254" s="10" t="inlineStr">
        <is>
          <t>FT</t>
        </is>
      </c>
      <c r="H254" s="3" t="inlineStr">
        <is>
          <t>INCLUDE</t>
        </is>
      </c>
      <c r="I254" s="3" t="n"/>
      <c r="J254" s="3" t="inlineStr">
        <is>
          <t>Method</t>
        </is>
      </c>
      <c r="K254" s="3" t="inlineStr">
        <is>
          <t>Simulations and LeQua2022 textual product-review quantification data; binary prevalence estimation</t>
        </is>
      </c>
      <c r="L254" s="3" t="inlineStr">
        <is>
          <t>Introduces Continuous Sweep, an ensemble of adjusted-count estimators; it outperforms Median Sweep and is competitive with DyS and SLD, although SLD performs better on LeQua2022.</t>
        </is>
      </c>
      <c r="M254" t="inlineStr">
        <is>
          <t>Extends the adjusted-count family theoretically and empirically while directly benchmarking against SLD on a text quantification task.</t>
        </is>
      </c>
      <c r="O254" s="3" t="inlineStr">
        <is>
          <t>Published</t>
        </is>
      </c>
      <c r="P254" s="12" t="n">
        <v>46303</v>
      </c>
      <c r="Q254" s="3" t="n"/>
      <c r="R254" s="3" t="inlineStr">
        <is>
          <t>§2–5; Continuous Sweep aggregates adjusted-count estimates and is compared with SLD on 5,000 LeQua2022 product-review test sets.</t>
        </is>
      </c>
      <c r="S254" s="3" t="inlineStr">
        <is>
          <t>Y</t>
        </is>
      </c>
      <c r="T254" s="3" t="inlineStr">
        <is>
          <t>Y</t>
        </is>
      </c>
      <c r="U254" s="3" t="inlineStr">
        <is>
          <t>Y</t>
        </is>
      </c>
    </row>
    <row r="255" ht="28.5" customHeight="1" s="18">
      <c r="A255" s="5" t="inlineStr">
        <is>
          <t>S2-0472</t>
        </is>
      </c>
      <c r="B255" s="5" t="inlineStr">
        <is>
          <t>B-ii</t>
        </is>
      </c>
      <c r="C255" s="3" t="inlineStr">
        <is>
          <t>Sun, Xiaona; Wu, Zhenyu; Zhan, Zhiqiang; Ji, Yang</t>
        </is>
      </c>
      <c r="D255" s="6" t="n">
        <v>2024</v>
      </c>
      <c r="E255" s="3" t="inlineStr">
        <is>
          <t>Contrastive Conditional Alignment Based on Label Shift Calibration for Imbalanced Domain Adaptation</t>
        </is>
      </c>
      <c r="F255" s="5" t="inlineStr">
        <is>
          <t>Conference paper</t>
        </is>
      </c>
      <c r="G255" s="10" t="inlineStr">
        <is>
          <t>FT</t>
        </is>
      </c>
      <c r="H255" s="3" t="inlineStr">
        <is>
          <t>INCLUDE</t>
        </is>
      </c>
      <c r="I255" s="3" t="n"/>
      <c r="J255" s="3" t="inlineStr">
        <is>
          <t>Method</t>
        </is>
      </c>
      <c r="K255" s="3" t="inlineStr">
        <is>
          <t>OfficeHome and DomainNet image-domain adaptation benchmarks under simultaneous covariate and label shift</t>
        </is>
      </c>
      <c r="L255" s="3" t="inlineStr">
        <is>
          <t>CCA-LSC estimates the target-domain label distribution from pseudo-labels, derives a class-specific label-shift metric, and recalibrates target predictions; the method improves performance on both benchmark families.</t>
        </is>
      </c>
      <c r="M255" t="inlineStr">
        <is>
          <t>Directly satisfies B-ii because it estimates the unlabelled target label distribution and then uses the estimated prior shift to correct classifier predictions.</t>
        </is>
      </c>
      <c r="O255" s="3" t="inlineStr">
        <is>
          <t>Preprint</t>
        </is>
      </c>
      <c r="P255" s="12" t="n">
        <v>46303</v>
      </c>
      <c r="Q255" s="3" t="n"/>
      <c r="R255" s="3" t="inlineStr">
        <is>
          <t>§3.3–3.4; target distribution PT is approximated from pseudo-labels, converted into class-wise label-shift ratios, and used to reweight target prediction probabilities.</t>
        </is>
      </c>
      <c r="S255" s="3" t="inlineStr">
        <is>
          <t>N</t>
        </is>
      </c>
      <c r="T255" s="3" t="inlineStr">
        <is>
          <t>N</t>
        </is>
      </c>
      <c r="U255" s="3" t="inlineStr">
        <is>
          <t>N</t>
        </is>
      </c>
    </row>
    <row r="256" ht="42.75" customHeight="1" s="18">
      <c r="A256" s="5" t="inlineStr">
        <is>
          <t>S2-0464</t>
        </is>
      </c>
      <c r="B256" s="5" t="inlineStr">
        <is>
          <t>B-ii</t>
        </is>
      </c>
      <c r="C256" s="3" t="inlineStr">
        <is>
          <t>Garg, Saurabh; Balakrishnan, Sivaraman; Lipton, Zachary C.</t>
        </is>
      </c>
      <c r="D256" s="6" t="n">
        <v>2022</v>
      </c>
      <c r="E256" s="3" t="inlineStr">
        <is>
          <t>Domain adaptation under open set label shift</t>
        </is>
      </c>
      <c r="F256" s="5" t="inlineStr">
        <is>
          <t>Conference paper</t>
        </is>
      </c>
      <c r="G256" s="10" t="inlineStr">
        <is>
          <t>FT</t>
        </is>
      </c>
      <c r="H256" s="3" t="inlineStr">
        <is>
          <t>INCLUDE</t>
        </is>
      </c>
      <c r="I256" s="3" t="n"/>
      <c r="J256" s="3" t="inlineStr">
        <is>
          <t>Method</t>
        </is>
      </c>
      <c r="K256" s="3" t="inlineStr">
        <is>
          <t>Vision, natural-language, biological and medical benchmarks including Newsgroups-20; open-set label shift with novel target classes</t>
        </is>
      </c>
      <c r="L256" s="3" t="inlineStr">
        <is>
          <t>PULSE estimates the complete target label distribution, including novel-class prevalence, then learns a target classifier; it improves target accuracy by 10–25% over generic open-set domain-adaptation baselines.</t>
        </is>
      </c>
      <c r="M256" t="inlineStr">
        <is>
          <t>Extends class-prior estimation beyond closed-set label shift by jointly estimating shifted known-class proportions and previously unseen-class prevalence.</t>
        </is>
      </c>
      <c r="O256" s="3" t="inlineStr">
        <is>
          <t>Published</t>
        </is>
      </c>
      <c r="P256" s="12" t="n">
        <v>46303</v>
      </c>
      <c r="Q256" s="3" t="n"/>
      <c r="R256" s="3" t="inlineStr">
        <is>
          <t>§1, §6–7; primary goals explicitly include estimation of the target label distribution and novel-class prevalence from unlabelled target data.</t>
        </is>
      </c>
      <c r="S256" s="3" t="inlineStr">
        <is>
          <t>N</t>
        </is>
      </c>
      <c r="T256" s="3" t="inlineStr">
        <is>
          <t>N</t>
        </is>
      </c>
      <c r="U256" s="3" t="inlineStr">
        <is>
          <t>Y</t>
        </is>
      </c>
    </row>
    <row r="257" ht="42.75" customHeight="1" s="18">
      <c r="A257" s="5" t="inlineStr">
        <is>
          <t>S2-0505</t>
        </is>
      </c>
      <c r="B257" s="5" t="inlineStr">
        <is>
          <t>B-ii</t>
        </is>
      </c>
      <c r="C257" s="3" t="inlineStr">
        <is>
          <t>Combes, Remi Tachet des; Zhao, Han; Wang, Yu-Xiang; Gordon, Geoff</t>
        </is>
      </c>
      <c r="D257" s="6" t="n">
        <v>2020</v>
      </c>
      <c r="E257" s="3" t="inlineStr">
        <is>
          <t>Domain adaptation with conditional distribution matching and generalized label shift</t>
        </is>
      </c>
      <c r="F257" s="5" t="inlineStr">
        <is>
          <t>Conference paper</t>
        </is>
      </c>
      <c r="G257" s="10" t="inlineStr">
        <is>
          <t>FT</t>
        </is>
      </c>
      <c r="H257" s="3" t="inlineStr">
        <is>
          <t>INCLUDE</t>
        </is>
      </c>
      <c r="I257" s="3" t="n"/>
      <c r="J257" s="3" t="inlineStr">
        <is>
          <t>Method</t>
        </is>
      </c>
      <c r="K257" s="3" t="inlineStr">
        <is>
          <t>Digits, VisDA, Office-31 and Office-Home domain-adaptation benchmarks under generalized label shift</t>
        </is>
      </c>
      <c r="L257" s="3" t="inlineStr">
        <is>
          <t>Estimates target/source class-prior ratios using moment matching and a source confusion matrix, then applies those estimates as importance weights within DANN, JAN and CDAN; the weighted variants improve performance under large label-distribution mismatches.</t>
        </is>
      </c>
      <c r="M257" t="inlineStr">
        <is>
          <t>Directly extends confusion-matrix-based label-shift estimation to generalized label shift in representation space and uses the estimated prior ratios for adaptation.</t>
        </is>
      </c>
      <c r="O257" s="3" t="inlineStr">
        <is>
          <t>Published</t>
        </is>
      </c>
      <c r="P257" s="12" t="n">
        <v>46303</v>
      </c>
      <c r="Q257" s="3" t="n"/>
      <c r="R257" s="3" t="inlineStr">
        <is>
          <t>§3.3–3.4; target/source label-distribution importance weights are estimated from the source confusion matrix and target prediction distribution and then used to reweight learning objectives.</t>
        </is>
      </c>
      <c r="S257" s="3" t="inlineStr">
        <is>
          <t>Y</t>
        </is>
      </c>
      <c r="T257" s="3" t="inlineStr">
        <is>
          <t>N</t>
        </is>
      </c>
      <c r="U257" s="3" t="inlineStr">
        <is>
          <t>N</t>
        </is>
      </c>
    </row>
    <row r="258" ht="42.75" customHeight="1" s="18">
      <c r="A258" s="5" t="inlineStr">
        <is>
          <t>S2-0508</t>
        </is>
      </c>
      <c r="B258" s="5" t="inlineStr">
        <is>
          <t>B-ii</t>
        </is>
      </c>
      <c r="C258" s="3" t="inlineStr">
        <is>
          <t>Li, Juren; Yang, Yang; Chen, Youmin; Zhang, Jianfeng; Lai, Zeyu; Pan, Lujia</t>
        </is>
      </c>
      <c r="D258" s="6" t="n">
        <v>2024</v>
      </c>
      <c r="E258" s="3" t="inlineStr">
        <is>
          <t>DWLR: domain adaptation under label shift for wearable sensor</t>
        </is>
      </c>
      <c r="F258" s="5" t="inlineStr">
        <is>
          <t>Conference paper</t>
        </is>
      </c>
      <c r="G258" s="10" t="inlineStr">
        <is>
          <t>FT</t>
        </is>
      </c>
      <c r="H258" s="3" t="inlineStr">
        <is>
          <t>INCLUDE</t>
        </is>
      </c>
      <c r="I258" s="3" t="n"/>
      <c r="J258" s="3" t="inlineStr">
        <is>
          <t>Method</t>
        </is>
      </c>
      <c r="K258" s="3" t="inlineStr">
        <is>
          <t>UCIHAR, SleepEDF and other wearable-sensor time-series datasets; cross-user/device feature and label shift</t>
        </is>
      </c>
      <c r="L258" s="3" t="inlineStr">
        <is>
          <t>DWLR learns target-sample weights so that the reweighted target label distribution aligns with the source distribution while jointly adapting time- and frequency-domain representations; average performance improves by 5.85%.</t>
        </is>
      </c>
      <c r="M258" t="inlineStr">
        <is>
          <t>Eligible label-shift correction study because it explicitly modifies sample weighting and downstream learning to correct mismatched source/target label distributions.</t>
        </is>
      </c>
      <c r="O258" s="3" t="inlineStr">
        <is>
          <t>Published</t>
        </is>
      </c>
      <c r="P258" s="12" t="n">
        <v>46303</v>
      </c>
      <c r="Q258" s="3" t="n"/>
      <c r="R258" s="3" t="inlineStr">
        <is>
          <t>§3.1–3.3; learnable target reweighting constructs a reweighted target label distribution and minimises its divergence from the source label distribution.</t>
        </is>
      </c>
      <c r="S258" s="3" t="inlineStr">
        <is>
          <t>N</t>
        </is>
      </c>
      <c r="T258" s="3" t="inlineStr">
        <is>
          <t>N</t>
        </is>
      </c>
      <c r="U258" s="3" t="inlineStr">
        <is>
          <t>N</t>
        </is>
      </c>
    </row>
    <row r="259" ht="28.5" customHeight="1" s="18">
      <c r="A259" s="5" t="inlineStr">
        <is>
          <t>S2-0463</t>
        </is>
      </c>
      <c r="B259" s="5" t="inlineStr">
        <is>
          <t>B-ii</t>
        </is>
      </c>
      <c r="C259" s="3" t="inlineStr">
        <is>
          <t>Ouyang, Yanlong; Mizutani, Shin; Kishino, Yasue</t>
        </is>
      </c>
      <c r="D259" s="6" t="n">
        <v>2026</v>
      </c>
      <c r="E259" s="3" t="inlineStr">
        <is>
          <t>Efficient Video Object Classification Using Class Prior Adaptation Under Continuous Class-Balance Changes</t>
        </is>
      </c>
      <c r="F259" s="5" t="inlineStr">
        <is>
          <t>Conference paper</t>
        </is>
      </c>
      <c r="G259" s="10" t="inlineStr">
        <is>
          <t>FT</t>
        </is>
      </c>
      <c r="H259" s="3" t="inlineStr">
        <is>
          <t>INCLUDE</t>
        </is>
      </c>
      <c r="I259" s="3" t="n"/>
      <c r="J259" s="3" t="inlineStr">
        <is>
          <t>Method</t>
        </is>
      </c>
      <c r="K259" s="3" t="inlineStr">
        <is>
          <t>Wildlife camera-trap video/image classification under continuously changing class balance</t>
        </is>
      </c>
      <c r="L259" s="3" t="inlineStr">
        <is>
          <t>Predicts time-varying test class priors from temporal cues and integrates those priors with classifier outputs through a lightweight test-time prior-adaptation scheme; oracle test priors improve classification, while predicted-prior gains depend on prior-prediction accuracy.</t>
        </is>
      </c>
      <c r="M259" t="inlineStr">
        <is>
          <t>Direct prior-estimation and output-correction study addressing continuously changing deployment prevalence without classifier retraining.</t>
        </is>
      </c>
      <c r="O259" s="3" t="inlineStr">
        <is>
          <t>Published</t>
        </is>
      </c>
      <c r="P259" s="12" t="n">
        <v>46303</v>
      </c>
      <c r="Q259" s="3" t="n"/>
      <c r="R259" s="3" t="inlineStr">
        <is>
          <t>§3–5; temporal class-prior predictor estimates deployment priors and the prior-adaptation module adjusts standard classifier outputs at test time.</t>
        </is>
      </c>
      <c r="S259" s="3" t="inlineStr">
        <is>
          <t>N</t>
        </is>
      </c>
      <c r="T259" s="3" t="inlineStr">
        <is>
          <t>N</t>
        </is>
      </c>
      <c r="U259" s="3" t="inlineStr">
        <is>
          <t>N</t>
        </is>
      </c>
    </row>
    <row r="260" ht="28.5" customHeight="1" s="18">
      <c r="A260" s="5" t="inlineStr">
        <is>
          <t>S2-0515</t>
        </is>
      </c>
      <c r="B260" s="5" t="inlineStr">
        <is>
          <t>B-ii</t>
        </is>
      </c>
      <c r="C260" s="3" t="inlineStr">
        <is>
          <t>Tian, Qinglong; Zhang, Xin; Zhao, Jiwei</t>
        </is>
      </c>
      <c r="D260" s="6" t="n">
        <v>2023</v>
      </c>
      <c r="E260" s="3" t="inlineStr">
        <is>
          <t>ELSA: efficient label shift adaptation through the lens of semiparametric models</t>
        </is>
      </c>
      <c r="F260" s="5" t="inlineStr">
        <is>
          <t>Conference paper</t>
        </is>
      </c>
      <c r="G260" s="10" t="inlineStr">
        <is>
          <t>FT</t>
        </is>
      </c>
      <c r="H260" s="3" t="inlineStr">
        <is>
          <t>INCLUDE</t>
        </is>
      </c>
      <c r="I260" s="3" t="n"/>
      <c r="J260" s="3" t="inlineStr">
        <is>
          <t>Method</t>
        </is>
      </c>
      <c r="K260" s="3" t="inlineStr">
        <is>
          <t>MNIST, CIFAR-10 and CIFAR-100 under simulated Dirichlet label shift</t>
        </is>
      </c>
      <c r="L260" s="3" t="inlineStr">
        <is>
          <t>ELSA estimates target/source class-prior importance weights through semiparametric moment matching and linear systems, achieving lower prior-estimation MSE than competing methods across many shift settings without requiring post-prediction calibration.</t>
        </is>
      </c>
      <c r="M260" t="inlineStr">
        <is>
          <t>Direct class-prior-ratio estimation study that also benchmarks against the two major established families, BBSE/RLLS and MLLS/EM.</t>
        </is>
      </c>
      <c r="O260" s="3" t="inlineStr">
        <is>
          <t>Published</t>
        </is>
      </c>
      <c r="P260" s="12" t="n">
        <v>46303</v>
      </c>
      <c r="Q260" s="3" t="n"/>
      <c r="R260" s="3" t="inlineStr">
        <is>
          <t>§1–4; ELSA directly estimates label-shift importance weights and is evaluated against BBSE/RLLS and MLLS across controlled prior shifts.</t>
        </is>
      </c>
      <c r="S260" s="3" t="inlineStr">
        <is>
          <t>Y</t>
        </is>
      </c>
      <c r="T260" s="3" t="inlineStr">
        <is>
          <t>Y</t>
        </is>
      </c>
      <c r="U260" s="3" t="inlineStr">
        <is>
          <t>N</t>
        </is>
      </c>
    </row>
    <row r="261" ht="28.5" customHeight="1" s="18">
      <c r="A261" s="5" t="inlineStr">
        <is>
          <t>S2-0495</t>
        </is>
      </c>
      <c r="B261" s="5" t="inlineStr">
        <is>
          <t>B-ii</t>
        </is>
      </c>
      <c r="C261" s="3" t="inlineStr">
        <is>
          <t>Levin, Roy; Roitman, Haggai</t>
        </is>
      </c>
      <c r="D261" s="6" t="n">
        <v>2017</v>
      </c>
      <c r="E261" s="3" t="inlineStr">
        <is>
          <t>Enhanced Probabilistic Classify and Count Methods for Multi-Label Text Quantification</t>
        </is>
      </c>
      <c r="F261" s="5" t="inlineStr">
        <is>
          <t>Conference paper</t>
        </is>
      </c>
      <c r="G261" s="10" t="inlineStr">
        <is>
          <t>FT</t>
        </is>
      </c>
      <c r="H261" s="3" t="inlineStr">
        <is>
          <t>INCLUDE</t>
        </is>
      </c>
      <c r="I261" s="3" t="n"/>
      <c r="J261" s="3" t="inlineStr">
        <is>
          <t>Method</t>
        </is>
      </c>
      <c r="K261" s="3" t="inlineStr">
        <is>
          <t>More than 170,000 short employee questionnaire comments from 14 companies; multi-label text quantification</t>
        </is>
      </c>
      <c r="L261" s="3" t="inlineStr">
        <is>
          <t>Introduces PCC-PAV and PCC-EPAV to improve class-count estimation by calibrating classifier posterior probabilities for quantification; PCC-EPAV significantly improves quantification quality over PCC-PAV and simpler baselines.</t>
        </is>
      </c>
      <c r="M261" t="inlineStr">
        <is>
          <t>Directly estimates class prevalence/counts in unlabelled text collections and therefore meets the core Strand B-ii quantification criterion.</t>
        </is>
      </c>
      <c r="O261" s="3" t="inlineStr">
        <is>
          <t>Published</t>
        </is>
      </c>
      <c r="P261" s="12" t="n">
        <v>46303</v>
      </c>
      <c r="Q261" s="3" t="n"/>
      <c r="R261" s="3" t="inlineStr">
        <is>
          <t>§2–4; objective is estimation of per-label document counts, evaluated on a large real-world short-text corpus using probabilistic quantification methods.</t>
        </is>
      </c>
      <c r="S261" s="3" t="inlineStr">
        <is>
          <t>N</t>
        </is>
      </c>
      <c r="T261" s="3" t="inlineStr">
        <is>
          <t>N</t>
        </is>
      </c>
      <c r="U261" s="3" t="inlineStr">
        <is>
          <t>Y</t>
        </is>
      </c>
    </row>
    <row r="262" ht="42.75" customHeight="1" s="18">
      <c r="A262" s="5" t="inlineStr">
        <is>
          <t>S2-0489</t>
        </is>
      </c>
      <c r="B262" s="5" t="inlineStr">
        <is>
          <t>B-ii</t>
        </is>
      </c>
      <c r="C262" s="3" t="inlineStr">
        <is>
          <t>Serapião, Adriane B. S.; Donyavi, Zahra; Batista, Gustavo</t>
        </is>
      </c>
      <c r="D262" s="6" t="n">
        <v>2023</v>
      </c>
      <c r="E262" s="3" t="inlineStr">
        <is>
          <t>Ensembles of&amp;nbsp;Classifiers and&amp;nbsp;Quantifiers with&amp;nbsp;Data Fusion for&amp;nbsp;Quantification Learning</t>
        </is>
      </c>
      <c r="F262" s="5" t="inlineStr">
        <is>
          <t>Conference paper</t>
        </is>
      </c>
      <c r="G262" s="10" t="inlineStr">
        <is>
          <t>FT</t>
        </is>
      </c>
      <c r="H262" s="3" t="inlineStr">
        <is>
          <t>INCLUDE</t>
        </is>
      </c>
      <c r="I262" s="3" t="n"/>
      <c r="J262" s="3" t="inlineStr">
        <is>
          <t>Method</t>
        </is>
      </c>
      <c r="K262" s="3" t="inlineStr">
        <is>
          <t>31 multi-class benchmark datasets with artificially varied train/test prevalences</t>
        </is>
      </c>
      <c r="L262" s="3" t="inlineStr">
        <is>
          <t>Proposes FMC-SQ and FMC-MQ ensembles that fuse classifier and quantifier outputs; FMC-MQ, combining multiple quantifiers including EM, GACC and GPACC, is the best-performing approach on average.</t>
        </is>
      </c>
      <c r="M262" t="inlineStr">
        <is>
          <t>Direct multi-class quantification study spanning both adjusted-count and EM-based prevalence-estimation families and showing that ensemble fusion can improve prevalence estimates.</t>
        </is>
      </c>
      <c r="O262" s="3" t="inlineStr">
        <is>
          <t>Published</t>
        </is>
      </c>
      <c r="P262" s="12" t="n">
        <v>46303</v>
      </c>
      <c r="Q262" s="3" t="n"/>
      <c r="R262" s="3" t="inlineStr">
        <is>
          <t>§3–7; experiments compare and combine GACC/GPACC adjusted-count quantifiers and EMQ across 31 multi-class prevalence-shift datasets.</t>
        </is>
      </c>
      <c r="S262" s="3" t="inlineStr">
        <is>
          <t>Y</t>
        </is>
      </c>
      <c r="T262" s="3" t="inlineStr">
        <is>
          <t>Y</t>
        </is>
      </c>
      <c r="U262" s="3" t="inlineStr">
        <is>
          <t>N</t>
        </is>
      </c>
    </row>
    <row r="263" ht="28.5" customHeight="1" s="18">
      <c r="A263" s="5" t="inlineStr">
        <is>
          <t>S2-0530</t>
        </is>
      </c>
      <c r="B263" s="5" t="inlineStr">
        <is>
          <t>B-ii</t>
        </is>
      </c>
      <c r="C263" s="3" t="inlineStr">
        <is>
          <t>Chan, Yee Seng; Ng, Hwee Tou</t>
        </is>
      </c>
      <c r="D263" s="6" t="n">
        <v>2006</v>
      </c>
      <c r="E263" s="3" t="inlineStr">
        <is>
          <t>Estimating class priors in domain adaptation for word sense disambiguation</t>
        </is>
      </c>
      <c r="F263" s="5" t="inlineStr">
        <is>
          <t>Conference paper</t>
        </is>
      </c>
      <c r="G263" s="10" t="inlineStr">
        <is>
          <t>FT</t>
        </is>
      </c>
      <c r="H263" s="3" t="inlineStr">
        <is>
          <t>INCLUDE</t>
        </is>
      </c>
      <c r="I263" s="3" t="n"/>
      <c r="J263" s="3" t="inlineStr">
        <is>
          <t>Method</t>
        </is>
      </c>
      <c r="K263" s="3" t="inlineStr">
        <is>
          <t>Word-sense disambiguation on Brown Corpus and Wall Street Journal portions of the DSO corpus; cross-domain sense-prior shift</t>
        </is>
      </c>
      <c r="L263" s="3" t="inlineStr">
        <is>
          <t>Uses the Saerens EM procedure with calibrated classifier probabilities to estimate target-domain sense priors and adjust WSD predictions; better calibration produces more accurate prior estimates and significant WSD accuracy improvements.</t>
        </is>
      </c>
      <c r="M263" t="inlineStr">
        <is>
          <t>Direct NLP application of EM/SLD-style target-prior estimation and posterior correction under domain-dependent class-prior shift.</t>
        </is>
      </c>
      <c r="O263" s="3" t="inlineStr">
        <is>
          <t>Published</t>
        </is>
      </c>
      <c r="P263" s="12" t="n">
        <v>46303</v>
      </c>
      <c r="Q263" s="3" t="n"/>
      <c r="R263" s="3" t="inlineStr">
        <is>
          <t>§2, §6; EM estimates new-domain sense priors from unlabelled target instances and the resulting priors are used to adjust classifier predictions.</t>
        </is>
      </c>
      <c r="S263" s="3" t="inlineStr">
        <is>
          <t>N</t>
        </is>
      </c>
      <c r="T263" s="3" t="inlineStr">
        <is>
          <t>Y</t>
        </is>
      </c>
      <c r="U263" s="3" t="inlineStr">
        <is>
          <t>Y</t>
        </is>
      </c>
    </row>
    <row r="264" ht="28.5" customHeight="1" s="18">
      <c r="A264" s="5" t="inlineStr">
        <is>
          <t>S2-0518</t>
        </is>
      </c>
      <c r="B264" s="5" t="inlineStr">
        <is>
          <t>B-ii</t>
        </is>
      </c>
      <c r="C264" s="3" t="inlineStr">
        <is>
          <t>Jain, Shantanu; White, Martha; Radivojac, Predrag</t>
        </is>
      </c>
      <c r="D264" s="6" t="n">
        <v>2016</v>
      </c>
      <c r="E264" s="3" t="inlineStr">
        <is>
          <t>Estimating the class prior and posterior from noisy positives and unlabeled data</t>
        </is>
      </c>
      <c r="F264" s="5" t="inlineStr">
        <is>
          <t>Conference paper</t>
        </is>
      </c>
      <c r="G264" s="10" t="inlineStr">
        <is>
          <t>FT</t>
        </is>
      </c>
      <c r="H264" s="3" t="inlineStr">
        <is>
          <t>INCLUDE</t>
        </is>
      </c>
      <c r="I264" s="3" t="n"/>
      <c r="J264" s="3" t="inlineStr">
        <is>
          <t>Method</t>
        </is>
      </c>
      <c r="K264" s="3" t="inlineStr">
        <is>
          <t>Synthetic mixtures and 12 UCI real-world datasets, including Spambase; noisy positive-labelled and unlabelled binary data</t>
        </is>
      </c>
      <c r="L264" s="3" t="inlineStr">
        <is>
          <t>Introduces parametric and non-parametric class-prior estimators that transform high-dimensional PU data into a prior-preserving univariate space; AlphaMax-N is robust to positive-label noise and performs strongly across real datasets.</t>
        </is>
      </c>
      <c r="M264" t="inlineStr">
        <is>
          <t>Extends prevalence estimation to noisy positive-unlabelled settings where even the nominally positive sample is contaminated.</t>
        </is>
      </c>
      <c r="O264" s="3" t="inlineStr">
        <is>
          <t>Published</t>
        </is>
      </c>
      <c r="P264" s="12" t="n">
        <v>46303</v>
      </c>
      <c r="Q264" s="3" t="n"/>
      <c r="R264" s="3" t="inlineStr">
        <is>
          <t>§2, §5–6; primary objective is estimation of the positive-class prior α from noisy labelled-positive and unlabelled mixtures, followed by posterior recovery.</t>
        </is>
      </c>
      <c r="S264" s="3" t="inlineStr">
        <is>
          <t>N</t>
        </is>
      </c>
      <c r="T264" s="3" t="inlineStr">
        <is>
          <t>N</t>
        </is>
      </c>
      <c r="U264" s="3" t="inlineStr">
        <is>
          <t>Y</t>
        </is>
      </c>
    </row>
    <row r="265" ht="42.75" customHeight="1" s="18">
      <c r="A265" s="5" t="inlineStr">
        <is>
          <t>S2-0499</t>
        </is>
      </c>
      <c r="B265" s="5" t="inlineStr">
        <is>
          <t>B-ii</t>
        </is>
      </c>
      <c r="C265" s="3" t="inlineStr">
        <is>
          <t>Łazęcka, Małgorzata; Mielniczuk, Jan; Teisseyre, Paweł</t>
        </is>
      </c>
      <c r="D265" s="6" t="n">
        <v>2021</v>
      </c>
      <c r="E265" s="3" t="inlineStr">
        <is>
          <t>Estimating the class prior for positive and unlabelled data via logistic regression</t>
        </is>
      </c>
      <c r="F265" s="5" t="inlineStr">
        <is>
          <t>Journal article</t>
        </is>
      </c>
      <c r="G265" s="10" t="inlineStr">
        <is>
          <t>FT</t>
        </is>
      </c>
      <c r="H265" s="3" t="inlineStr">
        <is>
          <t>INCLUDE</t>
        </is>
      </c>
      <c r="I265" s="3" t="n"/>
      <c r="J265" s="3" t="inlineStr">
        <is>
          <t>Method</t>
        </is>
      </c>
      <c r="K265" s="3" t="inlineStr">
        <is>
          <t>Artificial data, nine benchmark datasets including Spambase, and MIMIC-III clinical records; positive-unlabelled learning</t>
        </is>
      </c>
      <c r="L265" s="3" t="inlineStr">
        <is>
          <t>Proposes the CD+MM logistic-regression-based estimator for class prevalence under PU sampling; it generally yields lower class-prior estimation error than competing methods and is robust to deviations from the assumed logistic model.</t>
        </is>
      </c>
      <c r="M265" t="inlineStr">
        <is>
          <t>Direct class-prior estimation study addressing identifiability and practical prevalence recovery from positive and unlabelled observations.</t>
        </is>
      </c>
      <c r="O265" s="3" t="inlineStr">
        <is>
          <t>Published</t>
        </is>
      </c>
      <c r="P265" s="12" t="n">
        <v>46303</v>
      </c>
      <c r="Q265" s="3" t="n"/>
      <c r="R265" s="3" t="inlineStr">
        <is>
          <t>§3, §5–6; CD+MM estimates label frequency and derives the positive-class prior, with evaluation on benchmark and clinical datasets.</t>
        </is>
      </c>
      <c r="S265" s="3" t="inlineStr">
        <is>
          <t>N</t>
        </is>
      </c>
      <c r="T265" s="3" t="inlineStr">
        <is>
          <t>N</t>
        </is>
      </c>
      <c r="U265" s="3" t="inlineStr">
        <is>
          <t>Y</t>
        </is>
      </c>
    </row>
    <row r="266" ht="28.5" customHeight="1" s="18">
      <c r="A266" s="5" t="inlineStr">
        <is>
          <t>S2-0514</t>
        </is>
      </c>
      <c r="B266" s="5" t="inlineStr">
        <is>
          <t>B-ii</t>
        </is>
      </c>
      <c r="C266" s="3" t="inlineStr">
        <is>
          <t>Bekker, Jessa; Davis, Jesse</t>
        </is>
      </c>
      <c r="D266" s="6" t="n">
        <v>2018</v>
      </c>
      <c r="E266" s="3" t="inlineStr">
        <is>
          <t>Estimating the class prior in positive and unlabeled data through decision tree induction</t>
        </is>
      </c>
      <c r="F266" s="5" t="inlineStr">
        <is>
          <t>Conference paper</t>
        </is>
      </c>
      <c r="G266" s="10" t="inlineStr">
        <is>
          <t>FT</t>
        </is>
      </c>
      <c r="H266" s="3" t="inlineStr">
        <is>
          <t>INCLUDE</t>
        </is>
      </c>
      <c r="I266" s="3" t="n"/>
      <c r="J266" s="3" t="inlineStr">
        <is>
          <t>Method</t>
        </is>
      </c>
      <c r="K266" s="3" t="inlineStr">
        <is>
          <t>11 real-world PU benchmarks including six binary 20 Newsgroups text tasks; positive-unlabelled class-prior estimation</t>
        </is>
      </c>
      <c r="L266" s="3" t="inlineStr">
        <is>
          <t>TIcE estimates label frequency using decision-tree-induced high-positive subdomains and converts it to the class prior; it achieves the best average absolute prior error with low variance while being substantially faster than competing estimators.</t>
        </is>
      </c>
      <c r="M266" t="inlineStr">
        <is>
          <t>Provides an efficient non-parametric prevalence estimator for PU learning and demonstrates it on both conventional tabular and text-classification datasets.</t>
        </is>
      </c>
      <c r="O266" s="3" t="inlineStr">
        <is>
          <t>Published</t>
        </is>
      </c>
      <c r="P266" s="12" t="n">
        <v>46303</v>
      </c>
      <c r="Q266" s="3" t="n"/>
      <c r="R266" s="3" t="inlineStr">
        <is>
          <t>§2–4; TIcE estimates label frequency from positive/unlabelled data using decision-tree subdomains, from which the class prior is recovered.</t>
        </is>
      </c>
      <c r="S266" s="3" t="inlineStr">
        <is>
          <t>N</t>
        </is>
      </c>
      <c r="T266" s="3" t="inlineStr">
        <is>
          <t>N</t>
        </is>
      </c>
      <c r="U266" s="3" t="inlineStr">
        <is>
          <t>Y</t>
        </is>
      </c>
    </row>
    <row r="267" ht="71.25" customHeight="1" s="18">
      <c r="A267" s="5" t="inlineStr">
        <is>
          <t>S2-0484</t>
        </is>
      </c>
      <c r="B267" s="5" t="inlineStr">
        <is>
          <t>B-ii</t>
        </is>
      </c>
      <c r="C267" s="3" t="inlineStr">
        <is>
          <t>Tasche, Dirk</t>
        </is>
      </c>
      <c r="D267" s="6" t="n">
        <v>2017</v>
      </c>
      <c r="E267" s="3" t="inlineStr">
        <is>
          <t>Fisher consistency for prior probability shift</t>
        </is>
      </c>
      <c r="F267" s="5" t="inlineStr">
        <is>
          <t>Journal article</t>
        </is>
      </c>
      <c r="G267" s="10" t="inlineStr">
        <is>
          <t>FT</t>
        </is>
      </c>
      <c r="H267" s="3" t="inlineStr">
        <is>
          <t>INCLUDE</t>
        </is>
      </c>
      <c r="I267" s="3" t="n"/>
      <c r="J267" s="3" t="inlineStr">
        <is>
          <t>Theory</t>
        </is>
      </c>
      <c r="K267" s="3" t="inlineStr">
        <is>
          <t>Binary quantification under prior-probability shift; theoretical and numerical examples</t>
        </is>
      </c>
      <c r="L267" s="3" t="inlineStr">
        <is>
          <t>Introduces Fisher consistency as a minimum unbiasedness criterion for class-prevalence estimators; ACC and the Saerens EM estimator are Fisher consistent under prior-probability shift, whereas CDE-Iterate is not.</t>
        </is>
      </c>
      <c r="M267" t="inlineStr">
        <is>
          <t>Provides a theoretical comparison of the two core correction families relevant to B-ii and establishes conditions under which their prevalence estimates can be trusted.</t>
        </is>
      </c>
      <c r="O267" s="3" t="inlineStr">
        <is>
          <t>Published</t>
        </is>
      </c>
      <c r="P267" s="12" t="n">
        <v>46303</v>
      </c>
      <c r="Q267" s="3" t="n"/>
      <c r="R267" s="3" t="inlineStr">
        <is>
          <t>§3–5; directly analyses ACC/confusion-matrix and EM class-prevalence estimators and proves both Fisher consistent under prior-probability shift.</t>
        </is>
      </c>
      <c r="S267" s="3" t="inlineStr">
        <is>
          <t>Y</t>
        </is>
      </c>
      <c r="T267" s="3" t="inlineStr">
        <is>
          <t>Y</t>
        </is>
      </c>
      <c r="U267" s="3" t="inlineStr">
        <is>
          <t>N</t>
        </is>
      </c>
    </row>
    <row r="268" ht="28.5" customHeight="1" s="18">
      <c r="A268" s="5" t="inlineStr">
        <is>
          <t>S2-0521</t>
        </is>
      </c>
      <c r="B268" s="5" t="inlineStr">
        <is>
          <t>B-ii</t>
        </is>
      </c>
      <c r="C268" s="3" t="inlineStr">
        <is>
          <t>Limsetto, Nachai; Waiyamai, Kitsana</t>
        </is>
      </c>
      <c r="D268" s="6" t="n">
        <v>2011</v>
      </c>
      <c r="E268" s="3" t="inlineStr">
        <is>
          <t>Handling concept drift via ensemble and class distribution estimation technique</t>
        </is>
      </c>
      <c r="F268" s="5" t="inlineStr">
        <is>
          <t>Conference paper</t>
        </is>
      </c>
      <c r="G268" s="10" t="inlineStr">
        <is>
          <t>FT</t>
        </is>
      </c>
      <c r="H268" s="3" t="inlineStr">
        <is>
          <t>INCLUDE</t>
        </is>
      </c>
      <c r="I268" s="3" t="n"/>
      <c r="J268" s="3" t="inlineStr">
        <is>
          <t>Method</t>
        </is>
      </c>
      <c r="K268" s="3" t="inlineStr">
        <is>
          <t>Adult and other UCI binary benchmark datasets under simulated changing class distributions</t>
        </is>
      </c>
      <c r="L268" s="3" t="inlineStr">
        <is>
          <t>CDE-EM ensemble methods estimate the test class distribution using multiple classifiers rather than a single CDE model, reducing training-distribution bias and improving classification robustness when test prevalence differs from training prevalence.</t>
        </is>
      </c>
      <c r="M268" t="inlineStr">
        <is>
          <t>Direct quantification study estimating changing class distributions from unlabelled deployment data and using those estimates to adapt classification under concept drift.</t>
        </is>
      </c>
      <c r="O268" s="3" t="inlineStr">
        <is>
          <t>Published</t>
        </is>
      </c>
      <c r="P268" s="12" t="n">
        <v>46303</v>
      </c>
      <c r="Q268" s="3" t="n"/>
      <c r="R268" s="3" t="inlineStr">
        <is>
          <t>§1, §3–5; proposed CDE ensemble methods explicitly estimate test-data class distributions from multiple models and are evaluated under train/test prevalence mismatch.</t>
        </is>
      </c>
      <c r="S268" s="3" t="inlineStr">
        <is>
          <t>N</t>
        </is>
      </c>
      <c r="T268" s="3" t="inlineStr">
        <is>
          <t>N</t>
        </is>
      </c>
      <c r="U268" s="3" t="inlineStr">
        <is>
          <t>N</t>
        </is>
      </c>
    </row>
    <row r="269" ht="28.5" customHeight="1" s="18">
      <c r="A269" s="5" t="inlineStr">
        <is>
          <t>S2-0450</t>
        </is>
      </c>
      <c r="B269" s="5" t="inlineStr">
        <is>
          <t>B-ii</t>
        </is>
      </c>
      <c r="C269" s="3" t="inlineStr">
        <is>
          <t>Xu, Chao; Tang, Xijia; Hou, Chenping</t>
        </is>
      </c>
      <c r="D269" s="6" t="n">
        <v>2025</v>
      </c>
      <c r="E269" s="3" t="inlineStr">
        <is>
          <t>Heterogeneous label shift: theory and algorithm</t>
        </is>
      </c>
      <c r="F269" s="5" t="inlineStr">
        <is>
          <t>Conference paper</t>
        </is>
      </c>
      <c r="G269" s="10" t="inlineStr">
        <is>
          <t>FT</t>
        </is>
      </c>
      <c r="H269" s="3" t="inlineStr">
        <is>
          <t>EXCLUDE</t>
        </is>
      </c>
      <c r="I269" s="3" t="inlineStr">
        <is>
          <t>E6</t>
        </is>
      </c>
      <c r="J269" s="3" t="n"/>
      <c r="K269" s="3" t="n"/>
      <c r="L269" s="3" t="n"/>
      <c r="P269" s="12" t="n">
        <v>46303</v>
      </c>
      <c r="Q269" s="3" t="n"/>
      <c r="R269" s="3" t="n"/>
      <c r="S269" s="3" t="n"/>
      <c r="T269" s="3" t="n"/>
      <c r="U269" s="3" t="n"/>
    </row>
    <row r="270" ht="28.5" customHeight="1" s="18">
      <c r="A270" s="5" t="inlineStr">
        <is>
          <t>S2-0494</t>
        </is>
      </c>
      <c r="B270" s="5" t="inlineStr">
        <is>
          <t>B-ii</t>
        </is>
      </c>
      <c r="C270" s="3" t="inlineStr">
        <is>
          <t>Azizzadenesheli, Kamyar</t>
        </is>
      </c>
      <c r="D270" s="6" t="n">
        <v>2022</v>
      </c>
      <c r="E270" s="3" t="inlineStr">
        <is>
          <t>Importance Weight Estimation and Generalization in Domain Adaptation Under Label Shift</t>
        </is>
      </c>
      <c r="F270" s="5" t="inlineStr">
        <is>
          <t>Journal article</t>
        </is>
      </c>
      <c r="G270" s="10" t="inlineStr">
        <is>
          <t>FT</t>
        </is>
      </c>
      <c r="H270" s="3" t="inlineStr">
        <is>
          <t>INCLUDE</t>
        </is>
      </c>
      <c r="I270" s="3" t="n"/>
      <c r="J270" s="3" t="inlineStr">
        <is>
          <t>Method</t>
        </is>
      </c>
      <c r="K270" s="3" t="inlineStr">
        <is>
          <t>Synthetic categorical and general normed-label experiments under label shift</t>
        </is>
      </c>
      <c r="L270" s="3" t="inlineStr">
        <is>
          <t>Develops importance-weight estimators for transferring from labelled source to unlabelled target domains, generalising classifier/confusion-matrix-based estimators to arbitrary functions and providing finite-sample confidence and generalisation bounds.</t>
        </is>
      </c>
      <c r="M270" t="inlineStr">
        <is>
          <t>Extends confusion-matrix/moment-based label-shift estimation theory and uses the resulting source-to-target prior ratios for importance-weighted target adaptation.</t>
        </is>
      </c>
      <c r="O270" s="3" t="inlineStr">
        <is>
          <t>Published</t>
        </is>
      </c>
      <c r="P270" s="12" t="n">
        <v>46303</v>
      </c>
      <c r="Q270" s="3" t="n"/>
      <c r="R270" s="3" t="inlineStr">
        <is>
          <t>§1, §4–5; directly estimates source-to-target importance weights under label shift, generalising prior black-box/confusion-matrix estimators and evaluating estimation error on synthetic data.</t>
        </is>
      </c>
      <c r="S270" s="3" t="inlineStr">
        <is>
          <t>Y</t>
        </is>
      </c>
      <c r="T270" s="3" t="inlineStr">
        <is>
          <t>N</t>
        </is>
      </c>
      <c r="U270" s="3" t="inlineStr">
        <is>
          <t>N</t>
        </is>
      </c>
    </row>
    <row r="271" ht="42.75" customHeight="1" s="18">
      <c r="A271" s="5" t="inlineStr">
        <is>
          <t>S2-0485</t>
        </is>
      </c>
      <c r="B271" s="5" t="inlineStr">
        <is>
          <t>B-ii</t>
        </is>
      </c>
      <c r="C271" s="3" t="inlineStr">
        <is>
          <t>Fan, Ruidong; Ouyang, Xiao; Luo, Tingjin; Hu, Dewen; Hou, Chenping</t>
        </is>
      </c>
      <c r="D271" s="6" t="n">
        <v>2023</v>
      </c>
      <c r="E271" s="3" t="inlineStr">
        <is>
          <t>Incomplete Multi-View Learning Under Label Shift</t>
        </is>
      </c>
      <c r="F271" s="5" t="inlineStr">
        <is>
          <t>Journal article</t>
        </is>
      </c>
      <c r="G271" s="10" t="inlineStr">
        <is>
          <t>FT</t>
        </is>
      </c>
      <c r="H271" s="3" t="inlineStr">
        <is>
          <t>INCLUDE</t>
        </is>
      </c>
      <c r="I271" s="3" t="n"/>
      <c r="J271" s="3" t="inlineStr">
        <is>
          <t>Method</t>
        </is>
      </c>
      <c r="K271" s="3" t="inlineStr">
        <is>
          <t>Incomplete multi-view benchmarks including Handwritten, Sensit, Notting-Hill, CUB, YaleB and MNIST, plus schizophrenia MRI data; Tweak-One and Dirichlet label shifts</t>
        </is>
      </c>
      <c r="L271" s="3" t="inlineStr">
        <is>
          <t>IMLLS estimates source-to-target importance weights from learned complete representations and uses them to reweight and fine-tune the classifier; it improves both weight-estimation error and classification performance over competing incomplete-view and label-shift methods.</t>
        </is>
      </c>
      <c r="M271" t="inlineStr">
        <is>
          <t>Extends label-shift prior-ratio estimation to incomplete multi-view data and directly benchmarks its weighting strategy against BBSE/RLLS-style correction.</t>
        </is>
      </c>
      <c r="O271" s="3" t="inlineStr">
        <is>
          <t>Published</t>
        </is>
      </c>
      <c r="P271" s="12" t="n">
        <v>46303</v>
      </c>
      <c r="Q271" s="3" t="n"/>
      <c r="R271" s="3" t="inlineStr">
        <is>
          <t>§III–V; learned representations are used to estimate label-shift importance weights and reweight the source classifier; weight-estimation error is compared with RLLS.</t>
        </is>
      </c>
      <c r="S271" s="3" t="inlineStr">
        <is>
          <t>Y</t>
        </is>
      </c>
      <c r="T271" s="3" t="inlineStr">
        <is>
          <t>N</t>
        </is>
      </c>
      <c r="U271" s="3" t="inlineStr">
        <is>
          <t>N</t>
        </is>
      </c>
    </row>
    <row r="272" ht="57" customHeight="1" s="18">
      <c r="A272" s="5" t="inlineStr">
        <is>
          <t>S2-0486</t>
        </is>
      </c>
      <c r="B272" s="5" t="inlineStr">
        <is>
          <t>B-ii</t>
        </is>
      </c>
      <c r="C272" s="3" t="inlineStr">
        <is>
          <t>Li, Jiaqi; Kong, Haojia; Xu, Gezheng; Shui, Changjian; Pu, Ruizhi; Kang, Zhao; Ling, Charles X.; Wang, Boyu</t>
        </is>
      </c>
      <c r="D272" s="6" t="n">
        <v>2023</v>
      </c>
      <c r="E272" s="3" t="inlineStr">
        <is>
          <t>Label shift conditioned hybrid querying for deep active learning</t>
        </is>
      </c>
      <c r="F272" s="5" t="inlineStr">
        <is>
          <t>Journal article</t>
        </is>
      </c>
      <c r="G272" s="10" t="inlineStr">
        <is>
          <t>FT</t>
        </is>
      </c>
      <c r="H272" s="3" t="inlineStr">
        <is>
          <t>INCLUDE</t>
        </is>
      </c>
      <c r="I272" s="3" t="n"/>
      <c r="J272" s="3" t="inlineStr">
        <is>
          <t>Method</t>
        </is>
      </c>
      <c r="K272" s="3" t="inlineStr">
        <is>
          <t>SVHN, CIFAR-10, FashionMNIST and ISIC2016 image datasets; active learning under labelled/unlabelled-pool label shift</t>
        </is>
      </c>
      <c r="L272" s="3" t="inlineStr">
        <is>
          <t>LSCHQ estimates the label-distribution ratio between the unlabelled pool and labelled set using confusion-matrix-based moment matching, then applies importance weighting during training and conditions sample querying on the estimated shift.</t>
        </is>
      </c>
      <c r="M272" t="inlineStr">
        <is>
          <t>Directly estimates deployment class-prior ratios and uses them for label-shift correction, extending confusion-matrix-based prevalence estimation into deep active learning.</t>
        </is>
      </c>
      <c r="O272" s="3" t="inlineStr">
        <is>
          <t>Published</t>
        </is>
      </c>
      <c r="P272" s="12" t="n">
        <v>46303</v>
      </c>
      <c r="Q272" s="3" t="n"/>
      <c r="R272" s="3" t="inlineStr">
        <is>
          <t>§4–5; label-shift estimation uses predicted class distributions and a confusion matrix to estimate the unlabelled-to-labelled class ratio before importance-weighted adaptation.</t>
        </is>
      </c>
      <c r="S272" s="3" t="inlineStr">
        <is>
          <t>Y</t>
        </is>
      </c>
      <c r="T272" s="3" t="inlineStr">
        <is>
          <t>N</t>
        </is>
      </c>
      <c r="U272" s="3" t="inlineStr">
        <is>
          <t>N</t>
        </is>
      </c>
    </row>
    <row r="273" ht="28.5" customHeight="1" s="18">
      <c r="A273" s="5" t="inlineStr">
        <is>
          <t>S2-0473</t>
        </is>
      </c>
      <c r="B273" s="5" t="inlineStr">
        <is>
          <t>B-ii</t>
        </is>
      </c>
      <c r="C273" s="3" t="inlineStr">
        <is>
          <t>Fan, Ruidong; Ouyang, Xiao; Tao, Hong; Hou, Chenping</t>
        </is>
      </c>
      <c r="D273" s="6" t="n">
        <v>2024</v>
      </c>
      <c r="E273" s="3" t="inlineStr">
        <is>
          <t>Label Shift Correction via Bidirectional Marginal Distribution Matching</t>
        </is>
      </c>
      <c r="F273" s="5" t="inlineStr">
        <is>
          <t>Conference paper</t>
        </is>
      </c>
      <c r="G273" s="10" t="inlineStr">
        <is>
          <t>FT</t>
        </is>
      </c>
      <c r="H273" s="3" t="inlineStr">
        <is>
          <t>INCLUDE</t>
        </is>
      </c>
      <c r="I273" s="3" t="n"/>
      <c r="J273" s="3" t="inlineStr">
        <is>
          <t>Method</t>
        </is>
      </c>
      <c r="K273" s="3" t="inlineStr">
        <is>
          <t>Image data; MNIST, CIFAR10 and CIFAR100 under artificial one-shot and multi-shot label-shift scenarios</t>
        </is>
      </c>
      <c r="L273" s="3" t="inlineStr">
        <is>
          <t>BMDM jointly matches label and feature marginal distributions and generally improves target-prior estimation, particularly under large label shifts; MBMDM further improves performance in multi-stage settings.</t>
        </is>
      </c>
      <c r="M273" t="inlineStr">
        <is>
          <t>Provides a distribution-matching alternative to classifier-dependent label-shift correction and directly benchmarks against EM-based prior estimation.</t>
        </is>
      </c>
      <c r="O273" s="3" t="inlineStr">
        <is>
          <t>Published</t>
        </is>
      </c>
      <c r="P273" s="12" t="n">
        <v>46305</v>
      </c>
      <c r="Q273" s="3" t="n"/>
      <c r="R273" s="3" t="inlineStr">
        <is>
          <t>§2.2, §4.1–4.3; BMDM estimates target label proportions via label/feature matching; MNIST/CIFAR experiments benchmark EM and evaluate weight-estimation MSE.</t>
        </is>
      </c>
      <c r="S273" s="3" t="inlineStr">
        <is>
          <t>N</t>
        </is>
      </c>
      <c r="T273" s="3" t="inlineStr">
        <is>
          <t>Y</t>
        </is>
      </c>
      <c r="U273" s="3" t="inlineStr">
        <is>
          <t>N</t>
        </is>
      </c>
    </row>
    <row r="274" ht="42.75" customHeight="1" s="18">
      <c r="A274" s="5" t="inlineStr">
        <is>
          <t>S2-0487</t>
        </is>
      </c>
      <c r="B274" s="5" t="inlineStr">
        <is>
          <t>B-ii</t>
        </is>
      </c>
      <c r="C274" s="3" t="inlineStr">
        <is>
          <t>Dussap, Bastien; Blanchard, Gilles; Chérief-Abdellatif, Badr-Eddine</t>
        </is>
      </c>
      <c r="D274" s="6" t="n">
        <v>2023</v>
      </c>
      <c r="E274" s="3" t="inlineStr">
        <is>
          <t>Label Shift Quantification with&amp;nbsp;Robustness Guarantees via&amp;nbsp;Distribution Feature Matching</t>
        </is>
      </c>
      <c r="F274" s="5" t="inlineStr">
        <is>
          <t>Conference paper</t>
        </is>
      </c>
      <c r="G274" s="10" t="inlineStr">
        <is>
          <t>FT</t>
        </is>
      </c>
      <c r="H274" s="3" t="inlineStr">
        <is>
          <t>INCLUDE</t>
        </is>
      </c>
      <c r="I274" s="3" t="n"/>
      <c r="J274" s="3" t="inlineStr">
        <is>
          <t>Method</t>
        </is>
      </c>
      <c r="K274" s="3" t="inlineStr">
        <is>
          <t>Synthetic Gaussian mixtures and Human Immunology Project Consortium flow-cytometry data; label-shift and contaminated-label-shift settings</t>
        </is>
      </c>
      <c r="L274" s="3" t="inlineStr">
        <is>
          <t>DFM unifies several target-prevalence estimators and provides improved error bounds; soft RFFM shows stronger robustness than BBSE+ and Energy-based alternatives under contamination.</t>
        </is>
      </c>
      <c r="M274" t="inlineStr">
        <is>
          <t>Provides a theoretically grounded prevalence-estimation framework connecting ACC/BBSE and EM-style label-shift correction while explicitly addressing robustness when exact label shift is violated.</t>
        </is>
      </c>
      <c r="O274" s="3" t="inlineStr">
        <is>
          <t>Published</t>
        </is>
      </c>
      <c r="P274" s="12" t="n">
        <v>46305</v>
      </c>
      <c r="Q274" s="3" t="n"/>
      <c r="R274" s="3" t="inlineStr">
        <is>
          <t>§1.1–4; DFM estimates target proportions; ACC and Saerens/EM are substantively covered; robustness experiments use synthetic mixtures and HIPC cytometry.</t>
        </is>
      </c>
      <c r="S274" s="3" t="inlineStr">
        <is>
          <t>Y</t>
        </is>
      </c>
      <c r="T274" s="3" t="inlineStr">
        <is>
          <t>Y</t>
        </is>
      </c>
      <c r="U274" s="3" t="inlineStr">
        <is>
          <t>N</t>
        </is>
      </c>
    </row>
    <row r="275" ht="42.75" customHeight="1" s="18">
      <c r="A275" s="5" t="inlineStr">
        <is>
          <t>S2-0445</t>
        </is>
      </c>
      <c r="B275" s="5" t="inlineStr">
        <is>
          <t>B-ii</t>
        </is>
      </c>
      <c r="C275" s="3" t="inlineStr">
        <is>
          <t>Volpi, Lorenzo; Moreo, Alejandro; Sebastiani, Fabrizio</t>
        </is>
      </c>
      <c r="D275" s="6" t="n">
        <v>2025</v>
      </c>
      <c r="E275" s="3" t="inlineStr">
        <is>
          <t>LEAP: Linear equations for classifier accuracy prediction under prior probability shift</t>
        </is>
      </c>
      <c r="F275" s="5" t="inlineStr">
        <is>
          <t>Journal article</t>
        </is>
      </c>
      <c r="G275" s="10" t="inlineStr">
        <is>
          <t>FT</t>
        </is>
      </c>
      <c r="H275" s="3" t="inlineStr">
        <is>
          <t>INCLUDE</t>
        </is>
      </c>
      <c r="I275" s="3" t="n"/>
      <c r="J275" s="3" t="inlineStr">
        <is>
          <t>Method</t>
        </is>
      </c>
      <c r="K275" s="3" t="inlineStr">
        <is>
          <t>53 UCI classification datasets; 29 binary and 24 multiclass; simulated prior-probability shift</t>
        </is>
      </c>
      <c r="L275" s="3" t="inlineStr">
        <is>
          <t>LEAP estimates test-set contingency-table entries for classifier accuracy prediction; incorporating test class-prior estimates from quantification improves CAP performance under prior shift.</t>
        </is>
      </c>
      <c r="M275" t="inlineStr">
        <is>
          <t>Shows that prevalence estimation can serve as an explicit intermediate component in downstream deployment assessment, with ACC/BBSE directly embedded in the method.</t>
        </is>
      </c>
      <c r="O275" s="3" t="inlineStr">
        <is>
          <t>Published</t>
        </is>
      </c>
      <c r="P275" s="12" t="n">
        <v>46303</v>
      </c>
      <c r="Q275" s="3" t="n"/>
      <c r="R275" s="3" t="inlineStr">
        <is>
          <t>§4.4, §5.3; LEAP requires test class-prior estimates; LEAPACC uses ACC/BBSE and experiments use 53 UCI datasets.</t>
        </is>
      </c>
      <c r="S275" s="3" t="inlineStr">
        <is>
          <t>Y</t>
        </is>
      </c>
      <c r="T275" s="3" t="inlineStr">
        <is>
          <t>N</t>
        </is>
      </c>
      <c r="U275" s="3" t="inlineStr">
        <is>
          <t>N</t>
        </is>
      </c>
    </row>
    <row r="276" ht="42.75" customHeight="1" s="18">
      <c r="A276" s="5" t="inlineStr">
        <is>
          <t>S2-0469</t>
        </is>
      </c>
      <c r="B276" s="5" t="inlineStr">
        <is>
          <t>B-ii</t>
        </is>
      </c>
      <c r="C276" s="3" t="inlineStr">
        <is>
          <t>Wei, Tong; Mao, Zhen; Zhou, Zi-Hao; Wan, Yuanyu; Zhang, Min-Ling</t>
        </is>
      </c>
      <c r="D276" s="6" t="n">
        <v>2024</v>
      </c>
      <c r="E276" s="3" t="inlineStr">
        <is>
          <t>Learning label shift correction for test-agnostic long-tailed recognition</t>
        </is>
      </c>
      <c r="F276" s="5" t="inlineStr">
        <is>
          <t>Conference paper</t>
        </is>
      </c>
      <c r="G276" s="10" t="inlineStr">
        <is>
          <t>FT</t>
        </is>
      </c>
      <c r="H276" s="3" t="inlineStr">
        <is>
          <t>INCLUDE</t>
        </is>
      </c>
      <c r="I276" s="3" t="n"/>
      <c r="J276" s="3" t="inlineStr">
        <is>
          <t>Method</t>
        </is>
      </c>
      <c r="K276" s="3" t="inlineStr">
        <is>
          <t>CIFAR100-LT, ImageNet-LT and Places-LT; image recognition under varying long-tailed test distributions</t>
        </is>
      </c>
      <c r="L276" s="3" t="inlineStr">
        <is>
          <t>LSC learns a neural estimator of the unknown test label distribution and uses the estimate to correct pretrained-model predictions, consistently improving performance under non-uniform test priors.</t>
        </is>
      </c>
      <c r="M276" t="inlineStr">
        <is>
          <t>Direct label-shift prevalence estimation and classifier correction study, extending BBSE-style estimation to difficult long-tailed recognition settings.</t>
        </is>
      </c>
      <c r="O276" s="3" t="inlineStr">
        <is>
          <t>Published</t>
        </is>
      </c>
      <c r="P276" s="12" t="n">
        <v>46303</v>
      </c>
      <c r="Q276" s="3" t="n"/>
      <c r="R276" s="3" t="inlineStr">
        <is>
          <t>§3–4; GBBSE estimates the unlabelled test label distribution; experiments compare LSC with BBSE, MLLS and RLLS on three long-tailed image datasets.</t>
        </is>
      </c>
      <c r="S276" s="3" t="inlineStr">
        <is>
          <t>Y</t>
        </is>
      </c>
      <c r="T276" s="3" t="inlineStr">
        <is>
          <t>Y</t>
        </is>
      </c>
      <c r="U276" s="3" t="inlineStr">
        <is>
          <t>N</t>
        </is>
      </c>
    </row>
    <row r="277" ht="28.5" customHeight="1" s="18">
      <c r="A277" s="5" t="inlineStr">
        <is>
          <t>S2-0449</t>
        </is>
      </c>
      <c r="B277" s="5" t="inlineStr">
        <is>
          <t>B-ii</t>
        </is>
      </c>
      <c r="C277" s="3" t="inlineStr">
        <is>
          <t>Moreo, Alejandro; Sebastiani, Fabrizio</t>
        </is>
      </c>
      <c r="D277" s="6" t="n">
        <v>2019</v>
      </c>
      <c r="E277" s="3" t="inlineStr">
        <is>
          <t>Learning to Quantify: Estimating Class Prevalence via Supervised Learning</t>
        </is>
      </c>
      <c r="F277" s="5" t="inlineStr">
        <is>
          <t>Conference paper</t>
        </is>
      </c>
      <c r="G277" s="10" t="inlineStr">
        <is>
          <t>FT</t>
        </is>
      </c>
      <c r="H277" s="3" t="inlineStr">
        <is>
          <t>EXCLUDE</t>
        </is>
      </c>
      <c r="I277" s="3" t="inlineStr">
        <is>
          <t>E3</t>
        </is>
      </c>
      <c r="J277" s="3" t="n"/>
      <c r="K277" s="3" t="n"/>
      <c r="L277" s="3" t="n"/>
      <c r="O277" s="3" t="inlineStr">
        <is>
          <t>Published</t>
        </is>
      </c>
      <c r="P277" s="12" t="n">
        <v>46303</v>
      </c>
      <c r="Q277" s="3" t="n"/>
      <c r="R277" s="3" t="inlineStr">
        <is>
          <t>Two-page SIGIR tutorial outline describing the motivation, scope and objectives of the tutorial rather than reporting an eligible original study or full review article; excluded under R1.</t>
        </is>
      </c>
      <c r="S277" s="3" t="n"/>
      <c r="T277" s="3" t="n"/>
      <c r="U277" s="3" t="n"/>
    </row>
    <row r="278" ht="42.75" customHeight="1" s="18">
      <c r="A278" s="5" t="inlineStr">
        <is>
          <t>S2-0475</t>
        </is>
      </c>
      <c r="B278" s="5" t="inlineStr">
        <is>
          <t>B-ii</t>
        </is>
      </c>
      <c r="C278" s="3" t="inlineStr">
        <is>
          <t>Esuli, Andrea; Moreo, Alejandro; Sebastiani, Fabrizio</t>
        </is>
      </c>
      <c r="D278" s="6" t="n">
        <v>2022</v>
      </c>
      <c r="E278" s="3" t="inlineStr">
        <is>
          <t>LeQua@CLEF2022: Learning to Quantify</t>
        </is>
      </c>
      <c r="F278" s="5" t="inlineStr">
        <is>
          <t>Conference paper</t>
        </is>
      </c>
      <c r="G278" s="10" t="inlineStr">
        <is>
          <t>FT</t>
        </is>
      </c>
      <c r="H278" s="3" t="inlineStr">
        <is>
          <t>INCLUDE</t>
        </is>
      </c>
      <c r="I278" s="3" t="n"/>
      <c r="J278" s="3" t="inlineStr">
        <is>
          <t>Review/benchmark</t>
        </is>
      </c>
      <c r="K278" s="3" t="inlineStr">
        <is>
          <t>Amazon product reviews; binary and multiclass textual quantification shared-task benchmark</t>
        </is>
      </c>
      <c r="L278" s="3" t="inlineStr">
        <is>
          <t>LeQua 2022 establishes a dedicated benchmark for predicting class prevalences in unlabelled text, with controlled prevalence-shift test samples and quantification-specific evaluation measures.</t>
        </is>
      </c>
      <c r="M278" t="inlineStr">
        <is>
          <t>Provides a standardised textual benchmark for evaluating prevalence estimators directly rather than treating quantification as a by-product of document classification.</t>
        </is>
      </c>
      <c r="O278" s="3" t="inlineStr">
        <is>
          <t>Published</t>
        </is>
      </c>
      <c r="P278" s="12" t="n">
        <v>46303</v>
      </c>
      <c r="Q278" s="3" t="n"/>
      <c r="R278" s="3" t="inlineStr">
        <is>
          <t>§1–3; full shared-task article defines prevalence-estimation tasks, evaluation protocol and Amazon-review data for binary and multiclass quantification.</t>
        </is>
      </c>
      <c r="S278" s="3" t="inlineStr">
        <is>
          <t>N</t>
        </is>
      </c>
      <c r="T278" s="3" t="inlineStr">
        <is>
          <t>N</t>
        </is>
      </c>
      <c r="U278" s="3" t="inlineStr">
        <is>
          <t>Y</t>
        </is>
      </c>
    </row>
    <row r="279" ht="57" customHeight="1" s="18">
      <c r="A279" s="5" t="inlineStr">
        <is>
          <t>S2-0470</t>
        </is>
      </c>
      <c r="B279" s="5" t="inlineStr">
        <is>
          <t>B-ii</t>
        </is>
      </c>
      <c r="C279" s="3" t="inlineStr">
        <is>
          <t>Zhao, Maozhe; Shen, Rui; Gong, Bo; Xu, Zhihao; Zheng, Zhenzhe; Liu, Shengzhong; Wu, Fan; Chen, Guihai</t>
        </is>
      </c>
      <c r="D279" s="6" t="n">
        <v>2026</v>
      </c>
      <c r="E279" s="3" t="inlineStr">
        <is>
          <t>MACRA: Efficient Knowledge Sharing among Personalized Models against Label Shift in Mobile AI Applications</t>
        </is>
      </c>
      <c r="F279" s="5" t="inlineStr">
        <is>
          <t>Journal article</t>
        </is>
      </c>
      <c r="G279" s="10" t="inlineStr">
        <is>
          <t>FT</t>
        </is>
      </c>
      <c r="H279" s="3" t="inlineStr">
        <is>
          <t>INCLUDE</t>
        </is>
      </c>
      <c r="I279" s="3" t="n"/>
      <c r="J279" s="3" t="inlineStr">
        <is>
          <t>Application</t>
        </is>
      </c>
      <c r="K279" s="3" t="inlineStr">
        <is>
          <t>Multimodal mobile-AI tasks; six human-centred datasets including natural-language understanding, speech and activity recognition</t>
        </is>
      </c>
      <c r="L279" s="3" t="inlineStr">
        <is>
          <t>MACRA monitors sliding-window predicted class proportions to detect label-frequency shifts and selectively shares model updates, improving accuracy while reducing communication and adaptation latency.</t>
        </is>
      </c>
      <c r="M279" t="inlineStr">
        <is>
          <t>Extends classify-and-count-style distribution monitoring to online personalised mobile-AI deployment and demonstrates prevalence-sensitive adaptation across multiple modalities.</t>
        </is>
      </c>
      <c r="O279" s="3" t="inlineStr">
        <is>
          <t>Published</t>
        </is>
      </c>
      <c r="P279" s="12" t="n">
        <v>46303</v>
      </c>
      <c r="Q279" s="3" t="n"/>
      <c r="R279" s="3" t="inlineStr">
        <is>
          <t>§5.2, §6; predicted class proportions in consecutive windows detect label-frequency shift; evaluation includes GLUE natural-language tasks.</t>
        </is>
      </c>
      <c r="S279" s="3" t="inlineStr">
        <is>
          <t>N</t>
        </is>
      </c>
      <c r="T279" s="3" t="inlineStr">
        <is>
          <t>N</t>
        </is>
      </c>
      <c r="U279" s="3" t="inlineStr">
        <is>
          <t>Y</t>
        </is>
      </c>
    </row>
    <row r="280" ht="42.75" customHeight="1" s="18">
      <c r="A280" s="5" t="inlineStr">
        <is>
          <t>S2-0451</t>
        </is>
      </c>
      <c r="B280" s="5" t="inlineStr">
        <is>
          <t>B-ii</t>
        </is>
      </c>
      <c r="C280" s="3" t="inlineStr">
        <is>
          <t>Donyavi, Zahra; Li, Feiyu; Zhang, Yunrui; Silva, Diego F.; Batista, Gustavo E.</t>
        </is>
      </c>
      <c r="D280" s="6" t="n">
        <v>2025</v>
      </c>
      <c r="E280" s="3" t="inlineStr">
        <is>
          <t>Match: A Maximum-Likelihood Approach for Classification under Label Shift</t>
        </is>
      </c>
      <c r="F280" s="5" t="inlineStr">
        <is>
          <t>Conference paper</t>
        </is>
      </c>
      <c r="G280" s="10" t="inlineStr">
        <is>
          <t>FT</t>
        </is>
      </c>
      <c r="H280" s="3" t="inlineStr">
        <is>
          <t>INCLUDE</t>
        </is>
      </c>
      <c r="I280" s="3" t="n"/>
      <c r="J280" s="3" t="inlineStr">
        <is>
          <t>Method</t>
        </is>
      </c>
      <c r="K280" s="3" t="inlineStr">
        <is>
          <t>30 benchmark datasets from UCI, Kaggle, UEA/UCR and USP; multiclass label-shift adaptation</t>
        </is>
      </c>
      <c r="L280" s="3" t="inlineStr">
        <is>
          <t>Match enforces quantifier-estimated target prevalences while maximising prediction likelihood and significantly outperforms Bayes-update and retraining adjustments across the benchmark.</t>
        </is>
      </c>
      <c r="M280" t="inlineStr">
        <is>
          <t>Directly studies the second stage of label-shift correction while evaluating both adjusted-count and EM-based prevalence estimators as inputs to classifier adaptation.</t>
        </is>
      </c>
      <c r="O280" s="3" t="inlineStr">
        <is>
          <t>Published</t>
        </is>
      </c>
      <c r="P280" s="12" t="n">
        <v>46303</v>
      </c>
      <c r="Q280" s="3" t="n"/>
      <c r="R280" s="3" t="inlineStr">
        <is>
          <t>§6–7; Match uses estimated target prevalences and is evaluated with GACC, GPACC and Saerens EMQ across 30 datasets.</t>
        </is>
      </c>
      <c r="S280" s="3" t="inlineStr">
        <is>
          <t>Y</t>
        </is>
      </c>
      <c r="T280" s="3" t="inlineStr">
        <is>
          <t>Y</t>
        </is>
      </c>
      <c r="U280" s="3" t="inlineStr">
        <is>
          <t>N</t>
        </is>
      </c>
    </row>
    <row r="281" ht="28.5" customHeight="1" s="18">
      <c r="A281" s="5" t="inlineStr">
        <is>
          <t>S2-0511</t>
        </is>
      </c>
      <c r="B281" s="5" t="inlineStr">
        <is>
          <t>B-ii</t>
        </is>
      </c>
      <c r="C281" s="3" t="inlineStr">
        <is>
          <t>Alexandari, Amr M.; Kundaje, Anshul; Shrikumar, Avanti</t>
        </is>
      </c>
      <c r="D281" s="6" t="n">
        <v>2020</v>
      </c>
      <c r="E281" s="3" t="inlineStr">
        <is>
          <t>Maximum likelihood with bias-corrected calibration is hard-to-beat at label shift adaptation</t>
        </is>
      </c>
      <c r="F281" s="5" t="inlineStr">
        <is>
          <t>Conference paper</t>
        </is>
      </c>
      <c r="G281" s="10" t="inlineStr">
        <is>
          <t>FT</t>
        </is>
      </c>
      <c r="H281" s="3" t="inlineStr">
        <is>
          <t>INCLUDE</t>
        </is>
      </c>
      <c r="I281" s="3" t="n"/>
      <c r="J281" s="3" t="inlineStr">
        <is>
          <t>Method</t>
        </is>
      </c>
      <c r="K281" s="3" t="inlineStr">
        <is>
          <t>MNIST, CIFAR-10, CIFAR-100 and diabetic-retinopathy images; simulated label shift</t>
        </is>
      </c>
      <c r="L281" s="3" t="inlineStr">
        <is>
          <t>Maximum-likelihood/EM adaptation with bias-corrected calibration generally outperforms BBSL and RLLS, showing that calibration quality is crucial for accurate target-prior estimation.</t>
        </is>
      </c>
      <c r="M281" t="inlineStr">
        <is>
          <t>Direct empirical comparison of EM/SLD-style prevalence correction against confusion-matrix-based BBSL/RLLS, linking calibration quality to prior-estimation accuracy.</t>
        </is>
      </c>
      <c r="O281" s="3" t="inlineStr">
        <is>
          <t>Published</t>
        </is>
      </c>
      <c r="P281" s="12" t="n">
        <v>46303</v>
      </c>
      <c r="Q281" s="3" t="n"/>
      <c r="R281" s="3" t="inlineStr">
        <is>
          <t>§3–4; estimates target priors with calibrated maximum likelihood and compares EM against BBSL/RLLS on MNIST, CIFAR and retinopathy data.</t>
        </is>
      </c>
      <c r="S281" s="3" t="inlineStr">
        <is>
          <t>Y</t>
        </is>
      </c>
      <c r="T281" s="3" t="inlineStr">
        <is>
          <t>Y</t>
        </is>
      </c>
      <c r="U281" s="3" t="inlineStr">
        <is>
          <t>N</t>
        </is>
      </c>
    </row>
    <row r="282" ht="28.5" customHeight="1" s="18">
      <c r="A282" s="5" t="inlineStr">
        <is>
          <t>S2-0497</t>
        </is>
      </c>
      <c r="B282" s="5" t="inlineStr">
        <is>
          <t>B-ii</t>
        </is>
      </c>
      <c r="C282" s="3" t="inlineStr">
        <is>
          <t>Maity, Subha; Sun, Yuekai; Banerjee, Moulinath</t>
        </is>
      </c>
      <c r="D282" s="6" t="n">
        <v>2022</v>
      </c>
      <c r="E282" s="3" t="inlineStr">
        <is>
          <t>Minimax optimal approaches to the label shift problem in non-parametric settings</t>
        </is>
      </c>
      <c r="F282" s="5" t="inlineStr">
        <is>
          <t>Journal article</t>
        </is>
      </c>
      <c r="G282" s="10" t="inlineStr">
        <is>
          <t>FT</t>
        </is>
      </c>
      <c r="H282" s="3" t="inlineStr">
        <is>
          <t>INCLUDE</t>
        </is>
      </c>
      <c r="I282" s="3" t="n"/>
      <c r="J282" s="3" t="inlineStr">
        <is>
          <t>Theory</t>
        </is>
      </c>
      <c r="K282" s="3" t="inlineStr">
        <is>
          <t>Synthetic binary classification under supervised and unsupervised non-parametric label shift</t>
        </is>
      </c>
      <c r="L282" s="3" t="inlineStr">
        <is>
          <t>Shows that class-proportion estimation is a minimax-rate-optimal component of unsupervised label-shift classification and derives matching theoretical rates supported by simulations.</t>
        </is>
      </c>
      <c r="M282" t="inlineStr">
        <is>
          <t>Provides theoretical justification for estimating deployment prevalence as a necessary intermediate step in optimal unsupervised label-shift adaptation.</t>
        </is>
      </c>
      <c r="O282" s="3" t="inlineStr">
        <is>
          <t>Published</t>
        </is>
      </c>
      <c r="P282" s="12" t="n">
        <v>46303</v>
      </c>
      <c r="Q282" s="3" t="n"/>
      <c r="R282" s="3" t="inlineStr">
        <is>
          <t>§4–5; class-proportion estimation is a preliminary step in unsupervised label shift; distribution matching attains the minimax rate.</t>
        </is>
      </c>
      <c r="S282" s="3" t="inlineStr">
        <is>
          <t>N</t>
        </is>
      </c>
      <c r="T282" s="3" t="inlineStr">
        <is>
          <t>N</t>
        </is>
      </c>
      <c r="U282" s="3" t="inlineStr">
        <is>
          <t>N</t>
        </is>
      </c>
    </row>
    <row r="283" ht="28.5" customHeight="1" s="18">
      <c r="A283" s="5" t="inlineStr">
        <is>
          <t>S2-0500</t>
        </is>
      </c>
      <c r="B283" s="5" t="inlineStr">
        <is>
          <t>B-ii</t>
        </is>
      </c>
      <c r="C283" s="3" t="inlineStr">
        <is>
          <t>Wu, Xiaowen; Fan, Ruidong; Luo, Tingjin; Hou, Chenping</t>
        </is>
      </c>
      <c r="D283" s="6" t="n">
        <v>2026</v>
      </c>
      <c r="E283" s="3" t="inlineStr">
        <is>
          <t>NLSC: A noise-robust label shift correction framework via three-head training and class-adaptive cleaning</t>
        </is>
      </c>
      <c r="F283" s="5" t="inlineStr">
        <is>
          <t>Journal article</t>
        </is>
      </c>
      <c r="G283" s="10" t="inlineStr">
        <is>
          <t>FT</t>
        </is>
      </c>
      <c r="H283" s="3" t="inlineStr">
        <is>
          <t>INCLUDE</t>
        </is>
      </c>
      <c r="I283" s="3" t="n"/>
      <c r="J283" s="3" t="inlineStr">
        <is>
          <t>Method</t>
        </is>
      </c>
      <c r="K283" s="3" t="inlineStr">
        <is>
          <t>CIFAR-10, CIFAR-100 and Red mini-ImageNet; image classification under label shift with source-label noise</t>
        </is>
      </c>
      <c r="L283" s="3" t="inlineStr">
        <is>
          <t>NLSC jointly estimates source and target label distributions after noise-robust representation learning and cleaning, substantially outperforming competing label-shift methods as source noise increases.</t>
        </is>
      </c>
      <c r="M283" t="inlineStr">
        <is>
          <t>Extends prevalence estimation and posterior correction to the practically important case where noisy source labels violate standard clean-source label-shift assumptions.</t>
        </is>
      </c>
      <c r="O283" s="3" t="inlineStr">
        <is>
          <t>Published</t>
        </is>
      </c>
      <c r="P283" s="12" t="n">
        <v>46303</v>
      </c>
      <c r="Q283" s="3" t="n"/>
      <c r="R283" s="3" t="inlineStr">
        <is>
          <t>§2.1, §4–6; separate heads estimate source and target label distributions; experiments compare MLLS, BBSE/RLLS and NLSC under noisy label shift.</t>
        </is>
      </c>
      <c r="S283" s="3" t="inlineStr">
        <is>
          <t>Y</t>
        </is>
      </c>
      <c r="T283" s="3" t="inlineStr">
        <is>
          <t>Y</t>
        </is>
      </c>
      <c r="U283" s="3" t="inlineStr">
        <is>
          <t>N</t>
        </is>
      </c>
    </row>
    <row r="284" ht="28.5" customHeight="1" s="18">
      <c r="A284" s="5" t="inlineStr">
        <is>
          <t>S2-0523</t>
        </is>
      </c>
      <c r="B284" s="5" t="inlineStr">
        <is>
          <t>B-ii</t>
        </is>
      </c>
      <c r="C284" s="3" t="inlineStr">
        <is>
          <t>Yang, Chunyu; Zhou, Jie</t>
        </is>
      </c>
      <c r="D284" s="6" t="n">
        <v>2008</v>
      </c>
      <c r="E284" s="3" t="inlineStr">
        <is>
          <t>Non-stationary data sequence classification using online class priors estimation</t>
        </is>
      </c>
      <c r="F284" s="5" t="inlineStr">
        <is>
          <t>Journal article</t>
        </is>
      </c>
      <c r="G284" s="10" t="inlineStr">
        <is>
          <t>FT</t>
        </is>
      </c>
      <c r="H284" s="3" t="inlineStr">
        <is>
          <t>INCLUDE</t>
        </is>
      </c>
      <c r="I284" s="3" t="n"/>
      <c r="J284" s="3" t="inlineStr">
        <is>
          <t>Method</t>
        </is>
      </c>
      <c r="K284" s="3" t="inlineStr">
        <is>
          <t>Synthetic and real classification sequences; non-stationary streaming data with changing class priors</t>
        </is>
      </c>
      <c r="L284" s="3" t="inlineStr">
        <is>
          <t>Proposes online incremental EM to continually estimate class priors from arriving unlabelled samples and adjust the classifier, outperforming batch EM when priors vary over time.</t>
        </is>
      </c>
      <c r="M284" t="inlineStr">
        <is>
          <t>Foundational extension of SLD/EM-style prevalence estimation and output correction from static deployment to continuously changing online class distributions.</t>
        </is>
      </c>
      <c r="O284" s="3" t="inlineStr">
        <is>
          <t>Published</t>
        </is>
      </c>
      <c r="P284" s="12" t="n">
        <v>46303</v>
      </c>
      <c r="Q284" s="3" t="n"/>
      <c r="R284" s="3" t="inlineStr">
        <is>
          <t>Abstract, §1–3; online incremental EM estimates evolving test-sequence class priors and updates classifier posteriors without retraining.</t>
        </is>
      </c>
      <c r="S284" s="3" t="inlineStr">
        <is>
          <t>Y</t>
        </is>
      </c>
      <c r="T284" s="3" t="inlineStr">
        <is>
          <t>Y</t>
        </is>
      </c>
      <c r="U284" s="3" t="inlineStr">
        <is>
          <t>N</t>
        </is>
      </c>
    </row>
    <row r="285" ht="85.5" customHeight="1" s="18">
      <c r="A285" s="5" t="inlineStr">
        <is>
          <t>S2-0467</t>
        </is>
      </c>
      <c r="B285" s="5" t="inlineStr">
        <is>
          <t>B-ii</t>
        </is>
      </c>
      <c r="C285" s="3" t="inlineStr">
        <is>
          <t>Kruse, Johannes; Lindskow, Kasper; Andersen, Michael Riis; Shimizu, Ryotaro; McAuley, Julian; Mattei, Pierre-Alexandre; Frellsen, Jes</t>
        </is>
      </c>
      <c r="D285" s="6" t="n">
        <v>2025</v>
      </c>
      <c r="E285" s="3" t="inlineStr">
        <is>
          <t>Normative Alignment of Recommender Systems via Internal Label Shift</t>
        </is>
      </c>
      <c r="F285" s="5" t="inlineStr">
        <is>
          <t>Conference paper</t>
        </is>
      </c>
      <c r="G285" s="10" t="inlineStr">
        <is>
          <t>FT</t>
        </is>
      </c>
      <c r="H285" s="3" t="inlineStr">
        <is>
          <t>EXCLUDE</t>
        </is>
      </c>
      <c r="I285" s="3" t="inlineStr">
        <is>
          <t>E2</t>
        </is>
      </c>
      <c r="J285" s="3" t="n"/>
      <c r="K285" s="3" t="n"/>
      <c r="L285" s="3" t="n"/>
      <c r="O285" s="3" t="inlineStr">
        <is>
          <t>Published</t>
        </is>
      </c>
      <c r="P285" s="12" t="n">
        <v>46303</v>
      </c>
      <c r="Q285" s="3" t="inlineStr">
        <is>
          <t>Bii-othersense</t>
        </is>
      </c>
      <c r="R285" s="3" t="inlineStr">
        <is>
          <t>§3–4; label-shift equations are used internally to enforce stakeholder-specified recommendation-category targets, not estimate deployment prevalence or correct a naturally changed deployment prior.</t>
        </is>
      </c>
      <c r="S285" s="3" t="n"/>
      <c r="T285" s="3" t="n"/>
      <c r="U285" s="3" t="n"/>
    </row>
    <row r="286" ht="42.75" customHeight="1" s="18">
      <c r="A286" s="5" t="inlineStr">
        <is>
          <t>S2-0527</t>
        </is>
      </c>
      <c r="B286" s="5" t="inlineStr">
        <is>
          <t>B-ii</t>
        </is>
      </c>
      <c r="C286" s="3" t="inlineStr">
        <is>
          <t>Barranquero, Jose; González, Pablo; Díez, Jorge; del Coz, Juan José</t>
        </is>
      </c>
      <c r="D286" s="6" t="n">
        <v>2013</v>
      </c>
      <c r="E286" s="3" t="inlineStr">
        <is>
          <t>On the study of nearest neighbor algorithms for prevalence estimation in binary problems</t>
        </is>
      </c>
      <c r="F286" s="5" t="inlineStr">
        <is>
          <t>Journal article</t>
        </is>
      </c>
      <c r="G286" s="10" t="inlineStr">
        <is>
          <t>FT</t>
        </is>
      </c>
      <c r="H286" s="3" t="inlineStr">
        <is>
          <t>INCLUDE</t>
        </is>
      </c>
      <c r="I286" s="3" t="n"/>
      <c r="J286" s="3" t="inlineStr">
        <is>
          <t>Method</t>
        </is>
      </c>
      <c r="K286" s="3" t="inlineStr">
        <is>
          <t>24 UCI binary benchmark datasets; prevalence-shift quantification</t>
        </is>
      </c>
      <c r="L286" s="3" t="inlineStr">
        <is>
          <t>Develops nearest-neighbour quantifiers and weighting variants PWK/PWKa for estimating positive-class prevalence; adjusted methods substantially improve robustness over plain classify-and-count.</t>
        </is>
      </c>
      <c r="M286" t="inlineStr">
        <is>
          <t>Direct prevalence-estimation study showing that adjusted-count correction principles can be applied effectively with simple nearest-neighbour base learners.</t>
        </is>
      </c>
      <c r="O286" s="3" t="inlineStr">
        <is>
          <t>Published</t>
        </is>
      </c>
      <c r="P286" s="12" t="n">
        <v>46303</v>
      </c>
      <c r="Q286" s="3" t="n"/>
      <c r="R286" s="3" t="inlineStr">
        <is>
          <t>§2–4; binary quantification estimates test prevalence; Adjusted Count is developed as a comparator and evaluation spans 24 UCI datasets.</t>
        </is>
      </c>
      <c r="S286" s="3" t="inlineStr">
        <is>
          <t>Y</t>
        </is>
      </c>
      <c r="T286" s="3" t="inlineStr">
        <is>
          <t>N</t>
        </is>
      </c>
      <c r="U286" s="3" t="inlineStr">
        <is>
          <t>N</t>
        </is>
      </c>
    </row>
    <row r="287" ht="42.75" customHeight="1" s="18">
      <c r="A287" s="5" t="inlineStr">
        <is>
          <t>S2-0457</t>
        </is>
      </c>
      <c r="B287" s="5" t="inlineStr">
        <is>
          <t>B-ii</t>
        </is>
      </c>
      <c r="C287" s="3" t="inlineStr">
        <is>
          <t>Tomaszewska, Paulina; Lampert, Christoph H.</t>
        </is>
      </c>
      <c r="D287" s="6" t="n">
        <v>2022</v>
      </c>
      <c r="E287" s="3" t="inlineStr">
        <is>
          <t>On the&amp;nbsp;Implementation of&amp;nbsp;Baselines and&amp;nbsp;Lightweight Conditional Model Extrapolation (LIMES) Under Class-Prior Shift</t>
        </is>
      </c>
      <c r="F287" s="5" t="inlineStr">
        <is>
          <t>Conference paper</t>
        </is>
      </c>
      <c r="G287" s="10" t="inlineStr">
        <is>
          <t>FT</t>
        </is>
      </c>
      <c r="H287" s="3" t="inlineStr">
        <is>
          <t>INCLUDE</t>
        </is>
      </c>
      <c r="I287" s="3" t="n"/>
      <c r="J287" s="3" t="inlineStr">
        <is>
          <t>Application</t>
        </is>
      </c>
      <c r="K287" s="3" t="inlineStr">
        <is>
          <t>Twitter geolocation stream; tweet text/location features; non-stationary class-prior shift</t>
        </is>
      </c>
      <c r="L287" s="3" t="inlineStr">
        <is>
          <t>LIMES extrapolates future class distributions from historical priors and applies a non-trainable bias correction to adapt the streaming classifier, outperforming baseline update strategies.</t>
        </is>
      </c>
      <c r="M287" t="inlineStr">
        <is>
          <t>Demonstrates prior-based output correction on large-scale social-media streams where deployment class proportions evolve over time.</t>
        </is>
      </c>
      <c r="O287" s="3" t="inlineStr">
        <is>
          <t>Published</t>
        </is>
      </c>
      <c r="P287" s="12" t="n">
        <v>46303</v>
      </c>
      <c r="Q287" s="3" t="n"/>
      <c r="R287" s="3" t="inlineStr">
        <is>
          <t>§1–3; LIMES extrapolates future class priors and applies a bias-correction term to the streaming classifier on Twitter data.</t>
        </is>
      </c>
      <c r="S287" s="3" t="inlineStr">
        <is>
          <t>N</t>
        </is>
      </c>
      <c r="T287" s="3" t="inlineStr">
        <is>
          <t>N</t>
        </is>
      </c>
      <c r="U287" s="3" t="inlineStr">
        <is>
          <t>Y</t>
        </is>
      </c>
    </row>
    <row r="288" ht="42.75" customHeight="1" s="18">
      <c r="A288" s="5" t="inlineStr">
        <is>
          <t>S2-0458</t>
        </is>
      </c>
      <c r="B288" s="5" t="inlineStr">
        <is>
          <t>B-ii</t>
        </is>
      </c>
      <c r="C288" s="3" t="inlineStr">
        <is>
          <t>Fan, Ruidong; Ouyang, Xiao; Luo, Tingjin; Zhang, Lijun; Hou, Chenping</t>
        </is>
      </c>
      <c r="D288" s="6" t="n">
        <v>2025</v>
      </c>
      <c r="E288" s="3" t="inlineStr">
        <is>
          <t>One-step label shift adaptation via robust weight estimation</t>
        </is>
      </c>
      <c r="F288" s="5" t="inlineStr">
        <is>
          <t>Conference paper</t>
        </is>
      </c>
      <c r="G288" s="10" t="inlineStr">
        <is>
          <t>FT</t>
        </is>
      </c>
      <c r="H288" s="3" t="inlineStr">
        <is>
          <t>INCLUDE</t>
        </is>
      </c>
      <c r="I288" s="3" t="n"/>
      <c r="J288" s="3" t="inlineStr">
        <is>
          <t>Method</t>
        </is>
      </c>
      <c r="K288" s="3" t="inlineStr">
        <is>
          <t>MNIST, Fashion-MNIST, CIFAR-10 and CIFAR-100; Tweak-One and Dirichlet label shifts</t>
        </is>
      </c>
      <c r="L288" s="3" t="inlineStr">
        <is>
          <t>OLSA jointly estimates target/source importance weights and trains the adapted classifier in one bi-level optimisation, outperforming conventional two-step label-shift methods across most settings.</t>
        </is>
      </c>
      <c r="M288" t="inlineStr">
        <is>
          <t>Direct class-prior-ratio estimation and correction study that unifies weight estimation with classifier adaptation and benchmarks against both confusion-matrix and maximum-likelihood families.</t>
        </is>
      </c>
      <c r="O288" s="3" t="inlineStr">
        <is>
          <t>Published</t>
        </is>
      </c>
      <c r="P288" s="12" t="n">
        <v>46303</v>
      </c>
      <c r="Q288" s="3" t="n"/>
      <c r="R288" s="3" t="inlineStr">
        <is>
          <t>§3–4; OLSA estimates target/source importance weights from unlabelled target data and compares with BBSE/RLLS and MLLS across four datasets.</t>
        </is>
      </c>
      <c r="S288" s="3" t="inlineStr">
        <is>
          <t>Y</t>
        </is>
      </c>
      <c r="T288" s="3" t="inlineStr">
        <is>
          <t>Y</t>
        </is>
      </c>
      <c r="U288" s="3" t="inlineStr">
        <is>
          <t>N</t>
        </is>
      </c>
    </row>
    <row r="289" ht="57" customHeight="1" s="18">
      <c r="A289" s="5" t="inlineStr">
        <is>
          <t>S2-0462</t>
        </is>
      </c>
      <c r="B289" s="5" t="inlineStr">
        <is>
          <t>B-ii</t>
        </is>
      </c>
      <c r="C289" s="3" t="inlineStr">
        <is>
          <t>Wu, Ruihan; Datta, Siddhartha; Su, Yi; Baby, Dheeraj; Wang, Yu-Xiang; Weinberger, Kilian Q.</t>
        </is>
      </c>
      <c r="D289" s="6" t="n">
        <v>2024</v>
      </c>
      <c r="E289" s="3" t="inlineStr">
        <is>
          <t>Online feature updates improve online (generalized) label shift adaptation</t>
        </is>
      </c>
      <c r="F289" s="5" t="inlineStr">
        <is>
          <t>Conference paper</t>
        </is>
      </c>
      <c r="G289" s="10" t="inlineStr">
        <is>
          <t>FT</t>
        </is>
      </c>
      <c r="H289" s="3" t="inlineStr">
        <is>
          <t>INCLUDE</t>
        </is>
      </c>
      <c r="I289" s="3" t="n"/>
      <c r="J289" s="3" t="inlineStr">
        <is>
          <t>Method</t>
        </is>
      </c>
      <c r="K289" s="3" t="inlineStr">
        <is>
          <t>CIFAR-10, STL10, CINIC, EuroSAT and CIFAR-10C; online and generalised online label shift</t>
        </is>
      </c>
      <c r="L289" s="3" t="inlineStr">
        <is>
          <t>OLS-OFU combines online label-marginal estimation/adaptation with self-supervised feature updates and consistently improves six existing online label-shift methods across datasets and shift patterns.</t>
        </is>
      </c>
      <c r="M289" t="inlineStr">
        <is>
          <t>Extends online prevalence-based label-shift adaptation beyond final-layer correction by updating the representation while preserving target-label-marginal estimation.</t>
        </is>
      </c>
      <c r="O289" s="3" t="inlineStr">
        <is>
          <t>Published</t>
        </is>
      </c>
      <c r="P289" s="12" t="n">
        <v>46304</v>
      </c>
      <c r="Q289" s="3" t="n"/>
      <c r="R289" s="3" t="inlineStr">
        <is>
          <t>§3–4, Algorithms 2–4; several OLS components explicitly estimate the current unlabelled test label marginal using confusion-matrix inversion/BBSE before model adaptation.</t>
        </is>
      </c>
      <c r="S289" s="3" t="inlineStr">
        <is>
          <t>Y</t>
        </is>
      </c>
      <c r="T289" s="3" t="inlineStr">
        <is>
          <t>N</t>
        </is>
      </c>
      <c r="U289" s="3" t="inlineStr">
        <is>
          <t>N</t>
        </is>
      </c>
    </row>
    <row r="290" ht="71.25" customHeight="1" s="18">
      <c r="A290" s="5" t="inlineStr">
        <is>
          <t>S2-0471</t>
        </is>
      </c>
      <c r="B290" s="5" t="inlineStr">
        <is>
          <t>B-ii</t>
        </is>
      </c>
      <c r="C290" s="3" t="inlineStr">
        <is>
          <t>Baby, Dheeraj; Garg, Saurabh; Yen, Tzu-Ching; Balakrishnan, Sivaraman; Lipton, Zachary C.; Wang, Yu-Xiang</t>
        </is>
      </c>
      <c r="D290" s="6" t="n">
        <v>2023</v>
      </c>
      <c r="E290" s="3" t="inlineStr">
        <is>
          <t>Online label shift: optimal dynamic regret meets practical algorithms</t>
        </is>
      </c>
      <c r="F290" s="5" t="inlineStr">
        <is>
          <t>Conference paper</t>
        </is>
      </c>
      <c r="G290" s="10" t="inlineStr">
        <is>
          <t>FT</t>
        </is>
      </c>
      <c r="H290" s="3" t="inlineStr">
        <is>
          <t>INCLUDE</t>
        </is>
      </c>
      <c r="I290" s="3" t="n"/>
      <c r="J290" s="3" t="inlineStr">
        <is>
          <t>Method</t>
        </is>
      </c>
      <c r="K290" s="3" t="inlineStr">
        <is>
          <t>Synthetic, MNIST, Fashion-MNIST, CIFAR, CINIC, EuroSAT, SHL and arXiv language data; dynamically changing online label distributions</t>
        </is>
      </c>
      <c r="L290" s="3" t="inlineStr">
        <is>
          <t>FLH-FTL tracks evolving class proportions through online regression and generally improves both classification error and label-marginal estimation over existing online label-shift methods, with optimal dynamic-regret guarantees.</t>
        </is>
      </c>
      <c r="M290" t="inlineStr">
        <is>
          <t>Extends prevalence estimation to continuously and unpredictably changing deployment priors and evaluates both BBSE and MLLS-style marginal estimators in online adaptation.</t>
        </is>
      </c>
      <c r="O290" s="3" t="inlineStr">
        <is>
          <t>Published</t>
        </is>
      </c>
      <c r="P290" s="12" t="n">
        <v>46304</v>
      </c>
      <c r="Q290" s="3" t="n"/>
      <c r="R290" s="3" t="inlineStr">
        <is>
          <t>§3–5, Appendix G.4; algorithms track drifting class proportions; experiments report label-marginal MSE and compare BBSE, MLLS and RLLS estimates across vision, sensor and arXiv text data.</t>
        </is>
      </c>
      <c r="S290" s="3" t="inlineStr">
        <is>
          <t>Y</t>
        </is>
      </c>
      <c r="T290" s="3" t="inlineStr">
        <is>
          <t>Y</t>
        </is>
      </c>
      <c r="U290" s="3" t="inlineStr">
        <is>
          <t>Y</t>
        </is>
      </c>
    </row>
    <row r="291" ht="57" customHeight="1" s="18">
      <c r="A291" s="5" t="inlineStr">
        <is>
          <t>S2-0492</t>
        </is>
      </c>
      <c r="B291" s="5" t="inlineStr">
        <is>
          <t>B-ii</t>
        </is>
      </c>
      <c r="C291" s="3" t="inlineStr">
        <is>
          <t>Rakotomamonjy, A.; Flamary, R.; Gasso, G.; Alaya, M. El; Berar, M.; Courty, N.</t>
        </is>
      </c>
      <c r="D291" s="6" t="n">
        <v>2022</v>
      </c>
      <c r="E291" s="3" t="inlineStr">
        <is>
          <t>Optimal transport for conditional domain matching and label shift</t>
        </is>
      </c>
      <c r="F291" s="5" t="inlineStr">
        <is>
          <t>Journal article</t>
        </is>
      </c>
      <c r="G291" s="10" t="inlineStr">
        <is>
          <t>FT</t>
        </is>
      </c>
      <c r="H291" s="3" t="inlineStr">
        <is>
          <t>INCLUDE</t>
        </is>
      </c>
      <c r="I291" s="3" t="n"/>
      <c r="J291" s="3" t="inlineStr">
        <is>
          <t>Method</t>
        </is>
      </c>
      <c r="K291" s="3" t="inlineStr">
        <is>
          <t>Digits, VisDA and Office computer-vision domain-adaptation benchmarks; simultaneous label and class-conditional shift</t>
        </is>
      </c>
      <c r="L291" s="3" t="inlineStr">
        <is>
          <t>MARS estimates target label proportions by combining mixture-proportion estimation with optimal-transport matching, then reweights the source loss and aligns conditional distributions; it performs better on average than competing generalized-target-shift methods.</t>
        </is>
      </c>
      <c r="M291" t="inlineStr">
        <is>
          <t>Directly satisfies B-ii Q1 by estimating unknown target class proportions under generalized label shift, rather than assuming them known during domain adaptation.</t>
        </is>
      </c>
      <c r="O291" s="3" t="inlineStr">
        <is>
          <t>Published</t>
        </is>
      </c>
      <c r="P291" s="12" t="n">
        <v>46304</v>
      </c>
      <c r="Q291" s="3" t="n"/>
      <c r="R291" s="3" t="inlineStr">
        <is>
          <t>Abstract, §1, §6.3; target label proportions are explicitly estimated and used as importance weights in the MARS adaptation objective.</t>
        </is>
      </c>
      <c r="S291" s="3" t="inlineStr">
        <is>
          <t>N</t>
        </is>
      </c>
      <c r="T291" s="3" t="inlineStr">
        <is>
          <t>N</t>
        </is>
      </c>
      <c r="U291" s="3" t="inlineStr">
        <is>
          <t>N</t>
        </is>
      </c>
    </row>
    <row r="292" ht="42.75" customHeight="1" s="18">
      <c r="A292" s="5" t="inlineStr">
        <is>
          <t>S2-0524</t>
        </is>
      </c>
      <c r="B292" s="5" t="inlineStr">
        <is>
          <t>B-ii</t>
        </is>
      </c>
      <c r="C292" s="3" t="inlineStr">
        <is>
          <t>KüChenhoff, Helmut; Augustin, Thomas; Kunz, Anne</t>
        </is>
      </c>
      <c r="D292" s="6" t="n">
        <v>2012</v>
      </c>
      <c r="E292" s="3" t="inlineStr">
        <is>
          <t>Partially identified prevalence estimation under misclassification using the kappa coefficient</t>
        </is>
      </c>
      <c r="F292" s="5" t="inlineStr">
        <is>
          <t>Journal article</t>
        </is>
      </c>
      <c r="G292" s="10" t="inlineStr">
        <is>
          <t>FT</t>
        </is>
      </c>
      <c r="H292" s="3" t="inlineStr">
        <is>
          <t>INCLUDE</t>
        </is>
      </c>
      <c r="I292" s="3" t="n"/>
      <c r="J292" s="3" t="inlineStr">
        <is>
          <t>Method</t>
        </is>
      </c>
      <c r="K292" s="3" t="inlineStr">
        <is>
          <t>Random samples with misclassified binary outcomes; theoretical scenarios and an oral-health caries-prevalence application</t>
        </is>
      </c>
      <c r="L292" s="3" t="inlineStr">
        <is>
          <t>Derives tight identification intervals and confidence regions for true prevalence when sensitivity and specificity are unknown but two replicate proxy measurements and their kappa agreement are available.</t>
        </is>
      </c>
      <c r="M292" t="inlineStr">
        <is>
          <t>Extends prevalence estimation to partially identified settings where true class membership is unobserved and conventional point correction is impossible because misclassification parameters are unknown.</t>
        </is>
      </c>
      <c r="O292" s="3" t="inlineStr">
        <is>
          <t>Published</t>
        </is>
      </c>
      <c r="P292" s="12" t="n">
        <v>46304</v>
      </c>
      <c r="Q292" s="3" t="n"/>
      <c r="R292" s="3" t="inlineStr">
        <is>
          <t>Abstract, §1; directly estimates true population prevalence from imperfect proxy classifications using partial identification and kappa-based sensitivity analysis.</t>
        </is>
      </c>
      <c r="S292" s="3" t="inlineStr">
        <is>
          <t>N</t>
        </is>
      </c>
      <c r="T292" s="3" t="inlineStr">
        <is>
          <t>N</t>
        </is>
      </c>
      <c r="U292" s="3" t="inlineStr">
        <is>
          <t>N</t>
        </is>
      </c>
    </row>
    <row r="293" ht="28.5" customHeight="1" s="18">
      <c r="A293" s="5" t="inlineStr">
        <is>
          <t>S2-0501</t>
        </is>
      </c>
      <c r="B293" s="5" t="inlineStr">
        <is>
          <t>B-ii</t>
        </is>
      </c>
      <c r="C293" s="3" t="inlineStr">
        <is>
          <t>Chang, Shizhen; Du, Bo; Zhang, Liangpei</t>
        </is>
      </c>
      <c r="D293" s="6" t="n">
        <v>2021</v>
      </c>
      <c r="E293" s="3" t="inlineStr">
        <is>
          <t>Positive unlabeled learning with class-prior approximation</t>
        </is>
      </c>
      <c r="F293" s="5" t="inlineStr">
        <is>
          <t>Conference paper</t>
        </is>
      </c>
      <c r="G293" s="10" t="inlineStr">
        <is>
          <t>FT</t>
        </is>
      </c>
      <c r="H293" s="3" t="inlineStr">
        <is>
          <t>INCLUDE</t>
        </is>
      </c>
      <c r="I293" s="3" t="n"/>
      <c r="J293" s="3" t="inlineStr">
        <is>
          <t>Method</t>
        </is>
      </c>
      <c r="K293" s="3" t="inlineStr">
        <is>
          <t>Synthetic data and four UCI datasets: audit, ionosphere, diabetes and vertebral; positive-unlabelled learning</t>
        </is>
      </c>
      <c r="L293" s="3" t="inlineStr">
        <is>
          <t>CAPU jointly estimates the positive-class prior of the unlabelled set and trains the PU classifier through convex risk minimisation and mixture-proportion approximation; it generally achieves strong prior estimates and classification performance.</t>
        </is>
      </c>
      <c r="M293" t="inlineStr">
        <is>
          <t>Direct PU class-prior estimation study meeting B-ii Q1 because the unknown proportion of positives in unlabelled data is an explicit output of the method.</t>
        </is>
      </c>
      <c r="O293" s="3" t="inlineStr">
        <is>
          <t>Published</t>
        </is>
      </c>
      <c r="P293" s="12" t="n">
        <v>46304</v>
      </c>
      <c r="Q293" s="3" t="n"/>
      <c r="R293" s="3" t="inlineStr">
        <is>
          <t>§3–4; CAPU simultaneously estimates the unlabelled-set class prior and classifier parameters and evaluates absolute prior-estimation error across synthetic and UCI data.</t>
        </is>
      </c>
      <c r="S293" s="3" t="inlineStr">
        <is>
          <t>N</t>
        </is>
      </c>
      <c r="T293" s="3" t="inlineStr">
        <is>
          <t>N</t>
        </is>
      </c>
      <c r="U293" s="3" t="inlineStr">
        <is>
          <t>N</t>
        </is>
      </c>
    </row>
    <row r="294" ht="42.75" customHeight="1" s="18">
      <c r="A294" s="5" t="inlineStr">
        <is>
          <t>S2-0459</t>
        </is>
      </c>
      <c r="B294" s="5" t="inlineStr">
        <is>
          <t>B-ii</t>
        </is>
      </c>
      <c r="C294" s="3" t="inlineStr">
        <is>
          <t>Nakajima, Shota; Sugiyama, Masashi</t>
        </is>
      </c>
      <c r="D294" s="6" t="n">
        <v>2022</v>
      </c>
      <c r="E294" s="3" t="inlineStr">
        <is>
          <t>Positive-unlabeled classification under class-prior shift: a prior-invariant approach based on density ratio estimation</t>
        </is>
      </c>
      <c r="F294" s="5" t="inlineStr">
        <is>
          <t>Journal article</t>
        </is>
      </c>
      <c r="G294" s="10" t="inlineStr">
        <is>
          <t>FT</t>
        </is>
      </c>
      <c r="H294" s="3" t="inlineStr">
        <is>
          <t>INCLUDE</t>
        </is>
      </c>
      <c r="I294" s="3" t="n"/>
      <c r="J294" s="3" t="inlineStr">
        <is>
          <t>Method</t>
        </is>
      </c>
      <c r="K294" s="3" t="inlineStr">
        <is>
          <t>MNIST, Fashion-MNIST, Kuzushiji-MNIST and CIFAR-10; positive-unlabelled classification under train/test class-prior shift</t>
        </is>
      </c>
      <c r="L294" s="3" t="inlineStr">
        <is>
          <t>DRPU trains a prior-invariant density-ratio model and subsequently estimates unknown class priors for test-time adaptation; its proposed prior estimator outperforms KM2 in almost all tested settings.</t>
        </is>
      </c>
      <c r="M294" t="inlineStr">
        <is>
          <t>Combines PU classification with explicit deployment class-prior estimation, satisfying B-ii Q1 despite avoiding dependence on the prior during the classifier-training stage.</t>
        </is>
      </c>
      <c r="O294" s="3" t="inlineStr">
        <is>
          <t>Published</t>
        </is>
      </c>
      <c r="P294" s="12" t="n">
        <v>46304</v>
      </c>
      <c r="Q294" s="3" t="n"/>
      <c r="R294" s="3" t="inlineStr">
        <is>
          <t>§3.2, §5; test-time class priors are estimated from positive validation and unlabelled test samples, and prior-estimation absolute error is reported directly.</t>
        </is>
      </c>
      <c r="S294" s="3" t="inlineStr">
        <is>
          <t>N</t>
        </is>
      </c>
      <c r="T294" s="3" t="inlineStr">
        <is>
          <t>N</t>
        </is>
      </c>
      <c r="U294" s="3" t="inlineStr">
        <is>
          <t>N</t>
        </is>
      </c>
    </row>
    <row r="295" ht="42.75" customHeight="1" s="18">
      <c r="A295" s="5" t="inlineStr">
        <is>
          <t>S2-0474</t>
        </is>
      </c>
      <c r="B295" s="5" t="inlineStr">
        <is>
          <t>B-ii</t>
        </is>
      </c>
      <c r="C295" s="3" t="inlineStr">
        <is>
          <t>Vaz, Afonso Fernandes; Izbicki, Rafael; Stern, Rafael Bassi</t>
        </is>
      </c>
      <c r="D295" s="6" t="n">
        <v>2019</v>
      </c>
      <c r="E295" s="3" t="inlineStr">
        <is>
          <t>Quantification under prior probability shift: the ratio estimator and its extensions</t>
        </is>
      </c>
      <c r="F295" s="5" t="inlineStr">
        <is>
          <t>Journal article</t>
        </is>
      </c>
      <c r="G295" s="10" t="inlineStr">
        <is>
          <t>FT</t>
        </is>
      </c>
      <c r="H295" s="3" t="inlineStr">
        <is>
          <t>INCLUDE</t>
        </is>
      </c>
      <c r="I295" s="3" t="n"/>
      <c r="J295" s="3" t="inlineStr">
        <is>
          <t>Method</t>
        </is>
      </c>
      <c r="K295" s="3" t="inlineStr">
        <is>
          <t>Candles, Bank Marketing, SPAM e-mail, Wisconsin Breast Cancer and Blocks Classification; binary quantification under prior-probability shift</t>
        </is>
      </c>
      <c r="L295" s="3" t="inlineStr">
        <is>
          <t>Develops an approximately minimax ratio-estimator family that generalises Adjusted Count, provides confidence intervals and extensions, and is competitive with EM across five benchmark datasets.</t>
        </is>
      </c>
      <c r="M295" t="inlineStr">
        <is>
          <t>Provides theoretical and empirical development of prevalence estimation under prior shift while directly spanning both adjusted-count and Saerens-EM quantification families.</t>
        </is>
      </c>
      <c r="O295" s="3" t="inlineStr">
        <is>
          <t>Published</t>
        </is>
      </c>
      <c r="P295" s="12" t="n">
        <v>46304</v>
      </c>
      <c r="Q295" s="3" t="n"/>
      <c r="R295" s="3" t="inlineStr">
        <is>
          <t>§2.2–2.5; ratio estimators generalise AC; experiments compare against Saerens EM on five datasets including SPAM e-mail.</t>
        </is>
      </c>
      <c r="S295" s="3" t="inlineStr">
        <is>
          <t>Y</t>
        </is>
      </c>
      <c r="T295" s="3" t="inlineStr">
        <is>
          <t>Y</t>
        </is>
      </c>
      <c r="U295" s="3" t="inlineStr">
        <is>
          <t>Y</t>
        </is>
      </c>
    </row>
    <row r="296" ht="28.5" customHeight="1" s="18">
      <c r="A296" s="5" t="inlineStr">
        <is>
          <t>S2-0448</t>
        </is>
      </c>
      <c r="B296" s="5" t="inlineStr">
        <is>
          <t>B-ii</t>
        </is>
      </c>
      <c r="C296" s="3" t="inlineStr">
        <is>
          <t>Moreo, Alejandro; Sebastiani, Fabrizio</t>
        </is>
      </c>
      <c r="D296" s="6" t="n">
        <v>2021</v>
      </c>
      <c r="E296" s="3" t="inlineStr">
        <is>
          <t>Re-assessing the “Classify and Count” Quantification Method</t>
        </is>
      </c>
      <c r="F296" s="5" t="inlineStr">
        <is>
          <t>Conference paper</t>
        </is>
      </c>
      <c r="G296" s="10" t="inlineStr">
        <is>
          <t>FT</t>
        </is>
      </c>
      <c r="H296" s="3" t="inlineStr">
        <is>
          <t>INCLUDE</t>
        </is>
      </c>
      <c r="I296" s="3" t="n"/>
      <c r="J296" s="3" t="inlineStr">
        <is>
          <t>Review/benchmark</t>
        </is>
      </c>
      <c r="K296" s="3" t="inlineStr">
        <is>
          <t>IMDB, Kindle and Harry Potter product/book-review datasets; binary sentiment quantification</t>
        </is>
      </c>
      <c r="L296" s="3" t="inlineStr">
        <is>
          <t>Properly optimised CC, PCC, ACC and PACC achieve near-state-of-the-art prevalence-estimation accuracy, although SLD and HDy remain among the strongest methods.</t>
        </is>
      </c>
      <c r="M296" t="inlineStr">
        <is>
          <t>Reassesses foundational classify-and-count quantification and directly benchmarks adjusted-count and SLD/EM prevalence estimators on real textual sentiment data.</t>
        </is>
      </c>
      <c r="O296" s="3" t="inlineStr">
        <is>
          <t>Published</t>
        </is>
      </c>
      <c r="P296" s="12" t="n">
        <v>46304</v>
      </c>
      <c r="Q296" s="3" t="n"/>
      <c r="R296" s="3" t="inlineStr">
        <is>
          <t>§2, §4; compares optimised CC/PCC/ACC/PACC with advanced quantifiers including SLD on three sentiment-review datasets.</t>
        </is>
      </c>
      <c r="S296" s="3" t="inlineStr">
        <is>
          <t>Y</t>
        </is>
      </c>
      <c r="T296" s="3" t="inlineStr">
        <is>
          <t>Y</t>
        </is>
      </c>
      <c r="U296" s="3" t="inlineStr">
        <is>
          <t>Y</t>
        </is>
      </c>
    </row>
    <row r="297" ht="71.25" customHeight="1" s="18">
      <c r="A297" s="5" t="inlineStr">
        <is>
          <t>S2-0506</t>
        </is>
      </c>
      <c r="B297" s="5" t="inlineStr">
        <is>
          <t>B-ii</t>
        </is>
      </c>
      <c r="C297" s="3" t="inlineStr">
        <is>
          <t>Garg, Saurabh; Erickson, Nick; Sharpnack, James; Smola, Alex J.; Balakrishnan, Sivaraman; Lipton, Zachary C.</t>
        </is>
      </c>
      <c r="D297" s="6" t="n">
        <v>2023</v>
      </c>
      <c r="E297" s="3" t="inlineStr">
        <is>
          <t>RLSbench: domain adaptation under relaxed label shift</t>
        </is>
      </c>
      <c r="F297" s="5" t="inlineStr">
        <is>
          <t>Conference paper</t>
        </is>
      </c>
      <c r="G297" s="10" t="inlineStr">
        <is>
          <t>FT</t>
        </is>
      </c>
      <c r="H297" s="3" t="inlineStr">
        <is>
          <t>INCLUDE</t>
        </is>
      </c>
      <c r="I297" s="3" t="n"/>
      <c r="J297" s="3" t="inlineStr">
        <is>
          <t>Review/benchmark</t>
        </is>
      </c>
      <c r="K297" s="3" t="inlineStr">
        <is>
          <t>14 multi-domain datasets spanning vision, NLP and tabular data, including CivilComments; 560 source-target shift pairs under relaxed label shift</t>
        </is>
      </c>
      <c r="L297" s="3" t="inlineStr">
        <is>
          <t>RLSbench shows that many standard domain-adaptation methods degrade substantially as target-label proportions shift; its two-step meta-algorithm pseudo-balances training data, estimates the target label marginal and reweights the final classifier, often improving accuracy by 2–10 percentage points under large shifts.</t>
        </is>
      </c>
      <c r="M297" t="inlineStr">
        <is>
          <t>Provides a large-scale benchmark for prevalence-aware domain adaptation and directly evaluates target-label-marginal estimation and classifier correction under relaxed label shift, including RLLS and MLLS estimators.</t>
        </is>
      </c>
      <c r="O297" s="3" t="inlineStr">
        <is>
          <t>Published</t>
        </is>
      </c>
      <c r="P297" s="12" t="n">
        <v>46304</v>
      </c>
      <c r="Q297" s="3" t="n"/>
      <c r="R297" s="3" t="inlineStr">
        <is>
          <t>§2–4, Algorithm 1; explicitly estimates the target label marginal from unlabelled target data and reweights classifier outputs; benchmark includes NLP, vision and tabular datasets and compares RLLS and MLLS estimators.</t>
        </is>
      </c>
      <c r="S297" s="3" t="inlineStr">
        <is>
          <t>Y</t>
        </is>
      </c>
      <c r="T297" s="3" t="inlineStr">
        <is>
          <t>Y</t>
        </is>
      </c>
      <c r="U297" s="3" t="inlineStr">
        <is>
          <t>Y</t>
        </is>
      </c>
    </row>
    <row r="298" ht="28.5" customHeight="1" s="18">
      <c r="A298" s="5" t="inlineStr">
        <is>
          <t>S2-0452</t>
        </is>
      </c>
      <c r="B298" s="5" t="inlineStr">
        <is>
          <t>B-ii</t>
        </is>
      </c>
      <c r="C298" s="3" t="inlineStr">
        <is>
          <t>Wu, Xiaowen; Fan, Ruidong; Hou, Chenping</t>
        </is>
      </c>
      <c r="D298" s="6" t="n">
        <v>2025</v>
      </c>
      <c r="E298" s="3" t="inlineStr">
        <is>
          <t>Robust Label Shift Correction via&amp;nbsp;Denoising Expectation-Maximization</t>
        </is>
      </c>
      <c r="F298" s="5" t="inlineStr">
        <is>
          <t>Conference paper</t>
        </is>
      </c>
      <c r="G298" s="10" t="inlineStr">
        <is>
          <t>FT</t>
        </is>
      </c>
      <c r="H298" s="3" t="inlineStr">
        <is>
          <t>INCLUDE</t>
        </is>
      </c>
      <c r="I298" s="3" t="n"/>
      <c r="J298" s="3" t="inlineStr">
        <is>
          <t>Method</t>
        </is>
      </c>
      <c r="K298" s="3" t="inlineStr">
        <is>
          <t>MNIST, CIFAR-10 and SVHN; 2,500 noisy labelled source samples and 10,000 unlabelled target samples under Tweak-One and Dirichlet label shifts</t>
        </is>
      </c>
      <c r="L298" s="3" t="inlineStr">
        <is>
          <t>DNEM jointly estimates the noise-transition matrix and target label distribution through denoising EM, derives importance weights and reweights the classifier; it substantially outperforms conventional label-shift methods under high source-label noise.</t>
        </is>
      </c>
      <c r="M298" t="inlineStr">
        <is>
          <t>Extends EM/SLD-style class-prior estimation and label-shift correction to settings where source labels are themselves noisy, while directly benchmarking against BBSE/RLLS and MLLS.</t>
        </is>
      </c>
      <c r="O298" s="3" t="inlineStr">
        <is>
          <t>Published</t>
        </is>
      </c>
      <c r="P298" s="12" t="n">
        <v>46304</v>
      </c>
      <c r="Q298" s="3" t="n"/>
      <c r="R298" s="3" t="inlineStr">
        <is>
          <t>§3.3–4, Algorithm 1; EM estimates source and target label distributions, importance weights are derived from those estimates, and experiments compare DNEM with BBSE/RLLS and MLLS.</t>
        </is>
      </c>
      <c r="S298" s="3" t="inlineStr">
        <is>
          <t>Y</t>
        </is>
      </c>
      <c r="T298" s="3" t="inlineStr">
        <is>
          <t>Y</t>
        </is>
      </c>
      <c r="U298" s="3" t="inlineStr">
        <is>
          <t>N</t>
        </is>
      </c>
    </row>
    <row r="299" ht="42.75" customHeight="1" s="18">
      <c r="A299" s="5" t="inlineStr">
        <is>
          <t>S2-0509</t>
        </is>
      </c>
      <c r="B299" s="5" t="inlineStr">
        <is>
          <t>B-ii</t>
        </is>
      </c>
      <c r="C299" s="3" t="inlineStr">
        <is>
          <t>Du Plessis, Marthinus Christoffel; Sugiyama, Masashi</t>
        </is>
      </c>
      <c r="D299" s="6" t="n">
        <v>2014</v>
      </c>
      <c r="E299" s="3" t="inlineStr">
        <is>
          <t>Semi-supervised learning of class balance under class-prior change by distribution matching</t>
        </is>
      </c>
      <c r="F299" s="5" t="inlineStr">
        <is>
          <t>Journal article</t>
        </is>
      </c>
      <c r="G299" s="10" t="inlineStr">
        <is>
          <t>FT</t>
        </is>
      </c>
      <c r="H299" s="3" t="inlineStr">
        <is>
          <t>INCLUDE</t>
        </is>
      </c>
      <c r="I299" s="3" t="n"/>
      <c r="J299" s="3" t="inlineStr">
        <is>
          <t>Method</t>
        </is>
      </c>
      <c r="K299" s="3" t="inlineStr">
        <is>
          <t>Synthetic classification experiments and military-vehicle geophone data; class-prior change</t>
        </is>
      </c>
      <c r="L299" s="3" t="inlineStr">
        <is>
          <t>PE-divergence distribution matching estimates unknown test class ratios accurately and generally improves subsequent classification versus competing estimators.</t>
        </is>
      </c>
      <c r="M299" t="inlineStr">
        <is>
          <t>Direct prevalence-estimation method under prior shift, with explicit comparison to Saerens-style EM class-prior estimation.</t>
        </is>
      </c>
      <c r="O299" s="3" t="inlineStr">
        <is>
          <t>Published</t>
        </is>
      </c>
      <c r="P299" s="12" t="n">
        <v>46304</v>
      </c>
      <c r="Q299" s="3" t="n"/>
      <c r="R299" s="3" t="inlineStr">
        <is>
          <t>§1, §4–5; estimates unlabelled test class priors by distribution matching and compares with EM-based estimation.</t>
        </is>
      </c>
      <c r="S299" s="3" t="inlineStr">
        <is>
          <t>N</t>
        </is>
      </c>
      <c r="T299" s="3" t="inlineStr">
        <is>
          <t>Y</t>
        </is>
      </c>
      <c r="U299" s="3" t="inlineStr">
        <is>
          <t>N</t>
        </is>
      </c>
    </row>
    <row r="300" ht="42.75" customHeight="1" s="18">
      <c r="A300" s="5" t="inlineStr">
        <is>
          <t>S2-0512</t>
        </is>
      </c>
      <c r="B300" s="5" t="inlineStr">
        <is>
          <t>B-ii</t>
        </is>
      </c>
      <c r="C300" s="3" t="inlineStr">
        <is>
          <t>Du Plessis, Marthinus Christoffel; Sugiyama, Masashi</t>
        </is>
      </c>
      <c r="D300" s="6" t="n">
        <v>2012</v>
      </c>
      <c r="E300" s="3" t="inlineStr">
        <is>
          <t>Semi-supervised learning of class balance under class-prior change by distribution matching</t>
        </is>
      </c>
      <c r="F300" s="5" t="inlineStr">
        <is>
          <t>Conference paper</t>
        </is>
      </c>
      <c r="G300" s="10" t="inlineStr">
        <is>
          <t>FT</t>
        </is>
      </c>
      <c r="H300" s="3" t="inlineStr">
        <is>
          <t>EXCLUDE</t>
        </is>
      </c>
      <c r="I300" s="3" t="inlineStr">
        <is>
          <t>E7</t>
        </is>
      </c>
      <c r="J300" s="3" t="n"/>
      <c r="K300" s="3" t="n"/>
      <c r="L300" s="3" t="n"/>
      <c r="O300" s="3" t="inlineStr">
        <is>
          <t>Published</t>
        </is>
      </c>
      <c r="P300" s="12" t="n">
        <v>46304</v>
      </c>
      <c r="Q300" s="3" t="n"/>
      <c r="R300" s="3" t="inlineStr">
        <is>
          <t>D6; the 2014 journal article explicitly states that it is an extended version of this 2012 conference paper; retain S2-0509.</t>
        </is>
      </c>
      <c r="S300" s="3" t="n"/>
      <c r="T300" s="3" t="n"/>
      <c r="U300" s="3" t="n"/>
    </row>
    <row r="301" ht="99.75" customHeight="1" s="18">
      <c r="A301" s="5" t="inlineStr">
        <is>
          <t>S2-0453</t>
        </is>
      </c>
      <c r="B301" s="5" t="inlineStr">
        <is>
          <t>B-ii</t>
        </is>
      </c>
      <c r="C301" s="3" t="inlineStr">
        <is>
          <t>Azizi, Shayan; Calderan, Felipe Vaiano; Okui, Norihiro; Nakahara, Masataka; Kubota, Ayumu; Quiles, Marcos Gonçalves; Batista, Gustavo Enrique; Gharakheili, Hassan Habibi</t>
        </is>
      </c>
      <c r="D301" s="6" t="n">
        <v>2025</v>
      </c>
      <c r="E301" s="3" t="inlineStr">
        <is>
          <t>Towards Label Shift Adaptation for Robust IoT Device Identification</t>
        </is>
      </c>
      <c r="F301" s="5" t="inlineStr">
        <is>
          <t>Conference paper</t>
        </is>
      </c>
      <c r="G301" s="10" t="inlineStr">
        <is>
          <t>FT</t>
        </is>
      </c>
      <c r="H301" s="3" t="inlineStr">
        <is>
          <t>INCLUDE</t>
        </is>
      </c>
      <c r="I301" s="3" t="n"/>
      <c r="J301" s="3" t="inlineStr">
        <is>
          <t>Application</t>
        </is>
      </c>
      <c r="K301" s="3" t="inlineStr">
        <is>
          <t>640,000 IPFIX flow records; 12 real households; IoT device identification; 2020</t>
        </is>
      </c>
      <c r="L301" s="3" t="inlineStr">
        <is>
          <t>Estimated deployment class prevalences enable Bayes reweighting of classifier outputs and improve robustness to naturally changing IoT-device frequencies.</t>
        </is>
      </c>
      <c r="M301" t="inlineStr">
        <is>
          <t>Real-world application of quantification and prior-based output correction under operational label shift.</t>
        </is>
      </c>
      <c r="O301" s="3" t="inlineStr">
        <is>
          <t>Published</t>
        </is>
      </c>
      <c r="P301" s="12" t="n">
        <v>46304</v>
      </c>
      <c r="Q301" s="3" t="n"/>
      <c r="R301" s="3" t="inlineStr">
        <is>
          <t>§4–6; estimates class distributions in unlabelled test traffic and uses them to Bayes-adjust classifier outputs after deployment.</t>
        </is>
      </c>
      <c r="S301" s="3" t="inlineStr">
        <is>
          <t>N</t>
        </is>
      </c>
      <c r="T301" s="3" t="inlineStr">
        <is>
          <t>Y</t>
        </is>
      </c>
      <c r="U301" s="3" t="inlineStr">
        <is>
          <t>N</t>
        </is>
      </c>
    </row>
    <row r="302" ht="28.5" customHeight="1" s="18">
      <c r="A302" s="5" t="inlineStr">
        <is>
          <t>S2-0520</t>
        </is>
      </c>
      <c r="B302" s="5" t="inlineStr">
        <is>
          <t>B-ii</t>
        </is>
      </c>
      <c r="C302" s="3" t="inlineStr">
        <is>
          <t>Zhang, Zhihao; Zhou, Jie</t>
        </is>
      </c>
      <c r="D302" s="6" t="n">
        <v>2010</v>
      </c>
      <c r="E302" s="3" t="inlineStr">
        <is>
          <t>Transfer estimation of evolving class priors in data stream classification</t>
        </is>
      </c>
      <c r="F302" s="5" t="inlineStr">
        <is>
          <t>Journal article</t>
        </is>
      </c>
      <c r="G302" s="10" t="inlineStr">
        <is>
          <t>FT</t>
        </is>
      </c>
      <c r="H302" s="3" t="inlineStr">
        <is>
          <t>INCLUDE</t>
        </is>
      </c>
      <c r="I302" s="3" t="n"/>
      <c r="J302" s="3" t="inlineStr">
        <is>
          <t>Method</t>
        </is>
      </c>
      <c r="K302" s="3" t="inlineStr">
        <is>
          <t>Synthetic and real data streams; evolving multiclass priors</t>
        </is>
      </c>
      <c r="L302" s="3" t="inlineStr">
        <is>
          <t>Transfer estimation borrows information from similar distributions to improve evolving class-prior estimates and classification when each current target batch is small.</t>
        </is>
      </c>
      <c r="M302" t="inlineStr">
        <is>
          <t>Extends prevalence estimation to streaming settings with continuously changing class distributions and limited target samples.</t>
        </is>
      </c>
      <c r="O302" s="3" t="inlineStr">
        <is>
          <t>Published</t>
        </is>
      </c>
      <c r="P302" s="12" t="n">
        <v>46304</v>
      </c>
      <c r="Q302" s="3" t="n"/>
      <c r="R302" s="3" t="inlineStr">
        <is>
          <t>Abstract, §1; estimates evolving test class priors and adjusts the classifier, covering confusion-matrix and batch-EM estimators.</t>
        </is>
      </c>
      <c r="S302" s="3" t="inlineStr">
        <is>
          <t>Y</t>
        </is>
      </c>
      <c r="T302" s="3" t="inlineStr">
        <is>
          <t>Y</t>
        </is>
      </c>
      <c r="U302" s="3" t="inlineStr">
        <is>
          <t>N</t>
        </is>
      </c>
    </row>
    <row r="303" ht="28.5" customHeight="1" s="18">
      <c r="A303" s="5" t="inlineStr">
        <is>
          <t>S2-0460</t>
        </is>
      </c>
      <c r="B303" s="5" t="inlineStr">
        <is>
          <t>B-ii</t>
        </is>
      </c>
      <c r="C303" s="3" t="inlineStr">
        <is>
          <t>Moreo, Alejandro; Sebastiani, Fabrizio</t>
        </is>
      </c>
      <c r="D303" s="6" t="n">
        <v>2019</v>
      </c>
      <c r="E303" s="3" t="inlineStr">
        <is>
          <t>Tutorial: Supervised Learning for Prevalence Estimation</t>
        </is>
      </c>
      <c r="F303" s="5" t="inlineStr">
        <is>
          <t>Conference paper</t>
        </is>
      </c>
      <c r="G303" s="10" t="inlineStr">
        <is>
          <t>FT</t>
        </is>
      </c>
      <c r="H303" s="3" t="inlineStr">
        <is>
          <t>EXCLUDE</t>
        </is>
      </c>
      <c r="I303" s="3" t="inlineStr">
        <is>
          <t>E3</t>
        </is>
      </c>
      <c r="J303" s="3" t="n"/>
      <c r="K303" s="3" t="n"/>
      <c r="L303" s="3" t="n"/>
      <c r="O303" s="3" t="inlineStr">
        <is>
          <t>Published</t>
        </is>
      </c>
      <c r="P303" s="12" t="n">
        <v>46304</v>
      </c>
      <c r="Q303" s="3" t="n"/>
      <c r="R303" s="3" t="inlineStr">
        <is>
          <t>Title/abstract; five-page tutorial whose stated goal is to introduce quantification techniques, metrics and future directions; R10 treats tutorial outlines as E3.</t>
        </is>
      </c>
      <c r="S303" s="3" t="n"/>
      <c r="T303" s="3" t="n"/>
      <c r="U303" s="3" t="n"/>
    </row>
    <row r="304" ht="57" customHeight="1" s="18">
      <c r="A304" s="5" t="inlineStr">
        <is>
          <t>S2-0502</t>
        </is>
      </c>
      <c r="B304" s="5" t="inlineStr">
        <is>
          <t>B-ii</t>
        </is>
      </c>
      <c r="C304" s="3" t="inlineStr">
        <is>
          <t>Tan, Andong; Hanselmann, Niklas; Ding, Shuxiao; Tombari, Federico; Cordts, Marius</t>
        </is>
      </c>
      <c r="D304" s="6" t="n">
        <v>2022</v>
      </c>
      <c r="E304" s="3" t="inlineStr">
        <is>
          <t>Unsupervised Domain Adaptive Object Detection with&amp;nbsp;Class Label Shift Weighted Local Features</t>
        </is>
      </c>
      <c r="F304" s="5" t="inlineStr">
        <is>
          <t>Conference paper</t>
        </is>
      </c>
      <c r="G304" s="10" t="inlineStr">
        <is>
          <t>FT</t>
        </is>
      </c>
      <c r="H304" s="3" t="inlineStr">
        <is>
          <t>INCLUDE</t>
        </is>
      </c>
      <c r="I304" s="3" t="n"/>
      <c r="J304" s="3" t="inlineStr">
        <is>
          <t>Method</t>
        </is>
      </c>
      <c r="K304" s="3" t="inlineStr">
        <is>
          <t>Unlabelled target-domain object-detection images; cross-domain class-label shift</t>
        </is>
      </c>
      <c r="L304" s="3" t="inlineStr">
        <is>
          <t>Estimates the target pixel-level class distribution from predicted bounding boxes and uses the resulting label-shift estimate to reweight source local features during adaptation.</t>
        </is>
      </c>
      <c r="M304" t="inlineStr">
        <is>
          <t>Extends explicit class-prior estimation and correction from image classification to object detection with multiple co-occurring objects.</t>
        </is>
      </c>
      <c r="O304" s="3" t="inlineStr">
        <is>
          <t>Published</t>
        </is>
      </c>
      <c r="P304" s="12" t="n">
        <v>46304</v>
      </c>
      <c r="Q304" s="3" t="n"/>
      <c r="R304" s="3" t="inlineStr">
        <is>
          <t>Abstract, §2–3; target class distribution is estimated from predicted boxes and the estimated shift reweights source features.</t>
        </is>
      </c>
      <c r="S304" s="3" t="inlineStr">
        <is>
          <t>N</t>
        </is>
      </c>
      <c r="T304" s="3" t="inlineStr">
        <is>
          <t>N</t>
        </is>
      </c>
      <c r="U304" s="3" t="inlineStr">
        <is>
          <t>N</t>
        </is>
      </c>
    </row>
    <row r="305" ht="42.75" customHeight="1" s="18">
      <c r="A305" s="5" t="inlineStr">
        <is>
          <t>S2-0479</t>
        </is>
      </c>
      <c r="B305" s="5" t="inlineStr">
        <is>
          <t>B-ii</t>
        </is>
      </c>
      <c r="C305" s="3" t="inlineStr">
        <is>
          <t>Roberts, Manley; Mani, Pranav; Garg, Saurabh; Lipton, Zachary C.</t>
        </is>
      </c>
      <c r="D305" s="6" t="n">
        <v>2022</v>
      </c>
      <c r="E305" s="3" t="inlineStr">
        <is>
          <t>Unsupervised learning under latent label shift</t>
        </is>
      </c>
      <c r="F305" s="5" t="inlineStr">
        <is>
          <t>Conference paper</t>
        </is>
      </c>
      <c r="G305" s="10" t="inlineStr">
        <is>
          <t>FT</t>
        </is>
      </c>
      <c r="H305" s="3" t="inlineStr">
        <is>
          <t>INCLUDE</t>
        </is>
      </c>
      <c r="I305" s="3" t="n"/>
      <c r="J305" s="3" t="inlineStr">
        <is>
          <t>Theory</t>
        </is>
      </c>
      <c r="K305" s="3" t="inlineStr">
        <is>
          <t>Unlabelled multi-domain image datasets; latent label-shift mixture proportions</t>
        </is>
      </c>
      <c r="L305" s="3" t="inlineStr">
        <is>
          <t>DDFA recovers per-domain latent class proportions and adapted classifiers from unlabelled multi-domain data by domain discrimination, clustering and matrix factorisation.</t>
        </is>
      </c>
      <c r="M305" t="inlineStr">
        <is>
          <t>Extends prevalence estimation to a fully unsupervised setting where both class identities and their changing domain-specific prevalences are latent.</t>
        </is>
      </c>
      <c r="O305" s="3" t="inlineStr">
        <is>
          <t>Published</t>
        </is>
      </c>
      <c r="P305" s="12" t="n">
        <v>46304</v>
      </c>
      <c r="Q305" s="3" t="n"/>
      <c r="R305" s="3" t="inlineStr">
        <is>
          <t>§1–2, Algorithm 1; explicitly recovers per-domain mixture proportions p_d(y) and corresponding classifiers from unlabelled domains.</t>
        </is>
      </c>
      <c r="S305" s="3" t="inlineStr">
        <is>
          <t>N</t>
        </is>
      </c>
      <c r="T305" s="3" t="inlineStr">
        <is>
          <t>N</t>
        </is>
      </c>
      <c r="U305" s="3" t="inlineStr">
        <is>
          <t>N</t>
        </is>
      </c>
    </row>
    <row r="306" ht="28.5" customHeight="1" s="18">
      <c r="A306" s="5" t="inlineStr">
        <is>
          <t>S2-0476</t>
        </is>
      </c>
      <c r="B306" s="5" t="inlineStr">
        <is>
          <t>B-ii</t>
        </is>
      </c>
      <c r="C306" s="3" t="inlineStr">
        <is>
          <t>Luo, You-Wei; Ren, Chuan-Xian</t>
        </is>
      </c>
      <c r="D306" s="6" t="n">
        <v>2024</v>
      </c>
      <c r="E306" s="3" t="inlineStr">
        <is>
          <t>When Invariant Representation Learning Meets Label Shift: Insufficiency and Theoretical Insights</t>
        </is>
      </c>
      <c r="F306" s="5" t="inlineStr">
        <is>
          <t>Journal article</t>
        </is>
      </c>
      <c r="G306" s="10" t="inlineStr">
        <is>
          <t>FT</t>
        </is>
      </c>
      <c r="H306" s="3" t="inlineStr">
        <is>
          <t>INCLUDE</t>
        </is>
      </c>
      <c r="I306" s="3" t="n"/>
      <c r="J306" s="3" t="inlineStr">
        <is>
          <t>Theory</t>
        </is>
      </c>
      <c r="K306" s="3" t="inlineStr">
        <is>
          <t>Office-31, Office-Home and VisDA-2017; generalized label shift/domain adaptation</t>
        </is>
      </c>
      <c r="L306" s="3" t="inlineStr">
        <is>
          <t>Shows invariant representation learning alone is insufficient under generalized label shift and proposes KECA, which estimates class importance weights and performs joint shift correction.</t>
        </is>
      </c>
      <c r="M306" t="inlineStr">
        <is>
          <t>Provides theoretical and empirical support for explicit class-prior-ratio estimation as a necessary component of generalized label-shift adaptation.</t>
        </is>
      </c>
      <c r="O306" s="3" t="inlineStr">
        <is>
          <t>Published</t>
        </is>
      </c>
      <c r="P306" s="12" t="n">
        <v>46304</v>
      </c>
      <c r="Q306" s="3" t="n"/>
      <c r="R306" s="3" t="inlineStr">
        <is>
          <t>§IV–V; KECA estimates importance weights using BBSE-style label-shift estimation and evaluates prior-estimation error during adaptation.</t>
        </is>
      </c>
      <c r="S306" s="3" t="inlineStr">
        <is>
          <t>Y</t>
        </is>
      </c>
      <c r="T306" s="3" t="inlineStr">
        <is>
          <t>N</t>
        </is>
      </c>
      <c r="U306" s="3" t="inlineStr">
        <is>
          <t>N</t>
        </is>
      </c>
    </row>
    <row r="307" ht="57" customHeight="1" s="18">
      <c r="A307" s="5" t="inlineStr">
        <is>
          <t>S2-0327</t>
        </is>
      </c>
      <c r="B307" s="5" t="inlineStr">
        <is>
          <t>B-i</t>
        </is>
      </c>
      <c r="C307" s="3" t="inlineStr">
        <is>
          <t>Zheng, Jingyi; Hu, Tianyi; Liu, Yule; Sun, Zhen; Zhang, Zongmin; Peng, Zifan; Dong, Wenhan; He, Xinlei</t>
        </is>
      </c>
      <c r="D307" s="6" t="n">
        <v>2026</v>
      </c>
      <c r="E307" s="3" t="inlineStr">
        <is>
          <t>CHASM: Unveiling Covert Advertisements on Chinese Social Media</t>
        </is>
      </c>
      <c r="F307" s="5" t="inlineStr">
        <is>
          <t>Preprint (arXiv)</t>
        </is>
      </c>
      <c r="G307" s="10" t="inlineStr">
        <is>
          <t>FT</t>
        </is>
      </c>
      <c r="H307" s="3" t="inlineStr">
        <is>
          <t>EXCLUDE</t>
        </is>
      </c>
      <c r="I307" s="3" t="inlineStr">
        <is>
          <t>E2</t>
        </is>
      </c>
      <c r="J307" s="3" t="n"/>
      <c r="K307" s="3" t="n"/>
      <c r="L307" s="3" t="n"/>
      <c r="O307" s="3" t="inlineStr">
        <is>
          <t>Preprint</t>
        </is>
      </c>
      <c r="P307" s="12" t="n">
        <v>46304</v>
      </c>
      <c r="Q307" s="3" t="inlineStr">
        <is>
          <t>Bi-modality</t>
        </is>
      </c>
      <c r="R307" s="3" t="inlineStr">
        <is>
          <t>Abstract; CHASM evaluates multimodal LLMs on Rednote posts using visual and textual information, so the primary input is not text alone.</t>
        </is>
      </c>
      <c r="S307" s="3" t="n"/>
      <c r="T307" s="3" t="n"/>
      <c r="U307" s="3" t="n"/>
    </row>
    <row r="308" ht="42.75" customHeight="1" s="18">
      <c r="A308" s="5" t="inlineStr">
        <is>
          <t>S2-0428</t>
        </is>
      </c>
      <c r="B308" s="5" t="inlineStr">
        <is>
          <t>B-i</t>
        </is>
      </c>
      <c r="C308" s="3" t="inlineStr">
        <is>
          <t>Ghanadian, Hamideh; Nejadgholi, Isar; Osman, Hussein Al</t>
        </is>
      </c>
      <c r="D308" s="6" t="n">
        <v>2023</v>
      </c>
      <c r="E308" s="3" t="inlineStr">
        <is>
          <t>ChatGPT for Suicide Risk Assessment on Social Media: Quantitative Evaluation of Model Performance, Potentials and Limitations</t>
        </is>
      </c>
      <c r="F308" s="5" t="inlineStr">
        <is>
          <t>Preprint (arXiv)</t>
        </is>
      </c>
      <c r="G308" s="10" t="inlineStr">
        <is>
          <t>FT</t>
        </is>
      </c>
      <c r="H308" s="3" t="inlineStr">
        <is>
          <t>INCLUDE</t>
        </is>
      </c>
      <c r="I308" s="3" t="n"/>
      <c r="J308" s="3" t="inlineStr">
        <is>
          <t>ZS: ChatGPT / FT: ALBERT</t>
        </is>
      </c>
      <c r="K308" s="3" t="inlineStr">
        <is>
          <t>Reddit/UMD; suicide-risk classification; English; held-out test set</t>
        </is>
      </c>
      <c r="L308" s="3" t="inlineStr">
        <is>
          <t>Fine-tuned ALBERT achieved F1=0.869 versus 0.73 for zero-shot ChatGPT at temperature 0.1.</t>
        </is>
      </c>
      <c r="M308" t="inlineStr">
        <is>
          <t>Direct same-task comparison shows a substantial supervised fine-tuning advantage over prompting on social-media suicide-risk text.</t>
        </is>
      </c>
      <c r="O308" s="3" t="inlineStr">
        <is>
          <t>Preprint</t>
        </is>
      </c>
      <c r="P308" s="12" t="n">
        <v>46304</v>
      </c>
      <c r="Q308" s="3" t="n"/>
      <c r="R308" s="3" t="inlineStr">
        <is>
          <t>§4–5, Table 4; zero-shot ChatGPT and fine-tuned ALBERT are evaluated on the UMD Reddit suicidality test set.</t>
        </is>
      </c>
      <c r="S308" s="3" t="inlineStr">
        <is>
          <t>FT</t>
        </is>
      </c>
      <c r="T308" s="3" t="inlineStr">
        <is>
          <t>N</t>
        </is>
      </c>
      <c r="U308" s="3" t="inlineStr">
        <is>
          <t>N</t>
        </is>
      </c>
    </row>
    <row r="309" ht="42.75" customHeight="1" s="18">
      <c r="A309" s="5" t="inlineStr">
        <is>
          <t>S2-0576</t>
        </is>
      </c>
      <c r="B309" s="5" t="inlineStr">
        <is>
          <t>B-i</t>
        </is>
      </c>
      <c r="C309" s="3" t="inlineStr">
        <is>
          <t>Giannilias, T.; Papadakis, A.; Nikolaou, N.; Zahariadis, T.</t>
        </is>
      </c>
      <c r="D309" s="6" t="n">
        <v>2025</v>
      </c>
      <c r="E309" s="3" t="inlineStr">
        <is>
          <t>Classification of Hacker’s Posts Based on Zero-Shot, Few-Shot, and Fine-Tuned LLMs in Environments with Constrained Resources</t>
        </is>
      </c>
      <c r="F309" s="5" t="inlineStr">
        <is>
          <t>Journal article</t>
        </is>
      </c>
      <c r="G309" s="10" t="inlineStr">
        <is>
          <t>FT</t>
        </is>
      </c>
      <c r="H309" s="3" t="inlineStr">
        <is>
          <t>INCLUDE</t>
        </is>
      </c>
      <c r="I309" s="3" t="n"/>
      <c r="J309" s="3" t="inlineStr">
        <is>
          <t>ZS: Mistral/Gemma/Llama / FT: same LLMs with LoRA</t>
        </is>
      </c>
      <c r="K309" s="3" t="inlineStr">
        <is>
          <t>Dark-web hacker forums; four-class cybersecurity classification; English; n=670 curated posts</t>
        </is>
      </c>
      <c r="L309" s="3" t="inlineStr">
        <is>
          <t>Fine-tuned models consistently outperform zero-shot and few-shot prompting across the evaluated open-source LLMs.</t>
        </is>
      </c>
      <c r="M309" t="inlineStr">
        <is>
          <t>Direct same-dataset comparison shows parameter-efficient supervised fine-tuning outperforming prompting on informal hacker-forum text under constrained hardware.</t>
        </is>
      </c>
      <c r="O309" s="3" t="inlineStr">
        <is>
          <t>Published</t>
        </is>
      </c>
      <c r="P309" s="12" t="n">
        <v>46304</v>
      </c>
      <c r="Q309" s="3" t="n"/>
      <c r="R309" s="3" t="inlineStr">
        <is>
          <t>§3–4; four LLMs are compared in zero-shot, few-shot and LoRA-fine-tuned forms on the same 670-post expert-labelled dataset.</t>
        </is>
      </c>
      <c r="S309" s="3" t="inlineStr">
        <is>
          <t>FT</t>
        </is>
      </c>
      <c r="T309" s="3" t="inlineStr">
        <is>
          <t>Y</t>
        </is>
      </c>
      <c r="U309" s="3" t="inlineStr">
        <is>
          <t>N</t>
        </is>
      </c>
    </row>
    <row r="310" ht="42.75" customHeight="1" s="18">
      <c r="A310" s="5" t="inlineStr">
        <is>
          <t>S2-0380</t>
        </is>
      </c>
      <c r="B310" s="5" t="inlineStr">
        <is>
          <t>B-i</t>
        </is>
      </c>
      <c r="C310" s="3" t="inlineStr">
        <is>
          <t>Patil, Avinash; Gedhu, Amardeep Kour</t>
        </is>
      </c>
      <c r="D310" s="6" t="n">
        <v>2026</v>
      </c>
      <c r="E310" s="3" t="inlineStr">
        <is>
          <t>Cognitive-Mental-LLM: Evaluating Reasoning in Large Language Models for Mental Health Prediction via Online Text</t>
        </is>
      </c>
      <c r="F310" s="5" t="inlineStr">
        <is>
          <t>Preprint (arXiv)</t>
        </is>
      </c>
      <c r="G310" s="10" t="inlineStr">
        <is>
          <t>FT</t>
        </is>
      </c>
      <c r="H310" s="3" t="inlineStr">
        <is>
          <t>EXCLUDE</t>
        </is>
      </c>
      <c r="I310" s="3" t="inlineStr">
        <is>
          <t>E2</t>
        </is>
      </c>
      <c r="J310" s="3" t="n"/>
      <c r="K310" s="3" t="n"/>
      <c r="L310" s="3" t="n"/>
      <c r="O310" s="3" t="inlineStr">
        <is>
          <t>Preprint</t>
        </is>
      </c>
      <c r="P310" s="12" t="n">
        <v>46304</v>
      </c>
      <c r="Q310" s="3" t="inlineStr">
        <is>
          <t>Bi-direct</t>
        </is>
      </c>
      <c r="R310" s="3" t="inlineStr">
        <is>
          <t>§II–III, Table II; fine-tuned baseline results come from a prior study, while current prompting uses different and often larger test populations.</t>
        </is>
      </c>
      <c r="S310" s="3" t="n"/>
      <c r="T310" s="3" t="n"/>
      <c r="U310" s="3" t="n"/>
    </row>
    <row r="311" ht="42.75" customHeight="1" s="18">
      <c r="A311" s="5" t="inlineStr">
        <is>
          <t>S2-0604</t>
        </is>
      </c>
      <c r="B311" s="5" t="inlineStr">
        <is>
          <t>B-i</t>
        </is>
      </c>
      <c r="C311" s="3" t="inlineStr">
        <is>
          <t>Hasnan, A.W.; Chaya, B.; Gunawan, A.A.S.; Tedjasulaksana, J.J.</t>
        </is>
      </c>
      <c r="D311" s="6" t="n">
        <v>2026</v>
      </c>
      <c r="E311" s="3" t="inlineStr">
        <is>
          <t>Comparative Study of Machine Learning, Transformer, and Generative Models for Sentiment Analysis</t>
        </is>
      </c>
      <c r="F311" s="5" t="inlineStr">
        <is>
          <t>Conference paper</t>
        </is>
      </c>
      <c r="G311" s="10" t="inlineStr">
        <is>
          <t>FT</t>
        </is>
      </c>
      <c r="H311" s="3" t="inlineStr">
        <is>
          <t>INCLUDE</t>
        </is>
      </c>
      <c r="I311" s="3" t="n"/>
      <c r="J311" s="3" t="inlineStr">
        <is>
          <t>ZS: LLaMA 3.0 few-shot / FT: BERT Base</t>
        </is>
      </c>
      <c r="K311" s="3" t="inlineStr">
        <is>
          <t>X/Twitter; three-class AI-surveillance sentiment classification; English; n=686 test tweets</t>
        </is>
      </c>
      <c r="L311" s="3" t="inlineStr">
        <is>
          <t>Fine-tuned BERT achieved accuracy 0.83 versus 0.41 for prompted LLaMA 3.0, which collapsed largely to neutral predictions.</t>
        </is>
      </c>
      <c r="M311" t="inlineStr">
        <is>
          <t>Direct same-test comparison strongly favours supervised fine-tuning over prompting for short social-media sentiment classification.</t>
        </is>
      </c>
      <c r="O311" s="3" t="inlineStr">
        <is>
          <t>Published</t>
        </is>
      </c>
      <c r="P311" s="12" t="n">
        <v>46304</v>
      </c>
      <c r="Q311" s="3" t="n"/>
      <c r="R311" s="3" t="inlineStr">
        <is>
          <t>§III–IV; BERT is fine-tuned and LLaMA few-shot prompted, with both evaluated on the same held-out Twitter test set.</t>
        </is>
      </c>
      <c r="S311" s="3" t="inlineStr">
        <is>
          <t>FT</t>
        </is>
      </c>
      <c r="T311" s="3" t="inlineStr">
        <is>
          <t>N</t>
        </is>
      </c>
      <c r="U311" s="3" t="inlineStr">
        <is>
          <t>N</t>
        </is>
      </c>
    </row>
    <row r="312" ht="28.5" customHeight="1" s="18">
      <c r="A312" s="5" t="inlineStr">
        <is>
          <t>S2-0820</t>
        </is>
      </c>
      <c r="B312" s="5" t="inlineStr">
        <is>
          <t>B-i</t>
        </is>
      </c>
      <c r="C312" s="3" t="inlineStr">
        <is>
          <t>Jain, R.; Kesavan, M.; Jayaraman, V.K.</t>
        </is>
      </c>
      <c r="D312" s="6" t="n">
        <v>2026</v>
      </c>
      <c r="E312" s="3" t="inlineStr">
        <is>
          <t>Comparative Study of Zero-Shot and Supervised Learning for Tamil Tweet Sentiment Analysis</t>
        </is>
      </c>
      <c r="F312" s="5" t="inlineStr">
        <is>
          <t>Conference paper</t>
        </is>
      </c>
      <c r="G312" s="10" t="inlineStr">
        <is>
          <t>FT</t>
        </is>
      </c>
      <c r="H312" s="3" t="inlineStr">
        <is>
          <t>EXCLUDE</t>
        </is>
      </c>
      <c r="I312" s="3" t="inlineStr">
        <is>
          <t>E2</t>
        </is>
      </c>
      <c r="J312" s="3" t="n"/>
      <c r="K312" s="3" t="n"/>
      <c r="L312" s="3" t="n"/>
      <c r="O312" s="3" t="inlineStr">
        <is>
          <t>Published</t>
        </is>
      </c>
      <c r="P312" s="12" t="n">
        <v>46304</v>
      </c>
      <c r="Q312" s="3" t="inlineStr">
        <is>
          <t>Bi-language</t>
        </is>
      </c>
      <c r="R312" s="3" t="inlineStr">
        <is>
          <t>Abstract; primary contribution is sentiment analysis for low-resource, morphologically rich Tamil/code-mixed tweets rather than the supervision-axis comparison.</t>
        </is>
      </c>
      <c r="S312" s="3" t="n"/>
      <c r="T312" s="3" t="n"/>
      <c r="U312" s="3" t="n"/>
    </row>
    <row r="313" ht="28.5" customHeight="1" s="18">
      <c r="A313" s="5" t="inlineStr">
        <is>
          <t>S2-1028</t>
        </is>
      </c>
      <c r="B313" s="5" t="inlineStr">
        <is>
          <t>B-i</t>
        </is>
      </c>
      <c r="C313" s="3" t="inlineStr">
        <is>
          <t>Botunac, I.; Brkić Bakarić, M.; Matetić, M.</t>
        </is>
      </c>
      <c r="D313" s="6" t="n">
        <v>2024</v>
      </c>
      <c r="E313" s="3" t="inlineStr">
        <is>
          <t>Comparing Fine-Tuning and Prompt Engineering for Multi-Class Classification in Hospitality Review Analysis</t>
        </is>
      </c>
      <c r="F313" s="5" t="inlineStr">
        <is>
          <t>Journal article</t>
        </is>
      </c>
      <c r="G313" s="10" t="inlineStr">
        <is>
          <t>FT</t>
        </is>
      </c>
      <c r="H313" s="3" t="inlineStr">
        <is>
          <t>INCLUDE</t>
        </is>
      </c>
      <c r="I313" s="3" t="n"/>
      <c r="J313" s="3" t="inlineStr">
        <is>
          <t>ZS: ChatGPT/GPT-4 prompted / FT: BERT/RoBERTa/DeBERTa/GPT-2</t>
        </is>
      </c>
      <c r="K313" s="3" t="inlineStr">
        <is>
          <t>SemEval-2014 restaurant reviews; sentiment and aspect classification; English; n=464 test reviews</t>
        </is>
      </c>
      <c r="L313" s="3" t="inlineStr">
        <is>
          <t>Fine-tuned transformer models generally achieve stronger classification performance and markedly shorter execution times than prompted ChatGPT/GPT-4.</t>
        </is>
      </c>
      <c r="M313" t="inlineStr">
        <is>
          <t>Direct same-review comparison captures both accuracy and computational-efficiency differences between supervised fine-tuning and prompting.</t>
        </is>
      </c>
      <c r="O313" s="3" t="inlineStr">
        <is>
          <t>Published</t>
        </is>
      </c>
      <c r="P313" s="12" t="n">
        <v>46304</v>
      </c>
      <c r="Q313" s="3" t="n"/>
      <c r="R313" s="3" t="inlineStr">
        <is>
          <t>§4–5, Table 2; prompted LLMs and fine-tuned transformers are evaluated on the same 464-review test split with accuracy, F1 and execution time.</t>
        </is>
      </c>
      <c r="S313" s="3" t="inlineStr">
        <is>
          <t>FT</t>
        </is>
      </c>
      <c r="T313" s="3" t="inlineStr">
        <is>
          <t>Y</t>
        </is>
      </c>
      <c r="U313" s="3" t="inlineStr">
        <is>
          <t>N</t>
        </is>
      </c>
    </row>
    <row r="314" ht="42.75" customHeight="1" s="18">
      <c r="A314" s="5" t="inlineStr">
        <is>
          <t>S2-0799</t>
        </is>
      </c>
      <c r="B314" s="5" t="inlineStr">
        <is>
          <t>B-i</t>
        </is>
      </c>
      <c r="C314" s="3" t="inlineStr">
        <is>
          <t>Kallstenius, T.; Capusan, A.J.; Andersson, G.; Williamson, A.</t>
        </is>
      </c>
      <c r="D314" s="6" t="n">
        <v>2025</v>
      </c>
      <c r="E314" s="3" t="inlineStr">
        <is>
          <t>Comparing traditional natural language processing and large language models for mental health status classification: a multi-model evaluation</t>
        </is>
      </c>
      <c r="F314" s="5" t="inlineStr">
        <is>
          <t>Journal article</t>
        </is>
      </c>
      <c r="G314" s="10" t="inlineStr">
        <is>
          <t>FT</t>
        </is>
      </c>
      <c r="H314" s="3" t="inlineStr">
        <is>
          <t>EXCLUDE</t>
        </is>
      </c>
      <c r="I314" s="3" t="inlineStr">
        <is>
          <t>E2</t>
        </is>
      </c>
      <c r="J314" s="3" t="n"/>
      <c r="K314" s="3" t="n"/>
      <c r="L314" s="3" t="n"/>
      <c r="O314" s="3" t="inlineStr">
        <is>
          <t>Published</t>
        </is>
      </c>
      <c r="P314" s="12" t="n">
        <v>46304</v>
      </c>
      <c r="Q314" s="3" t="inlineStr">
        <is>
          <t>Bi-direct</t>
        </is>
      </c>
      <c r="R314" s="3" t="inlineStr">
        <is>
          <t>§Methods; prompt-engineered GPT-4o-mini uses a 20% test set whereas the fine-tuned GPT-4o-mini uses a different 10% test set.</t>
        </is>
      </c>
      <c r="S314" s="3" t="n"/>
      <c r="T314" s="3" t="n"/>
      <c r="U314" s="3" t="n"/>
    </row>
    <row r="315" ht="42.75" customHeight="1" s="18">
      <c r="A315" s="5" t="inlineStr">
        <is>
          <t>S2-0709</t>
        </is>
      </c>
      <c r="B315" s="5" t="inlineStr">
        <is>
          <t>B-i</t>
        </is>
      </c>
      <c r="C315" s="3" t="inlineStr">
        <is>
          <t>Yesmaya, V.; Budiharto, W.; Anggreainy, M.S.; Isa, S.M.; Kartowisastro, I.H.</t>
        </is>
      </c>
      <c r="D315" s="6" t="n">
        <v>2026</v>
      </c>
      <c r="E315" s="3" t="inlineStr">
        <is>
          <t>Comparison of Traditional Machine Learning Models and Large Language Models for Multi-Label Text Classification on X (Twitter)</t>
        </is>
      </c>
      <c r="F315" s="5" t="inlineStr">
        <is>
          <t>Conference paper</t>
        </is>
      </c>
      <c r="G315" s="10" t="inlineStr">
        <is>
          <t>FT</t>
        </is>
      </c>
      <c r="H315" s="3" t="inlineStr">
        <is>
          <t>EXCLUDE</t>
        </is>
      </c>
      <c r="I315" s="3" t="inlineStr">
        <is>
          <t>E2</t>
        </is>
      </c>
      <c r="J315" s="3" t="n"/>
      <c r="K315" s="3" t="n"/>
      <c r="L315" s="3" t="n"/>
      <c r="O315" s="3" t="inlineStr">
        <is>
          <t>Published</t>
        </is>
      </c>
      <c r="P315" s="12" t="n">
        <v>46304</v>
      </c>
      <c r="Q315" s="3" t="inlineStr">
        <is>
          <t>Bi-zeroshot</t>
        </is>
      </c>
      <c r="R315" s="3" t="inlineStr">
        <is>
          <t>§IV, Table III; only a fine-tuned LLM result is reported alongside classical baselines; no scored zero-shot or prompted LLM arm is reported.</t>
        </is>
      </c>
      <c r="S315" s="3" t="n"/>
      <c r="T315" s="3" t="n"/>
      <c r="U315" s="3" t="n"/>
    </row>
    <row r="316" ht="57" customHeight="1" s="18">
      <c r="A316" s="5" t="inlineStr">
        <is>
          <t>S2-0440</t>
        </is>
      </c>
      <c r="B316" s="5" t="inlineStr">
        <is>
          <t>B-i</t>
        </is>
      </c>
      <c r="C316" s="3" t="inlineStr">
        <is>
          <t>Olah, Justin; Baruah, Sabyasachee; Bose, Digbalay; Narayanan, Shrikanth</t>
        </is>
      </c>
      <c r="D316" s="6" t="n">
        <v>2021</v>
      </c>
      <c r="E316" s="3" t="inlineStr">
        <is>
          <t>Cross Domain Emotion Recognition using Few Shot Knowledge Transfer</t>
        </is>
      </c>
      <c r="F316" s="5" t="inlineStr">
        <is>
          <t>Preprint (arXiv)</t>
        </is>
      </c>
      <c r="G316" s="10" t="inlineStr">
        <is>
          <t>FT</t>
        </is>
      </c>
      <c r="H316" s="3" t="inlineStr">
        <is>
          <t>INCLUDE</t>
        </is>
      </c>
      <c r="I316" s="3" t="n"/>
      <c r="J316" s="3" t="inlineStr">
        <is>
          <t>ZS: pretrained SBERT projection / FT: SBERT</t>
        </is>
      </c>
      <c r="K316" s="3" t="inlineStr">
        <is>
          <t>Reddit/GoEmotions; multi-label emotion classification; English; common GoEmotions test split</t>
        </is>
      </c>
      <c r="L316" s="3" t="inlineStr">
        <is>
          <t>Fine-tuned SBERT achieves about 0.48 F1 versus at most 0.15 for the zero-shot/unsupervised projection approaches using the pretrained encoder.</t>
        </is>
      </c>
      <c r="M316" t="inlineStr">
        <is>
          <t>Same-dataset comparison shows a large fine-tuning advantage on short Reddit comments, independently of the paper's separate cross-domain SemEval transfer experiment.</t>
        </is>
      </c>
      <c r="O316" s="3" t="inlineStr">
        <is>
          <t>Preprint</t>
        </is>
      </c>
      <c r="P316" s="12" t="n">
        <v>46304</v>
      </c>
      <c r="Q316" s="3" t="n"/>
      <c r="R316" s="3" t="inlineStr">
        <is>
          <t>§5–6, Tables 1–2; pretrained projection and supervised fine-tuned SBERT approaches are evaluated on GoEmotions Reddit emotion classification.</t>
        </is>
      </c>
      <c r="S316" s="3" t="inlineStr">
        <is>
          <t>FT</t>
        </is>
      </c>
      <c r="T316" s="3" t="inlineStr">
        <is>
          <t>N</t>
        </is>
      </c>
      <c r="U316" s="3" t="inlineStr">
        <is>
          <t>N</t>
        </is>
      </c>
    </row>
    <row r="317" ht="42.75" customHeight="1" s="18">
      <c r="A317" s="5" t="inlineStr">
        <is>
          <t>S2-0920</t>
        </is>
      </c>
      <c r="B317" s="5" t="inlineStr">
        <is>
          <t>B-i</t>
        </is>
      </c>
      <c r="C317" s="3" t="inlineStr">
        <is>
          <t>Taghian Dinani, S.; Caragea, D.; Gyawali, N.</t>
        </is>
      </c>
      <c r="D317" s="6" t="n">
        <v>2024</v>
      </c>
      <c r="E317" s="3" t="inlineStr">
        <is>
          <t>Disaster Tweet Classification Using Fine-Tuned Deep Learning Models Versus Zero and Few-Shot Large Language Models</t>
        </is>
      </c>
      <c r="F317" s="5" t="inlineStr">
        <is>
          <t>Conference paper</t>
        </is>
      </c>
      <c r="G317" s="10" t="inlineStr">
        <is>
          <t>FT</t>
        </is>
      </c>
      <c r="H317" s="3" t="inlineStr">
        <is>
          <t>INCLUDE</t>
        </is>
      </c>
      <c r="I317" s="3" t="n"/>
      <c r="J317" s="3" t="inlineStr">
        <is>
          <t>ZS: Llama-2-7B / FT: BERT</t>
        </is>
      </c>
      <c r="K317" s="3" t="inlineStr">
        <is>
          <t>CrisisLex/CrisisNLP/CrisisBench tweets; crisis classification; English; informativeness test n=12,831/7,206/31,095</t>
        </is>
      </c>
      <c r="L317" s="3" t="inlineStr">
        <is>
          <t>Fine-tuned BERT consistently outperforms Llama 2 in zero-shot and few-shot settings across informativeness and humanitarian crisis-tweet classification.</t>
        </is>
      </c>
      <c r="M317" t="inlineStr">
        <is>
          <t>Direct same-test comparison demonstrates a robust supervised fine-tuning advantage over limited-shot prompting on crisis-related social-media text.</t>
        </is>
      </c>
      <c r="O317" s="3" t="inlineStr">
        <is>
          <t>Published</t>
        </is>
      </c>
      <c r="P317" s="12" t="n">
        <v>46304</v>
      </c>
      <c r="Q317" s="3" t="n"/>
      <c r="R317" s="3" t="inlineStr">
        <is>
          <t>§3–4; fine-tuned BERT and zero/few-shot Llama 2 use the same CrisisLex, CrisisNLP and CrisisBench test partitions.</t>
        </is>
      </c>
      <c r="S317" s="3" t="inlineStr">
        <is>
          <t>FT</t>
        </is>
      </c>
      <c r="T317" s="3" t="inlineStr">
        <is>
          <t>N</t>
        </is>
      </c>
      <c r="U317" s="3" t="inlineStr">
        <is>
          <t>N</t>
        </is>
      </c>
    </row>
    <row r="318" ht="28.5" customHeight="1" s="18">
      <c r="A318" s="5" t="inlineStr">
        <is>
          <t>S2-1056</t>
        </is>
      </c>
      <c r="B318" s="5" t="inlineStr">
        <is>
          <t>B-i</t>
        </is>
      </c>
      <c r="C318" s="3" t="inlineStr">
        <is>
          <t>Inoshita, K.</t>
        </is>
      </c>
      <c r="D318" s="6" t="n">
        <v>2025</v>
      </c>
      <c r="E318" s="3" t="inlineStr">
        <is>
          <t>Enhancing Sentiment Analysis Accuracy and Evaluating Task Affinity Using Large Language Models</t>
        </is>
      </c>
      <c r="F318" s="5" t="inlineStr">
        <is>
          <t>Conference paper</t>
        </is>
      </c>
      <c r="G318" s="10" t="inlineStr">
        <is>
          <t>FT</t>
        </is>
      </c>
      <c r="H318" s="3" t="inlineStr">
        <is>
          <t>INCLUDE</t>
        </is>
      </c>
      <c r="I318" s="3" t="n"/>
      <c r="J318" s="3" t="inlineStr">
        <is>
          <t>ZS: Llama 2-7B / FT: Llama 2-7B with SFT/LoRA</t>
        </is>
      </c>
      <c r="K318" s="3" t="inlineStr">
        <is>
          <t>Reviews and social-media datasets; sentiment, ABSA, hate/offensive/irony classification; English; up to 500 test items/task</t>
        </is>
      </c>
      <c r="L318" s="3" t="inlineStr">
        <is>
          <t>Performance is task-dependent: few-shot prompting often beats SFT, while SFT improves selected subtasks when combined with few-shot prompting.</t>
        </is>
      </c>
      <c r="M318" t="inlineStr">
        <is>
          <t>Shows that the supervision advantage is not uniform; task structure can determine whether prompting or supervised adaptation performs better.</t>
        </is>
      </c>
      <c r="O318" s="3" t="inlineStr">
        <is>
          <t>Published</t>
        </is>
      </c>
      <c r="P318" s="12" t="n">
        <v>46304</v>
      </c>
      <c r="Q318" s="3" t="n"/>
      <c r="R318" s="3" t="inlineStr">
        <is>
          <t>Table III; the same Llama 2-7B is evaluated in zero/few-shot and SFT configurations on fixed task-specific test sets.</t>
        </is>
      </c>
      <c r="S318" s="3" t="inlineStr">
        <is>
          <t>Mixed</t>
        </is>
      </c>
      <c r="T318" s="3" t="inlineStr">
        <is>
          <t>N</t>
        </is>
      </c>
      <c r="U318" s="3" t="inlineStr">
        <is>
          <t>N</t>
        </is>
      </c>
    </row>
    <row r="319" ht="42.75" customHeight="1" s="18">
      <c r="A319" s="5" t="inlineStr">
        <is>
          <t>S2-0546</t>
        </is>
      </c>
      <c r="B319" s="5" t="inlineStr">
        <is>
          <t>B-i</t>
        </is>
      </c>
      <c r="C319" s="3" t="inlineStr">
        <is>
          <t>Mohammed, A.; Kora, R.</t>
        </is>
      </c>
      <c r="D319" s="6" t="n">
        <v>2026</v>
      </c>
      <c r="E319" s="3" t="inlineStr">
        <is>
          <t>Enhancing Text-Based Deepfake Detection: A Comprehensive Evaluation of LoRA Fine-Tuned Large Language Models</t>
        </is>
      </c>
      <c r="F319" s="5" t="inlineStr">
        <is>
          <t>Journal article</t>
        </is>
      </c>
      <c r="G319" s="10" t="inlineStr">
        <is>
          <t>FT</t>
        </is>
      </c>
      <c r="H319" s="3" t="inlineStr">
        <is>
          <t>INCLUDE</t>
        </is>
      </c>
      <c r="I319" s="3" t="n"/>
      <c r="J319" s="3" t="inlineStr">
        <is>
          <t>ZS: 13 LLMs / FT: corresponding LLMs with LoRA</t>
        </is>
      </c>
      <c r="K319" s="3" t="inlineStr">
        <is>
          <t>Arabic/English/Spanish social-media tweets/posts; fake-vs-real text classification; n=4,837/8,700/22,197/971</t>
        </is>
      </c>
      <c r="L319" s="3" t="inlineStr">
        <is>
          <t>LoRA fine-tuning consistently improves classification performance over zero-shot inference across models, languages and all four deepfake datasets.</t>
        </is>
      </c>
      <c r="M319" t="inlineStr">
        <is>
          <t>Provides a broad multilingual same-task comparison showing a consistent fine-tuning advantage and explicit efficiency trade-offs for parameter-efficient adaptation.</t>
        </is>
      </c>
      <c r="O319" s="3" t="inlineStr">
        <is>
          <t>Published</t>
        </is>
      </c>
      <c r="P319" s="12" t="n">
        <v>46304</v>
      </c>
      <c r="Q319" s="3" t="n"/>
      <c r="R319" s="3" t="inlineStr">
        <is>
          <t>§III–VI; the same benchmark datasets are used for zero-shot and LoRA-fine-tuned evaluation across thirteen LLMs.</t>
        </is>
      </c>
      <c r="S319" s="3" t="inlineStr">
        <is>
          <t>FT</t>
        </is>
      </c>
      <c r="T319" s="3" t="inlineStr">
        <is>
          <t>Y</t>
        </is>
      </c>
      <c r="U319" s="3" t="inlineStr">
        <is>
          <t>N</t>
        </is>
      </c>
    </row>
    <row r="320" ht="28.5" customHeight="1" s="18">
      <c r="A320" s="5" t="inlineStr">
        <is>
          <t>S2-0893</t>
        </is>
      </c>
      <c r="B320" s="5" t="inlineStr">
        <is>
          <t>B-i</t>
        </is>
      </c>
      <c r="C320" s="3" t="inlineStr">
        <is>
          <t>Raza, M.M.; Abudalfa, S.I.</t>
        </is>
      </c>
      <c r="D320" s="6" t="n">
        <v>2025</v>
      </c>
      <c r="E320" s="3" t="inlineStr">
        <is>
          <t>Entity Sentiment Classification using Arabic Lightweight LLMs</t>
        </is>
      </c>
      <c r="F320" s="5" t="inlineStr">
        <is>
          <t>Conference paper</t>
        </is>
      </c>
      <c r="G320" s="10" t="inlineStr">
        <is>
          <t>FT</t>
        </is>
      </c>
      <c r="H320" s="3" t="inlineStr">
        <is>
          <t>INCLUDE</t>
        </is>
      </c>
      <c r="I320" s="3" t="n"/>
      <c r="J320" s="3" t="inlineStr">
        <is>
          <t>ZS: Phi-4-mini/Qwen3-4B/Llama-3.2-1B / FT: same models with DSPy BootstrapFinetuning</t>
        </is>
      </c>
      <c r="K320" s="3" t="inlineStr">
        <is>
          <t>X/Twitter; entity sentiment classification; Arabic; n=600 test tweets</t>
        </is>
      </c>
      <c r="L320" s="3" t="inlineStr">
        <is>
          <t>Fine-tuning strongly improves Qwen in target-independent classification, but target-dependent fine-tuning underperforms its best few-shot configuration.</t>
        </is>
      </c>
      <c r="M320" t="inlineStr">
        <is>
          <t>Demonstrates that supervised adaptation can yield large gains on the same Arabic social-media task, but its advantage depends on task formulation.</t>
        </is>
      </c>
      <c r="O320" s="3" t="inlineStr">
        <is>
          <t>Published</t>
        </is>
      </c>
      <c r="P320" s="12" t="n">
        <v>46304</v>
      </c>
      <c r="Q320" s="3" t="n"/>
      <c r="R320" s="3" t="inlineStr">
        <is>
          <t>§III–IV; zero-shot, few-shot and bootstrap-fine-tuned configurations are evaluated on the same stratified 600-tweet test set.</t>
        </is>
      </c>
      <c r="S320" s="3" t="inlineStr">
        <is>
          <t>Mixed</t>
        </is>
      </c>
      <c r="T320" s="3" t="inlineStr">
        <is>
          <t>N</t>
        </is>
      </c>
      <c r="U320" s="3" t="inlineStr">
        <is>
          <t>N</t>
        </is>
      </c>
    </row>
    <row r="321" ht="28.5" customHeight="1" s="18">
      <c r="A321" s="5" t="inlineStr">
        <is>
          <t>S2-0670</t>
        </is>
      </c>
      <c r="B321" s="5" t="inlineStr">
        <is>
          <t>B-i</t>
        </is>
      </c>
      <c r="C321" s="3" t="inlineStr">
        <is>
          <t>Wali, A.; Alahmadi, A.; Aljohani, A.; Alharbi, A.</t>
        </is>
      </c>
      <c r="D321" s="6" t="n">
        <v>2026</v>
      </c>
      <c r="E321" s="3" t="inlineStr">
        <is>
          <t>Evaluating Arabic Sentiment Analysis With GPT-4o: A Comparative Study of Raw and Preprocessed Text</t>
        </is>
      </c>
      <c r="F321" s="5" t="inlineStr">
        <is>
          <t>Journal article</t>
        </is>
      </c>
      <c r="G321" s="10" t="inlineStr">
        <is>
          <t>FT</t>
        </is>
      </c>
      <c r="H321" s="3" t="inlineStr">
        <is>
          <t>EXCLUDE</t>
        </is>
      </c>
      <c r="I321" s="3" t="inlineStr">
        <is>
          <t>E2</t>
        </is>
      </c>
      <c r="J321" s="3" t="n"/>
      <c r="K321" s="3" t="n"/>
      <c r="L321" s="3" t="n"/>
      <c r="O321" s="3" t="inlineStr">
        <is>
          <t>Published</t>
        </is>
      </c>
      <c r="P321" s="12" t="n">
        <v>46304</v>
      </c>
      <c r="Q321" s="3" t="inlineStr">
        <is>
          <t>Bi-finetuned</t>
        </is>
      </c>
      <c r="R321" s="3" t="inlineStr">
        <is>
          <t>Methods; AraBERT, MARBERT and mBERT were run without training or fine-tuning on either study dataset; all comparator predictions were zero-shot.</t>
        </is>
      </c>
      <c r="S321" s="3" t="n"/>
      <c r="T321" s="3" t="n"/>
      <c r="U321" s="3" t="n"/>
    </row>
    <row r="322" ht="71.25" customHeight="1" s="18">
      <c r="A322" s="5" t="inlineStr">
        <is>
          <t>S2-0956</t>
        </is>
      </c>
      <c r="B322" s="5" t="inlineStr">
        <is>
          <t>B-i</t>
        </is>
      </c>
      <c r="C322" s="3" t="inlineStr">
        <is>
          <t>Al-Thubaity, A.; Alkhereyf, S.; Murayshid, H.; Alshalawi, N.; Omirah, M.B.; Alateeq, R.; Almutairi, R.; Alsuwailem, R.; Alhassoun, M.; Alkhanen, I.</t>
        </is>
      </c>
      <c r="D322" s="6" t="n">
        <v>2023</v>
      </c>
      <c r="E322" s="3" t="inlineStr">
        <is>
          <t>Evaluating ChatGPT and Bard AI on Arabic Sentiment Analysis</t>
        </is>
      </c>
      <c r="F322" s="5" t="inlineStr">
        <is>
          <t>Conference paper</t>
        </is>
      </c>
      <c r="G322" s="10" t="inlineStr">
        <is>
          <t>FT</t>
        </is>
      </c>
      <c r="H322" s="3" t="inlineStr">
        <is>
          <t>INCLUDE</t>
        </is>
      </c>
      <c r="I322" s="3" t="n"/>
      <c r="J322" s="3" t="inlineStr">
        <is>
          <t>ZS: GPT-4/GPT-3.5/Bard / FT: Arabic BERT models</t>
        </is>
      </c>
      <c r="K322" s="3" t="inlineStr">
        <is>
          <t>Twitter; three-class Saudi-dialect sentiment classification; Arabic; 25% test split of 2,690 tweets</t>
        </is>
      </c>
      <c r="L322" s="3" t="inlineStr">
        <is>
          <t>Fine-tuned BERT achieves the highest overall F1 at 0.79, narrowly ahead of GPT-4 at 0.77 and Bard at 0.76.</t>
        </is>
      </c>
      <c r="M322" t="inlineStr">
        <is>
          <t>Direct same-test comparison shows prompting can approach supervised fine-tuning on dialectal social-media sentiment, but does not surpass the best fine-tuned model.</t>
        </is>
      </c>
      <c r="O322" s="3" t="inlineStr">
        <is>
          <t>Published</t>
        </is>
      </c>
      <c r="P322" s="12" t="n">
        <v>46304</v>
      </c>
      <c r="Q322" s="3" t="n"/>
      <c r="R322" s="3" t="inlineStr">
        <is>
          <t>§3–4; BERT models and prompted GPT/Bard models are evaluated against the same SDTCtest labels.</t>
        </is>
      </c>
      <c r="S322" s="3" t="inlineStr">
        <is>
          <t>FT</t>
        </is>
      </c>
      <c r="T322" s="3" t="inlineStr">
        <is>
          <t>N</t>
        </is>
      </c>
      <c r="U322" s="3" t="inlineStr">
        <is>
          <t>N</t>
        </is>
      </c>
    </row>
    <row r="323" ht="28.5" customHeight="1" s="18">
      <c r="A323" s="5" t="inlineStr">
        <is>
          <t>S2-1006</t>
        </is>
      </c>
      <c r="B323" s="5" t="inlineStr">
        <is>
          <t>B-i</t>
        </is>
      </c>
      <c r="C323" s="3" t="inlineStr">
        <is>
          <t>Guo, Y.; Ovadje, A.; Al-Garadi, M.A.; Sarker, A.</t>
        </is>
      </c>
      <c r="D323" s="6" t="n">
        <v>2024</v>
      </c>
      <c r="E323" s="3" t="inlineStr">
        <is>
          <t>Evaluating large language models for health-related text classification tasks with public social media data</t>
        </is>
      </c>
      <c r="F323" s="5" t="inlineStr">
        <is>
          <t>Journal article</t>
        </is>
      </c>
      <c r="G323" s="10" t="inlineStr">
        <is>
          <t>FT</t>
        </is>
      </c>
      <c r="H323" s="3" t="inlineStr">
        <is>
          <t>INCLUDE</t>
        </is>
      </c>
      <c r="I323" s="3" t="n"/>
      <c r="J323" s="3" t="inlineStr">
        <is>
          <t>ZS: GPT-3.5/GPT-4 / FT: RoBERTa/BERTweet/SocBERT</t>
        </is>
      </c>
      <c r="K323" s="3" t="inlineStr">
        <is>
          <t>Twitter; six binary health-related classification tasks; English; 20% test split, total n=774–7,470/task</t>
        </is>
      </c>
      <c r="L323" s="3" t="inlineStr">
        <is>
          <t>Supervised pretrained language models consistently achieve higher F1 than the GPT zero-shot classifiers, although GPT-4 often attains higher recall.</t>
        </is>
      </c>
      <c r="M323" t="inlineStr">
        <is>
          <t>Direct multi-task comparison shows fine-tuning retains an F1 advantage over zero-shot LLM classification on short health-related social-media posts.</t>
        </is>
      </c>
      <c r="O323" s="3" t="inlineStr">
        <is>
          <t>Published</t>
        </is>
      </c>
      <c r="P323" s="12" t="n">
        <v>46304</v>
      </c>
      <c r="Q323" s="3" t="n"/>
      <c r="R323" s="3" t="inlineStr">
        <is>
          <t>Methods/results; zero-shot GPT and supervised PLMs are evaluated against the same human-labelled held-out Twitter test data.</t>
        </is>
      </c>
      <c r="S323" s="3" t="inlineStr">
        <is>
          <t>FT</t>
        </is>
      </c>
      <c r="T323" s="3" t="inlineStr">
        <is>
          <t>N</t>
        </is>
      </c>
      <c r="U323" s="3" t="inlineStr">
        <is>
          <t>N</t>
        </is>
      </c>
    </row>
    <row r="324" ht="28.5" customHeight="1" s="18">
      <c r="A324" s="5" t="inlineStr">
        <is>
          <t>S2-0599</t>
        </is>
      </c>
      <c r="B324" s="5" t="inlineStr">
        <is>
          <t>B-i</t>
        </is>
      </c>
      <c r="C324" s="3" t="inlineStr">
        <is>
          <t>D’Amico, S.; Maurino, A.; Osborne, F.; Sperlì, G.</t>
        </is>
      </c>
      <c r="D324" s="6" t="n">
        <v>2026</v>
      </c>
      <c r="E324" s="3" t="inlineStr">
        <is>
          <t>Evaluating the effectiveness of fine-tuning in financial NLP: The case of Social Trading Action Detection</t>
        </is>
      </c>
      <c r="F324" s="5" t="inlineStr">
        <is>
          <t>Journal article</t>
        </is>
      </c>
      <c r="G324" s="10" t="inlineStr">
        <is>
          <t>FT</t>
        </is>
      </c>
      <c r="H324" s="3" t="inlineStr">
        <is>
          <t>INCLUDE</t>
        </is>
      </c>
      <c r="I324" s="3" t="n"/>
      <c r="J324" s="3" t="inlineStr">
        <is>
          <t>ZS: 23 LLMs / FT: 20 corresponding fine-tuned LLMs</t>
        </is>
      </c>
      <c r="K324" s="3" t="inlineStr">
        <is>
          <t>Reddit; buy/sell/other Social Trading Action Detection; English; n=2,123 manually annotated posts; 5-fold cross-validation</t>
        </is>
      </c>
      <c r="L324" s="3" t="inlineStr">
        <is>
          <t>Fine-tuning improves F1 by 15.1 percentage points on average; fine-tuned Mistral-7B achieves the best F1 of 86.0%, although some architectures show little or negative benefit from fine-tuning.</t>
        </is>
      </c>
      <c r="M324" t="inlineStr">
        <is>
          <t>Strong same-corpus evidence that task-specific supervised fine-tuning materially improves classification of noisy financial user-generated text, while also showing that the gain is architecture-dependent.</t>
        </is>
      </c>
      <c r="O324" s="3" t="inlineStr">
        <is>
          <t>Published</t>
        </is>
      </c>
      <c r="P324" s="12" t="n">
        <v>46305</v>
      </c>
      <c r="Q324" s="3" t="n"/>
      <c r="R324" s="3" t="inlineStr">
        <is>
          <t>§3.2–3.4, Results; FinReddit-2K contains 2,123 manually annotated Reddit posts; 23 zero-shot and 20 fine-tuned LLMs are evaluated using the same 5-fold cross-validation protocol; fine-tuning improves F1 by +15.1% on average.</t>
        </is>
      </c>
      <c r="S324" s="3" t="inlineStr">
        <is>
          <t>FT</t>
        </is>
      </c>
      <c r="T324" s="3" t="inlineStr">
        <is>
          <t>Y</t>
        </is>
      </c>
      <c r="U324" s="3" t="inlineStr">
        <is>
          <t>N</t>
        </is>
      </c>
    </row>
    <row r="325" ht="28.5" customHeight="1" s="18">
      <c r="A325" s="5" t="inlineStr">
        <is>
          <t>S2-1072</t>
        </is>
      </c>
      <c r="B325" s="5" t="inlineStr">
        <is>
          <t>B-i</t>
        </is>
      </c>
      <c r="C325" s="3" t="inlineStr">
        <is>
          <t>Wu, S.-H.; Hsun, T.T.</t>
        </is>
      </c>
      <c r="D325" s="6" t="n">
        <v>2025</v>
      </c>
      <c r="E325" s="3" t="inlineStr">
        <is>
          <t>Fine-Tuned Models for Hate Speech Detection: Assessing Generalization on Social Media</t>
        </is>
      </c>
      <c r="F325" s="5" t="inlineStr">
        <is>
          <t>Conference paper</t>
        </is>
      </c>
      <c r="G325" s="10" t="inlineStr">
        <is>
          <t>FT</t>
        </is>
      </c>
      <c r="H325" s="3" t="inlineStr">
        <is>
          <t>EXCLUDE</t>
        </is>
      </c>
      <c r="I325" s="3" t="inlineStr">
        <is>
          <t>E2</t>
        </is>
      </c>
      <c r="J325" s="3" t="n"/>
      <c r="K325" s="3" t="n"/>
      <c r="L325" s="3" t="n"/>
      <c r="O325" s="3" t="inlineStr">
        <is>
          <t>Published</t>
        </is>
      </c>
      <c r="P325" s="12" t="n">
        <v>46305</v>
      </c>
      <c r="Q325" s="3" t="inlineStr">
        <is>
          <t>Bi-direct</t>
        </is>
      </c>
      <c r="R325" s="3" t="inlineStr">
        <is>
          <t>The zero-shot Llama-3.1 and fine-tuned RoBERTa results are not based on identical test instances. RoBERTa uses held-out subsets from an 80:20 train/test split, whereas the zero-shot LLM is evaluated across substantially larger dataset populations; the confusion-matrix totals confirm different evaluation samples.</t>
        </is>
      </c>
      <c r="S325" s="3" t="n"/>
      <c r="T325" s="3" t="n"/>
      <c r="U325" s="3" t="n"/>
    </row>
    <row r="326" ht="42.75" customHeight="1" s="18">
      <c r="A326" s="5" t="inlineStr">
        <is>
          <t>S2-0401</t>
        </is>
      </c>
      <c r="B326" s="5" t="inlineStr">
        <is>
          <t>B-i</t>
        </is>
      </c>
      <c r="C326" s="3" t="inlineStr">
        <is>
          <t>Filip, Tomáš; Pavlíček, Martin; Sosík, Petr</t>
        </is>
      </c>
      <c r="D326" s="6" t="n">
        <v>2024</v>
      </c>
      <c r="E326" s="3" t="inlineStr">
        <is>
          <t>Fine-tuning multilingual language models in Twitter/X sentiment analysis: a study on Eastern-European V4 languages</t>
        </is>
      </c>
      <c r="F326" s="5" t="inlineStr">
        <is>
          <t>Preprint (arXiv)</t>
        </is>
      </c>
      <c r="G326" s="10" t="inlineStr">
        <is>
          <t>FT</t>
        </is>
      </c>
      <c r="H326" s="3" t="inlineStr">
        <is>
          <t>INCLUDE</t>
        </is>
      </c>
      <c r="I326" s="3" t="n"/>
      <c r="J326" s="3" t="inlineStr">
        <is>
          <t>ZS: GPT-4/Llama2/Llama3 / FT: BERT/BERTweet/Llama2/Llama3/Mistral</t>
        </is>
      </c>
      <c r="K326" s="3" t="inlineStr">
        <is>
          <t>Twitter/X; aspect-based sentiment classification towards Russia/Ukraine; Czech/Slovak, Polish and Hungarian; manually annotated language/aspect subsets with 75/25 train/test splits</t>
        </is>
      </c>
      <c r="L326" s="3" t="inlineStr">
        <is>
          <t>Fine-tuning substantially outperformed vanilla/in-context settings; Llama2 and Mistral were strongest overall, while GPT-4 and Llama3 performed worse; English translation often improved results.</t>
        </is>
      </c>
      <c r="M326" t="inlineStr">
        <is>
          <t>Direct comparison on the same testing splits shows a supervised fine-tuning advantage on short user-generated text; the multilingual setting is retained because the paper explicitly compares supervision regimes rather than using cross-language transfer as the sole primary contrast.</t>
        </is>
      </c>
      <c r="O326" s="3" t="inlineStr">
        <is>
          <t>Preprint</t>
        </is>
      </c>
      <c r="P326" s="12" t="n">
        <v>46305</v>
      </c>
      <c r="Q326" s="3" t="n"/>
      <c r="R326" s="3" t="inlineStr">
        <is>
          <t>§3–5; all models use the same testing split of each annotated Twitter/X sub-dataset; the paper's first stated main finding is that fine-tuning significantly outperformed in-context learning.</t>
        </is>
      </c>
      <c r="S326" s="3" t="inlineStr">
        <is>
          <t>FT</t>
        </is>
      </c>
      <c r="T326" s="3" t="inlineStr">
        <is>
          <t>Y</t>
        </is>
      </c>
      <c r="U326" s="3" t="inlineStr">
        <is>
          <t>N</t>
        </is>
      </c>
    </row>
    <row r="327" ht="85.5" customHeight="1" s="18">
      <c r="A327" s="5" t="inlineStr">
        <is>
          <t>S2-0321</t>
        </is>
      </c>
      <c r="B327" s="5" t="inlineStr">
        <is>
          <t>B-i</t>
        </is>
      </c>
      <c r="C327" s="3" t="inlineStr">
        <is>
          <t>Stähelin, Lukas; Solopova, Veronika; Upravitelev, Max; Kaplan, David; Sahitaj, Ariana; Sahitaj, Premtim; Jakob, Charlott; Möller, Sebastian; Schmitt, Vera</t>
        </is>
      </c>
      <c r="D327" s="6" t="n">
        <v>2026</v>
      </c>
      <c r="E327" s="3" t="inlineStr">
        <is>
          <t>Fine-tuning with Hierarchical Prompting for Robust Propaganda Classification Across Annotation Schemas</t>
        </is>
      </c>
      <c r="F327" s="5" t="inlineStr">
        <is>
          <t>Preprint (arXiv)</t>
        </is>
      </c>
      <c r="G327" s="10" t="inlineStr">
        <is>
          <t>FT</t>
        </is>
      </c>
      <c r="H327" s="3" t="inlineStr">
        <is>
          <t>INCLUDE</t>
        </is>
      </c>
      <c r="I327" s="3" t="n"/>
      <c r="J327" s="3" t="inlineStr">
        <is>
          <t>ZS: GPT-4.1-nano/Phi-4/Qwen2.5/Qwen3 / FT: same model families</t>
        </is>
      </c>
      <c r="K327" s="3" t="inlineStr">
        <is>
          <t>30,000 English tweets; propaganda classification; fixed evaluation split includes 200-item golden test set</t>
        </is>
      </c>
      <c r="L327" s="3" t="inlineStr">
        <is>
          <t>Fine-tuning improves weighted F1 by approximately 0.09–0.30 across configurations; hierarchical prompting becomes most useful after adaptation.</t>
        </is>
      </c>
      <c r="M327" t="inlineStr">
        <is>
          <t>Strong controlled evidence that supervised adaptation improves short social-media classification and interacts with prompting structure and annotation reliability.</t>
        </is>
      </c>
      <c r="O327" s="3" t="inlineStr">
        <is>
          <t>Preprint</t>
        </is>
      </c>
      <c r="P327" s="12" t="n">
        <v>46304</v>
      </c>
      <c r="Q327" s="3" t="n"/>
      <c r="R327" s="3" t="inlineStr">
        <is>
          <t>§3.4–4, Table 3; zero-shot and fine-tuned models are evaluated on the same fixed tweet test sets.</t>
        </is>
      </c>
      <c r="S327" s="3" t="inlineStr">
        <is>
          <t>FT</t>
        </is>
      </c>
      <c r="T327" s="3" t="inlineStr">
        <is>
          <t>Y</t>
        </is>
      </c>
      <c r="U327" s="3" t="inlineStr">
        <is>
          <t>N</t>
        </is>
      </c>
    </row>
    <row r="328" ht="42.75" customHeight="1" s="18">
      <c r="A328" s="5" t="inlineStr">
        <is>
          <t>S2-0983</t>
        </is>
      </c>
      <c r="B328" s="5" t="inlineStr">
        <is>
          <t>B-i</t>
        </is>
      </c>
      <c r="C328" s="3" t="inlineStr">
        <is>
          <t>De Santis, E.; Martino, A.; Ronci, F.; Rizzi, A.</t>
        </is>
      </c>
      <c r="D328" s="6" t="n">
        <v>2025</v>
      </c>
      <c r="E328" s="3" t="inlineStr">
        <is>
          <t>From Bag-of-Words to Transformers: A Comparative Study for Text Classification in Healthcare Discussions in Social Media</t>
        </is>
      </c>
      <c r="F328" s="5" t="inlineStr">
        <is>
          <t>Journal article</t>
        </is>
      </c>
      <c r="G328" s="10" t="inlineStr">
        <is>
          <t>FT</t>
        </is>
      </c>
      <c r="H328" s="3" t="inlineStr">
        <is>
          <t>EXCLUDE</t>
        </is>
      </c>
      <c r="I328" s="3" t="inlineStr">
        <is>
          <t>E2</t>
        </is>
      </c>
      <c r="J328" s="3" t="n"/>
      <c r="K328" s="3" t="n"/>
      <c r="L328" s="3" t="n"/>
      <c r="O328" s="3" t="inlineStr">
        <is>
          <t>Published</t>
        </is>
      </c>
      <c r="P328" s="12" t="n">
        <v>46304</v>
      </c>
      <c r="Q328" s="3" t="inlineStr">
        <is>
          <t>Bi-text</t>
        </is>
      </c>
      <c r="R328" s="3" t="inlineStr">
        <is>
          <t>§III–IV; classification unit is the user, represented by embeddings aggregated across that user's multiple Facebook posts, not an individual short text.</t>
        </is>
      </c>
      <c r="S328" s="3" t="n"/>
      <c r="T328" s="3" t="n"/>
      <c r="U328" s="3" t="n"/>
    </row>
    <row r="329" ht="28.5" customHeight="1" s="18">
      <c r="A329" s="5" t="inlineStr">
        <is>
          <t>S2-0881</t>
        </is>
      </c>
      <c r="B329" s="5" t="inlineStr">
        <is>
          <t>B-i</t>
        </is>
      </c>
      <c r="C329" s="3" t="inlineStr">
        <is>
          <t>Liyanage, C.R.; Gokani, R.; Mago, V.</t>
        </is>
      </c>
      <c r="D329" s="6" t="n">
        <v>2024</v>
      </c>
      <c r="E329" s="3" t="inlineStr">
        <is>
          <t>GPT-4 as an X data annotator: Unraveling its performance on a stance classification task</t>
        </is>
      </c>
      <c r="F329" s="5" t="inlineStr">
        <is>
          <t>Journal article</t>
        </is>
      </c>
      <c r="G329" s="10" t="inlineStr">
        <is>
          <t>FT</t>
        </is>
      </c>
      <c r="H329" s="3" t="inlineStr">
        <is>
          <t>EXCLUDE</t>
        </is>
      </c>
      <c r="I329" s="3" t="inlineStr">
        <is>
          <t>E2</t>
        </is>
      </c>
      <c r="J329" s="3" t="n"/>
      <c r="K329" s="3" t="n"/>
      <c r="L329" s="3" t="n"/>
      <c r="O329" s="3" t="inlineStr">
        <is>
          <t>Published</t>
        </is>
      </c>
      <c r="P329" s="12" t="n">
        <v>46304</v>
      </c>
      <c r="Q329" s="3" t="inlineStr">
        <is>
          <t>Bi-direct</t>
        </is>
      </c>
      <c r="R329" s="3" t="inlineStr">
        <is>
          <t>§Methodology/Fig. 1; GPT-4 prompts label training tweets; only downstream fine-tuned classifiers are scored on the common held-out test set.</t>
        </is>
      </c>
      <c r="S329" s="3" t="n"/>
      <c r="T329" s="3" t="n"/>
      <c r="U329" s="3" t="n"/>
    </row>
    <row r="330" ht="42.75" customHeight="1" s="18">
      <c r="A330" s="5" t="inlineStr">
        <is>
          <t>S2-0965</t>
        </is>
      </c>
      <c r="B330" s="5" t="inlineStr">
        <is>
          <t>B-i</t>
        </is>
      </c>
      <c r="C330" s="3" t="inlineStr">
        <is>
          <t>Upadhyaya, A.; Nejdl, W.; Fisichella, M.</t>
        </is>
      </c>
      <c r="D330" s="6" t="n">
        <v>2024</v>
      </c>
      <c r="E330" s="3" t="inlineStr">
        <is>
          <t>Harnessing Empathy and Ethics for Relevance Detection and Information Categorization in Climate and COVID-19 Tweets</t>
        </is>
      </c>
      <c r="F330" s="5" t="inlineStr">
        <is>
          <t>Conference paper</t>
        </is>
      </c>
      <c r="G330" s="10" t="inlineStr">
        <is>
          <t>FT</t>
        </is>
      </c>
      <c r="H330" s="3" t="inlineStr">
        <is>
          <t>INCLUDE</t>
        </is>
      </c>
      <c r="I330" s="3" t="n"/>
      <c r="J330" s="3" t="inlineStr">
        <is>
          <t>ZS: GPT-3.5/Mistral / FT: BERT-family models</t>
        </is>
      </c>
      <c r="K330" s="3" t="inlineStr">
        <is>
          <t>X/Twitter; climate and COVID relevance/information classification; English; climate n=1,300, COVID test n≈892</t>
        </is>
      </c>
      <c r="L330" s="3" t="inlineStr">
        <is>
          <t>Fine-tuned BERT-family models outperform zero/few-shot LLMs across the four reported climate/COVID task-domain combinations.</t>
        </is>
      </c>
      <c r="M330" t="inlineStr">
        <is>
          <t>Direct same-task comparison supports a supervised fine-tuning advantage for short social-media classification despite gains from empathy/ethics prompting.</t>
        </is>
      </c>
      <c r="O330" s="3" t="inlineStr">
        <is>
          <t>Published</t>
        </is>
      </c>
      <c r="P330" s="12" t="n">
        <v>46304</v>
      </c>
      <c r="Q330" s="3" t="n"/>
      <c r="R330" s="3" t="inlineStr">
        <is>
          <t>Table 1; zero/few-shot GPT/Mistral and fine-tuned BERT models are scored on the same climate/COVID tweet tasks.</t>
        </is>
      </c>
      <c r="S330" s="3" t="inlineStr">
        <is>
          <t>FT</t>
        </is>
      </c>
      <c r="T330" s="3" t="inlineStr">
        <is>
          <t>N</t>
        </is>
      </c>
      <c r="U330" s="3" t="inlineStr">
        <is>
          <t>N</t>
        </is>
      </c>
    </row>
    <row r="331" ht="28.5" customHeight="1" s="18">
      <c r="A331" s="5" t="inlineStr">
        <is>
          <t>S2-0932</t>
        </is>
      </c>
      <c r="B331" s="5" t="inlineStr">
        <is>
          <t>B-i</t>
        </is>
      </c>
      <c r="C331" s="3" t="inlineStr">
        <is>
          <t>Luca, M.; Lopez, G.; Longa, A.; Kaul, J.</t>
        </is>
      </c>
      <c r="D331" s="6" t="n">
        <v>2024</v>
      </c>
      <c r="E331" s="3" t="inlineStr">
        <is>
          <t>How are You Really Doing? Dig into the Wheel of Emotions with Large Language Models</t>
        </is>
      </c>
      <c r="F331" s="5" t="inlineStr">
        <is>
          <t>Conference paper</t>
        </is>
      </c>
      <c r="G331" s="10" t="inlineStr">
        <is>
          <t>FT</t>
        </is>
      </c>
      <c r="H331" s="3" t="inlineStr">
        <is>
          <t>INCLUDE</t>
        </is>
      </c>
      <c r="I331" s="3" t="n"/>
      <c r="J331" s="3" t="inlineStr">
        <is>
          <t>ZS: Llama 70B/13B/7B, GPT-3.5, GPT-J / FT: Llama 70B/13B/7B</t>
        </is>
      </c>
      <c r="K331" s="3" t="inlineStr">
        <is>
          <t>Twitter/Reddit social-media posts; emotion classification; SemEval, GoEmotions and 80-emotion Twitter dataset</t>
        </is>
      </c>
      <c r="L331" s="3" t="inlineStr">
        <is>
          <t>Fine-tuned Llama 70B is best across all three datasets; average improvement over non-fine-tuned Llama 70B is approximately 9.09%.</t>
        </is>
      </c>
      <c r="M331" t="inlineStr">
        <is>
          <t>Fine-tuning gives a modest but consistent advantage, while the authors explicitly note the additional expense and time required.</t>
        </is>
      </c>
      <c r="O331" s="3" t="inlineStr">
        <is>
          <t>Published</t>
        </is>
      </c>
      <c r="P331" s="12" t="n">
        <v>46304</v>
      </c>
      <c r="Q331" s="3" t="n"/>
      <c r="R331" s="3" t="inlineStr">
        <is>
          <t>Tables II–III; fine-tuned and non-fine-tuned Llama models are evaluated on the same three social-media emotion datasets.</t>
        </is>
      </c>
      <c r="S331" s="3" t="inlineStr">
        <is>
          <t>FT</t>
        </is>
      </c>
      <c r="T331" s="3" t="inlineStr">
        <is>
          <t>Y</t>
        </is>
      </c>
      <c r="U331" s="3" t="inlineStr">
        <is>
          <t>N</t>
        </is>
      </c>
    </row>
    <row r="332" ht="42.75" customHeight="1" s="18">
      <c r="A332" s="5" t="inlineStr">
        <is>
          <t>S2-0403</t>
        </is>
      </c>
      <c r="B332" s="5" t="inlineStr">
        <is>
          <t>B-i</t>
        </is>
      </c>
      <c r="C332" s="3" t="inlineStr">
        <is>
          <t>Fernandez, Juan Jose Iguaran; Perez, Juan Manuel; Rosati, German</t>
        </is>
      </c>
      <c r="D332" s="6" t="n">
        <v>2024</v>
      </c>
      <c r="E332" s="3" t="inlineStr">
        <is>
          <t>Identification of emotions on Twitter during the 2022 electoral process in Colombia</t>
        </is>
      </c>
      <c r="F332" s="5" t="inlineStr">
        <is>
          <t>Preprint (arXiv)</t>
        </is>
      </c>
      <c r="G332" s="10" t="inlineStr">
        <is>
          <t>FT</t>
        </is>
      </c>
      <c r="H332" s="3" t="inlineStr">
        <is>
          <t>INCLUDE</t>
        </is>
      </c>
      <c r="I332" s="3" t="n"/>
      <c r="J332" s="3" t="inlineStr">
        <is>
          <t>ZS: GPT-3.5 few-shot / FT: RoBERTa, BETO, RoBERTuito</t>
        </is>
      </c>
      <c r="K332" s="3" t="inlineStr">
        <is>
          <t>X/Twitter; four-emotion classification; Colombian Spanish; corpus n=1,200</t>
        </is>
      </c>
      <c r="L332" s="3" t="inlineStr">
        <is>
          <t>GPT-3.5 few-shot achieves the highest Micro-F1, 75.2, versus 73.4 for RoBERTa and 72.9 for RoBERTuito.</t>
        </is>
      </c>
      <c r="M332" t="inlineStr">
        <is>
          <t>Shows that a prompted LLM can outperform supervised fine-tuned transformers on the same low-resource-language social-media classification task.</t>
        </is>
      </c>
      <c r="O332" s="3" t="inlineStr">
        <is>
          <t>Preprint</t>
        </is>
      </c>
      <c r="P332" s="12" t="n">
        <v>46304</v>
      </c>
      <c r="Q332" s="3" t="n"/>
      <c r="R332" s="3" t="inlineStr">
        <is>
          <t>§4.2 and Table 2; GPT-3.5 few-shot and fine-tuned BERT-family models are evaluated on the same manually labelled tweet corpus.</t>
        </is>
      </c>
      <c r="S332" s="3" t="inlineStr">
        <is>
          <t>ZS</t>
        </is>
      </c>
      <c r="T332" s="3" t="inlineStr">
        <is>
          <t>N</t>
        </is>
      </c>
      <c r="U332" s="3" t="inlineStr">
        <is>
          <t>N</t>
        </is>
      </c>
    </row>
    <row r="333" ht="42.75" customHeight="1" s="18">
      <c r="A333" s="5" t="inlineStr">
        <is>
          <t>S2-1156</t>
        </is>
      </c>
      <c r="B333" s="5" t="inlineStr">
        <is>
          <t>B-i</t>
        </is>
      </c>
      <c r="C333" s="3" t="inlineStr">
        <is>
          <t>Li, H.; Caragea, D.; Mhatre, A.; Ge, J.; Liu, M.</t>
        </is>
      </c>
      <c r="D333" s="6" t="n">
        <v>2023</v>
      </c>
      <c r="E333" s="3" t="inlineStr">
        <is>
          <t>Identifying COVID-19 Tweets Relevant to Low-Income Households Using Semi-supervised BERT and Zero-shot ChatGPT Models</t>
        </is>
      </c>
      <c r="F333" s="5" t="inlineStr">
        <is>
          <t>Conference paper</t>
        </is>
      </c>
      <c r="G333" s="10" t="inlineStr">
        <is>
          <t>FT</t>
        </is>
      </c>
      <c r="H333" s="3" t="inlineStr">
        <is>
          <t>INCLUDE</t>
        </is>
      </c>
      <c r="I333" s="3" t="n"/>
      <c r="J333" s="3" t="inlineStr">
        <is>
          <t>ZS: ChatGPT (gpt-3.5-turbo) / FT: BERTweet-covid</t>
        </is>
      </c>
      <c r="K333" s="3" t="inlineStr">
        <is>
          <t>Twitter; COVID low-income-household tweet classification; English; n=246 test tweets</t>
        </is>
      </c>
      <c r="L333" s="3" t="inlineStr">
        <is>
          <t>Fine-tuned BERTweet-covid outperforms zero-shot ChatGPT: weighted F1 78.71 vs 71.11 and macro-F1 75.48 vs 62.83.</t>
        </is>
      </c>
      <c r="M333" t="inlineStr">
        <is>
          <t>Direct same-test-set evidence shows supervised fine-tuning substantially outperforming zero-shot ChatGPT on a specialised short social-media classification task.</t>
        </is>
      </c>
      <c r="O333" s="3" t="inlineStr">
        <is>
          <t>Published</t>
        </is>
      </c>
      <c r="P333" s="12" t="n">
        <v>46304</v>
      </c>
      <c r="Q333" s="3" t="n"/>
      <c r="R333" s="3" t="inlineStr">
        <is>
          <t>§Methods, Experimental Setup, Table 2; zero-shot ChatGPT and fine-tuned BERTweet-covid classify the same 246-tweet test set.</t>
        </is>
      </c>
      <c r="S333" s="3" t="inlineStr">
        <is>
          <t>FT</t>
        </is>
      </c>
      <c r="T333" s="3" t="inlineStr">
        <is>
          <t>Y</t>
        </is>
      </c>
      <c r="U333" s="3" t="inlineStr">
        <is>
          <t>N</t>
        </is>
      </c>
    </row>
    <row r="334" ht="28.5" customHeight="1" s="18">
      <c r="A334" s="5" t="inlineStr">
        <is>
          <t>S2-0885</t>
        </is>
      </c>
      <c r="B334" s="5" t="inlineStr">
        <is>
          <t>B-i</t>
        </is>
      </c>
      <c r="C334" s="3" t="inlineStr">
        <is>
          <t>Suhartono, D.; Wongso, W.; Tri Handoyo, A.</t>
        </is>
      </c>
      <c r="D334" s="6" t="n">
        <v>2024</v>
      </c>
      <c r="E334" s="3" t="inlineStr">
        <is>
          <t>IdSarcasm: Benchmarking and Evaluating Language Models for Indonesian Sarcasm Detection</t>
        </is>
      </c>
      <c r="F334" s="5" t="inlineStr">
        <is>
          <t>Journal article</t>
        </is>
      </c>
      <c r="G334" s="10" t="inlineStr">
        <is>
          <t>FT</t>
        </is>
      </c>
      <c r="H334" s="3" t="inlineStr">
        <is>
          <t>INCLUDE</t>
        </is>
      </c>
      <c r="I334" s="3" t="n"/>
      <c r="J334" s="3" t="inlineStr">
        <is>
          <t>ZS: BLOOMZ/mT0 / FT: XLM-R, IndoBERT, mBERT</t>
        </is>
      </c>
      <c r="K334" s="3" t="inlineStr">
        <is>
          <t>Reddit/Twitter; binary sarcasm classification; Indonesian; Reddit n=14,116 and Twitter n=2,684 with 20% test splits</t>
        </is>
      </c>
      <c r="L334" s="3" t="inlineStr">
        <is>
          <t>Fine-tuned XLM-R achieves the highest F1 on both datasets: 62.74% on Reddit and 76.92% on Twitter, substantially above all zero-shot LLMs.</t>
        </is>
      </c>
      <c r="M334" t="inlineStr">
        <is>
          <t>Direct same-test comparison shows a strong supervised fine-tuning advantage over zero-shot multilingual LLMs for Indonesian social-media sarcasm detection.</t>
        </is>
      </c>
      <c r="O334" s="3" t="inlineStr">
        <is>
          <t>Published</t>
        </is>
      </c>
      <c r="P334" s="12" t="n">
        <v>46304</v>
      </c>
      <c r="Q334" s="3" t="n"/>
      <c r="R334" s="3" t="inlineStr">
        <is>
          <t>§III–IV, Tables 1–2; zero-shot BLOOMZ/mT0 and fine-tuned PLMs are evaluated on the same Reddit and Twitter test subsets.</t>
        </is>
      </c>
      <c r="S334" s="3" t="inlineStr">
        <is>
          <t>FT</t>
        </is>
      </c>
      <c r="T334" s="3" t="inlineStr">
        <is>
          <t>N</t>
        </is>
      </c>
      <c r="U334" s="3" t="inlineStr">
        <is>
          <t>N</t>
        </is>
      </c>
    </row>
    <row r="335" ht="57" customHeight="1" s="18">
      <c r="A335" s="5" t="inlineStr">
        <is>
          <t>S2-0353</t>
        </is>
      </c>
      <c r="B335" s="5" t="inlineStr">
        <is>
          <t>B-i</t>
        </is>
      </c>
      <c r="C335" s="3" t="inlineStr">
        <is>
          <t>Dey, Sumon Kanti; Powell, Jeanne M.; Ismail, Azra; Perrone, Jeanmarie; Sarker, Abeed</t>
        </is>
      </c>
      <c r="D335" s="6" t="n">
        <v>2025</v>
      </c>
      <c r="E335" s="3" t="inlineStr">
        <is>
          <t>Inference Gap in Domain Expertise and Machine Intelligence in Named Entity Recognition: Creation of and Insights from a Substance Use-related Dataset</t>
        </is>
      </c>
      <c r="F335" s="5" t="inlineStr">
        <is>
          <t>Preprint (arXiv)</t>
        </is>
      </c>
      <c r="G335" s="10" t="inlineStr">
        <is>
          <t>FT</t>
        </is>
      </c>
      <c r="H335" s="3" t="inlineStr">
        <is>
          <t>EXCLUDE</t>
        </is>
      </c>
      <c r="I335" s="3" t="inlineStr">
        <is>
          <t>E2</t>
        </is>
      </c>
      <c r="J335" s="3" t="n"/>
      <c r="K335" s="3" t="n"/>
      <c r="L335" s="3" t="n"/>
      <c r="O335" s="3" t="inlineStr">
        <is>
          <t>Preprint</t>
        </is>
      </c>
      <c r="P335" s="12" t="n">
        <v>46305</v>
      </c>
      <c r="Q335" s="3" t="inlineStr">
        <is>
          <t>Bi-task</t>
        </is>
      </c>
      <c r="R335" s="3" t="inlineStr">
        <is>
          <t>§3.1; task is explicitly formulated as BIO sequence labelling/NER with token-level entity labels rather than document-level classification.</t>
        </is>
      </c>
      <c r="S335" s="3" t="n"/>
      <c r="T335" s="3" t="n"/>
      <c r="U335" s="3" t="n"/>
    </row>
    <row r="336" ht="42.75" customHeight="1" s="18">
      <c r="A336" s="5" t="inlineStr">
        <is>
          <t>S2-0866</t>
        </is>
      </c>
      <c r="B336" s="5" t="inlineStr">
        <is>
          <t>B-i</t>
        </is>
      </c>
      <c r="C336" s="3" t="inlineStr">
        <is>
          <t>Nielsen, J.; Chen, X.; Davis, L.; Waterman, A.; Gentili, M.</t>
        </is>
      </c>
      <c r="D336" s="6" t="n">
        <v>2025</v>
      </c>
      <c r="E336" s="3" t="inlineStr">
        <is>
          <t>Investigating the Classification of Living Kidney Donation Experiences on Reddit and Understanding the Sensitivity of ChatGPT to Prompt Engineering: Content Analysis</t>
        </is>
      </c>
      <c r="F336" s="5" t="inlineStr">
        <is>
          <t>Journal article</t>
        </is>
      </c>
      <c r="G336" s="10" t="inlineStr">
        <is>
          <t>FT</t>
        </is>
      </c>
      <c r="H336" s="3" t="inlineStr">
        <is>
          <t>EXCLUDE</t>
        </is>
      </c>
      <c r="I336" s="3" t="inlineStr">
        <is>
          <t>E2</t>
        </is>
      </c>
      <c r="J336" s="3" t="n"/>
      <c r="K336" s="3" t="n"/>
      <c r="L336" s="3" t="n"/>
      <c r="O336" s="3" t="inlineStr">
        <is>
          <t>Published</t>
        </is>
      </c>
      <c r="P336" s="12" t="n">
        <v>46304</v>
      </c>
      <c r="Q336" s="3" t="inlineStr">
        <is>
          <t>Bi-direct</t>
        </is>
      </c>
      <c r="R336" s="3" t="inlineStr">
        <is>
          <t>§Methods/Results; BERT is tested on 253 posts whereas ChatGPT uses 300 inference posts, so the arms do not share identical test data.</t>
        </is>
      </c>
      <c r="S336" s="3" t="n"/>
      <c r="T336" s="3" t="n"/>
      <c r="U336" s="3" t="n"/>
    </row>
    <row r="337" ht="42.75" customHeight="1" s="18">
      <c r="A337" s="5" t="inlineStr">
        <is>
          <t>S2-1035</t>
        </is>
      </c>
      <c r="B337" s="5" t="inlineStr">
        <is>
          <t>B-i</t>
        </is>
      </c>
      <c r="C337" s="3" t="inlineStr">
        <is>
          <t>Ghosh, S.; Singh, G.V.; Choudhury, S.; Ekbal, A.</t>
        </is>
      </c>
      <c r="D337" s="6" t="n">
        <v>2025</v>
      </c>
      <c r="E337" s="3" t="inlineStr">
        <is>
          <t>Just a Scratch: Enhancing LLM Capabilities for Self-harm Detection through Intent Differentiation and Emoji Interpretation</t>
        </is>
      </c>
      <c r="F337" s="5" t="inlineStr">
        <is>
          <t>Conference paper</t>
        </is>
      </c>
      <c r="G337" s="10" t="inlineStr">
        <is>
          <t>FT</t>
        </is>
      </c>
      <c r="H337" s="3" t="inlineStr">
        <is>
          <t>INCLUDE</t>
        </is>
      </c>
      <c r="I337" s="3" t="n"/>
      <c r="J337" s="3" t="inlineStr">
        <is>
          <t>ZS: Llama-3.1-8B-Instruct / FT: Llama-3.1-8B-Instruct</t>
        </is>
      </c>
      <c r="K337" s="3" t="inlineStr">
        <is>
          <t>Reddit/social media; binary self-harm classification; English; n=5,206 corpus, 20% test split</t>
        </is>
      </c>
      <c r="L337" s="3" t="inlineStr">
        <is>
          <t>Multitask fine-tuned Llama-3 achieves SHC F1=0.88 versus 0.74 zero-shot and 0.79 few-shot.</t>
        </is>
      </c>
      <c r="M337" t="inlineStr">
        <is>
          <t>Direct same-model comparison shows substantial gains from supervised adaptation on nuanced self-harm posts containing contextual language and emoji cues.</t>
        </is>
      </c>
      <c r="O337" s="3" t="inlineStr">
        <is>
          <t>Preprint</t>
        </is>
      </c>
      <c r="P337" s="12" t="n">
        <v>46304</v>
      </c>
      <c r="Q337" s="3" t="n"/>
      <c r="R337" s="3" t="inlineStr">
        <is>
          <t>§7–8, Table 9; same SHINES 80/20 split compares zero/few-shot with fine-tuned LLMs; Llama-3 SHC F1 rises 0.74→0.88.</t>
        </is>
      </c>
      <c r="S337" s="3" t="inlineStr">
        <is>
          <t>FT</t>
        </is>
      </c>
      <c r="T337" s="3" t="inlineStr">
        <is>
          <t>Y</t>
        </is>
      </c>
      <c r="U337" s="3" t="inlineStr">
        <is>
          <t>N</t>
        </is>
      </c>
    </row>
    <row r="338" ht="28.5" customHeight="1" s="18">
      <c r="A338" s="5" t="inlineStr">
        <is>
          <t>S2-0400</t>
        </is>
      </c>
      <c r="B338" s="5" t="inlineStr">
        <is>
          <t>B-i</t>
        </is>
      </c>
      <c r="C338" s="3" t="inlineStr">
        <is>
          <t>Pangakis, Nicholas; Wolken, Samuel</t>
        </is>
      </c>
      <c r="D338" s="6" t="n">
        <v>2024</v>
      </c>
      <c r="E338" s="3" t="inlineStr">
        <is>
          <t>Keeping Humans in the Loop: Human-Centered Automated Annotation with Generative AI</t>
        </is>
      </c>
      <c r="F338" s="5" t="inlineStr">
        <is>
          <t>Preprint (arXiv)</t>
        </is>
      </c>
      <c r="G338" s="10" t="inlineStr">
        <is>
          <t>FT</t>
        </is>
      </c>
      <c r="H338" s="3" t="inlineStr">
        <is>
          <t>INCLUDE</t>
        </is>
      </c>
      <c r="I338" s="3" t="n"/>
      <c r="J338" s="3" t="inlineStr">
        <is>
          <t>ZS: GPT-4 few-shot / FT: BERT</t>
        </is>
      </c>
      <c r="K338" s="3" t="inlineStr">
        <is>
          <t>Twitter/Facebook and other computational-social-science text; 27 annotation tasks; English; n=1,000 held-out items/task</t>
        </is>
      </c>
      <c r="L338" s="3" t="inlineStr">
        <is>
          <t>Performance is training-size dependent: GPT-4 beats BERT on 18/27 tasks with 250 BERT training labels, while BERT wins 10/14 comparable tasks with 1,000 labels.</t>
        </is>
      </c>
      <c r="M338" t="inlineStr">
        <is>
          <t>Shows that prompting can be competitive with supervised fine-tuning at low labelled-data budgets, but the advantage can reverse as supervised training data increase.</t>
        </is>
      </c>
      <c r="O338" s="3" t="inlineStr">
        <is>
          <t>Preprint</t>
        </is>
      </c>
      <c r="P338" s="12" t="n">
        <v>46304</v>
      </c>
      <c r="Q338" s="3" t="n"/>
      <c r="R338" s="3" t="inlineStr">
        <is>
          <t>Methods/Results, Fig. A4; same held-out sets; GPT-4 wins 18/27 at 250 labels, BERT wins 10/14 at 1,000.</t>
        </is>
      </c>
      <c r="S338" s="3" t="inlineStr">
        <is>
          <t>Mixed</t>
        </is>
      </c>
      <c r="T338" s="3" t="inlineStr">
        <is>
          <t>Y</t>
        </is>
      </c>
      <c r="U338" s="3" t="inlineStr">
        <is>
          <t>N</t>
        </is>
      </c>
    </row>
    <row r="339" ht="28.5" customHeight="1" s="18">
      <c r="A339" s="5" t="inlineStr">
        <is>
          <t>S2-1032</t>
        </is>
      </c>
      <c r="B339" s="5" t="inlineStr">
        <is>
          <t>B-i</t>
        </is>
      </c>
      <c r="C339" s="3" t="inlineStr">
        <is>
          <t>Tian, L.; Huang, N.; Zhang, X.</t>
        </is>
      </c>
      <c r="D339" s="6" t="n">
        <v>2024</v>
      </c>
      <c r="E339" s="3" t="inlineStr">
        <is>
          <t>Large Language Model Cascades and Persona-Based In-Context Learning for Multilingual Sexism Detection</t>
        </is>
      </c>
      <c r="F339" s="5" t="inlineStr">
        <is>
          <t>Conference paper</t>
        </is>
      </c>
      <c r="G339" s="10" t="inlineStr">
        <is>
          <t>FT</t>
        </is>
      </c>
      <c r="H339" s="3" t="inlineStr">
        <is>
          <t>EXCLUDE</t>
        </is>
      </c>
      <c r="I339" s="3" t="inlineStr">
        <is>
          <t>E2</t>
        </is>
      </c>
      <c r="J339" s="3" t="n"/>
      <c r="K339" s="3" t="n"/>
      <c r="L339" s="3" t="n"/>
      <c r="O339" s="3" t="inlineStr">
        <is>
          <t>Published</t>
        </is>
      </c>
      <c r="P339" s="12" t="n">
        <v>46304</v>
      </c>
      <c r="Q339" s="3" t="inlineStr">
        <is>
          <t>Bi-direct</t>
        </is>
      </c>
      <c r="R339" s="3" t="inlineStr">
        <is>
          <t>§5.2, Table 3; current results report zero/one/5-shot Llama-3, while the fine-tuned BERT comparator is a previous-year approach, not a same-test arm.</t>
        </is>
      </c>
      <c r="S339" s="3" t="n"/>
      <c r="T339" s="3" t="n"/>
      <c r="U339" s="3" t="n"/>
    </row>
    <row r="340" ht="42.75" customHeight="1" s="18">
      <c r="A340" s="5" t="inlineStr">
        <is>
          <t>S2-0712</t>
        </is>
      </c>
      <c r="B340" s="5" t="inlineStr">
        <is>
          <t>B-i</t>
        </is>
      </c>
      <c r="C340" s="3" t="inlineStr">
        <is>
          <t>Törnberg, P.</t>
        </is>
      </c>
      <c r="D340" s="6" t="n">
        <v>2025</v>
      </c>
      <c r="E340" s="3" t="inlineStr">
        <is>
          <t>Large Language Models Outperform Expert Coders and Supervised Classifiers at Annotating Political Social Media Messages</t>
        </is>
      </c>
      <c r="F340" s="5" t="inlineStr">
        <is>
          <t>Journal article</t>
        </is>
      </c>
      <c r="G340" s="10" t="inlineStr">
        <is>
          <t>FT</t>
        </is>
      </c>
      <c r="H340" s="3" t="inlineStr">
        <is>
          <t>INCLUDE</t>
        </is>
      </c>
      <c r="I340" s="3" t="n"/>
      <c r="J340" s="3" t="inlineStr">
        <is>
          <t>ZS: GPT-4 / FT: BERT</t>
        </is>
      </c>
      <c r="K340" s="3" t="inlineStr">
        <is>
          <t>X/Twitter; binary political-affiliation classification; 11 countries/languages; n=500 test messages for most countries</t>
        </is>
      </c>
      <c r="L340" s="3" t="inlineStr">
        <is>
          <t>Zero-shot GPT-4 substantially outperforms fine-tuned BERT; in the US sample accuracy and macro-F1 are both 0.934 versus 0.808 for BERT.</t>
        </is>
      </c>
      <c r="M340" t="inlineStr">
        <is>
          <t>Shows that zero-shot prompting can outperform supervised fine-tuning on short social-media text requiring contextual and implicit political interpretation.</t>
        </is>
      </c>
      <c r="O340" s="3" t="inlineStr">
        <is>
          <t>Published</t>
        </is>
      </c>
      <c r="P340" s="12" t="n">
        <v>46304</v>
      </c>
      <c r="Q340" s="3" t="n"/>
      <c r="R340" s="3" t="inlineStr">
        <is>
          <t>Methods/Results, Table 1; same Twitter test sample; GPT-4 accuracy/macro-F1 0.934 versus fine-tuned BERT 0.808 in the US case.</t>
        </is>
      </c>
      <c r="S340" s="3" t="inlineStr">
        <is>
          <t>ZS</t>
        </is>
      </c>
      <c r="T340" s="3" t="inlineStr">
        <is>
          <t>Y</t>
        </is>
      </c>
      <c r="U340" s="3" t="inlineStr">
        <is>
          <t>N</t>
        </is>
      </c>
    </row>
    <row r="341" ht="28.5" customHeight="1" s="18">
      <c r="A341" s="5" t="inlineStr">
        <is>
          <t>S2-0991</t>
        </is>
      </c>
      <c r="B341" s="5" t="inlineStr">
        <is>
          <t>B-i</t>
        </is>
      </c>
      <c r="C341" s="3" t="inlineStr">
        <is>
          <t>Nguyen, V.; Pham, C.</t>
        </is>
      </c>
      <c r="D341" s="6" t="n">
        <v>2024</v>
      </c>
      <c r="E341" s="3" t="inlineStr">
        <is>
          <t>Leveraging Large Language Models for Suicide Detection on Social Media with Limited Labels</t>
        </is>
      </c>
      <c r="F341" s="5" t="inlineStr">
        <is>
          <t>Conference paper</t>
        </is>
      </c>
      <c r="G341" s="10" t="inlineStr">
        <is>
          <t>FT</t>
        </is>
      </c>
      <c r="H341" s="3" t="inlineStr">
        <is>
          <t>INCLUDE</t>
        </is>
      </c>
      <c r="I341" s="3" t="n"/>
      <c r="J341" s="3" t="inlineStr">
        <is>
          <t>ZS: Qwen2-72B-Instruct / FT: Llama3-8B, Llama3.1-8B, Gemma2-9B</t>
        </is>
      </c>
      <c r="K341" s="3" t="inlineStr">
        <is>
          <t>Social-media posts; four-class suicide-risk classification; English; 500 expert-labelled posts used for direct evaluation</t>
        </is>
      </c>
      <c r="L341" s="3" t="inlineStr">
        <is>
          <t>Fine-tuned Gemma2-9B reaches F1=0.805 versus 0.772 for prompted Qwen2-72B-Instruct on the 500 labelled posts.</t>
        </is>
      </c>
      <c r="M341" t="inlineStr">
        <is>
          <t>Provides a direct prompted-versus-supervised-fine-tuned comparison on qualifying user-generated social-media text under limited-label conditions.</t>
        </is>
      </c>
      <c r="O341" s="3" t="inlineStr">
        <is>
          <t>Published</t>
        </is>
      </c>
      <c r="P341" s="12" t="n">
        <v>46304</v>
      </c>
      <c r="Q341" s="3" t="n"/>
      <c r="R341" s="3" t="inlineStr">
        <is>
          <t>§IV–V, Tables IV/VII; prompted Qwen2 and fine-tuned LLMs are evaluated on the same 500 expert-labelled posts.</t>
        </is>
      </c>
      <c r="S341" s="3" t="inlineStr">
        <is>
          <t>FT</t>
        </is>
      </c>
      <c r="T341" s="3" t="inlineStr">
        <is>
          <t>Y</t>
        </is>
      </c>
      <c r="U341" s="3" t="inlineStr">
        <is>
          <t>N</t>
        </is>
      </c>
    </row>
    <row r="342" ht="57" customHeight="1" s="18">
      <c r="A342" s="5" t="inlineStr">
        <is>
          <t>S2-0898</t>
        </is>
      </c>
      <c r="B342" s="5" t="inlineStr">
        <is>
          <t>B-i</t>
        </is>
      </c>
      <c r="C342" s="3" t="inlineStr">
        <is>
          <t>Roumeliotis, K.I.; Tselikas, N.D.; Nasiopoulos, D.K.</t>
        </is>
      </c>
      <c r="D342" s="6" t="n">
        <v>2024</v>
      </c>
      <c r="E342" s="3" t="inlineStr">
        <is>
          <t>Leveraging Large Language Models in Tourism: A Comparative Study of the Latest GPT Omni Models and BERT NLP for Customer Review Classification and Sentiment Analysis</t>
        </is>
      </c>
      <c r="F342" s="5" t="inlineStr">
        <is>
          <t>Journal article</t>
        </is>
      </c>
      <c r="G342" s="10" t="inlineStr">
        <is>
          <t>FT</t>
        </is>
      </c>
      <c r="H342" s="3" t="inlineStr">
        <is>
          <t>INCLUDE</t>
        </is>
      </c>
      <c r="I342" s="3" t="n"/>
      <c r="J342" s="3" t="inlineStr">
        <is>
          <t>ZS: GPT-4o / FT: GPT-4o</t>
        </is>
      </c>
      <c r="K342" s="3" t="inlineStr">
        <is>
          <t>Hotel customer reviews; five-class star-rating classification; English; common held-out test set</t>
        </is>
      </c>
      <c r="L342" s="3" t="inlineStr">
        <is>
          <t>Fine-tuned GPT-4o achieves accuracy 0.670 and F1=0.6729 versus 0.662 accuracy and F1=0.6553 for zero-shot GPT-4o.</t>
        </is>
      </c>
      <c r="M342" t="inlineStr">
        <is>
          <t>Same-model comparison shows a modest supervised fine-tuning gain, while the strong zero-shot model already exceeds the separately fine-tuned BERT baseline.</t>
        </is>
      </c>
      <c r="O342" s="3" t="inlineStr">
        <is>
          <t>Published</t>
        </is>
      </c>
      <c r="P342" s="12" t="n">
        <v>46304</v>
      </c>
      <c r="Q342" s="3" t="n"/>
      <c r="R342" s="3" t="inlineStr">
        <is>
          <t>§3.3–4.2, Table 2; base and fine-tuned GPT-4o use the same test set; accuracy increases 0.662→0.670.</t>
        </is>
      </c>
      <c r="S342" s="3" t="inlineStr">
        <is>
          <t>FT</t>
        </is>
      </c>
      <c r="T342" s="3" t="inlineStr">
        <is>
          <t>Y</t>
        </is>
      </c>
      <c r="U342" s="3" t="inlineStr">
        <is>
          <t>N</t>
        </is>
      </c>
    </row>
    <row r="343" ht="28.5" customHeight="1" s="18">
      <c r="A343" s="5" t="inlineStr">
        <is>
          <t>S2-0818</t>
        </is>
      </c>
      <c r="B343" s="5" t="inlineStr">
        <is>
          <t>B-i</t>
        </is>
      </c>
      <c r="C343" s="3" t="inlineStr">
        <is>
          <t>Poddar, S.; Deepansh, A.; Poornalatha, G.</t>
        </is>
      </c>
      <c r="D343" s="6" t="n">
        <v>2026</v>
      </c>
      <c r="E343" s="3" t="inlineStr">
        <is>
          <t>Leveraging Sentiment Analysis of Consumer Feedback for Data-Driven CRM in Digital Game Ecosystems</t>
        </is>
      </c>
      <c r="F343" s="5" t="inlineStr">
        <is>
          <t>Journal article</t>
        </is>
      </c>
      <c r="G343" s="10" t="inlineStr">
        <is>
          <t>FT</t>
        </is>
      </c>
      <c r="H343" s="3" t="inlineStr">
        <is>
          <t>EXCLUDE</t>
        </is>
      </c>
      <c r="I343" s="3" t="inlineStr">
        <is>
          <t>E2</t>
        </is>
      </c>
      <c r="J343" s="3" t="n"/>
      <c r="K343" s="3" t="n"/>
      <c r="L343" s="3" t="n"/>
      <c r="O343" s="3" t="inlineStr">
        <is>
          <t>Published</t>
        </is>
      </c>
      <c r="P343" s="12" t="n">
        <v>46304</v>
      </c>
      <c r="Q343" s="3" t="inlineStr">
        <is>
          <t>Bi-zeroshot</t>
        </is>
      </c>
      <c r="R343" s="3" t="inlineStr">
        <is>
          <t>§III, service pipeline; the “zero-shot” arm uses cardiffnlp/twitter-roberta-base-sentiment, already trained/fine-tuned for sentiment, so it is not an eligible zero-shot arm.</t>
        </is>
      </c>
      <c r="S343" s="3" t="n"/>
      <c r="T343" s="3" t="n"/>
      <c r="U343" s="3" t="n"/>
    </row>
    <row r="344" ht="28.5" customHeight="1" s="18">
      <c r="A344" s="5" t="inlineStr">
        <is>
          <t>S2-0754</t>
        </is>
      </c>
      <c r="B344" s="5" t="inlineStr">
        <is>
          <t>B-i</t>
        </is>
      </c>
      <c r="C344" s="3" t="inlineStr">
        <is>
          <t>Nagpal, S.; Sabharwal, S.</t>
        </is>
      </c>
      <c r="D344" s="6" t="n">
        <v>2026</v>
      </c>
      <c r="E344" s="3" t="inlineStr">
        <is>
          <t>Mental Health Disorder Prediction with PEFT-Enhanced Large Language Model</t>
        </is>
      </c>
      <c r="F344" s="5" t="inlineStr">
        <is>
          <t>Conference paper</t>
        </is>
      </c>
      <c r="G344" s="10" t="inlineStr">
        <is>
          <t>FT</t>
        </is>
      </c>
      <c r="H344" s="3" t="inlineStr">
        <is>
          <t>INCLUDE</t>
        </is>
      </c>
      <c r="I344" s="3" t="n"/>
      <c r="J344" s="3" t="inlineStr">
        <is>
          <t>ZS: Mistral-7B-Instruct / FT: Mistral-7B-Instruct (LoRA/QLoRA/DoRA/QDoRA)</t>
        </is>
      </c>
      <c r="K344" s="3" t="inlineStr">
        <is>
          <t>Reddit/Twitter/public forums; six-class mental-health classification; English; n=51,607 preprocessed posts</t>
        </is>
      </c>
      <c r="L344" s="3" t="inlineStr">
        <is>
          <t>DoRA achieves 87.8% accuracy versus 60.9% zero-shot and 64.3% two-shot; all four PEFT variants substantially outperform prompting.</t>
        </is>
      </c>
      <c r="M344" t="inlineStr">
        <is>
          <t>Direct same-model evidence shows parameter-efficient supervised adaptation strongly improves fine-grained mental-health classification on social-media text.</t>
        </is>
      </c>
      <c r="O344" s="3" t="inlineStr">
        <is>
          <t>Published</t>
        </is>
      </c>
      <c r="P344" s="12" t="n">
        <v>46304</v>
      </c>
      <c r="Q344" s="3" t="n"/>
      <c r="R344" s="3" t="inlineStr">
        <is>
          <t>§4.1–4.3, Table 3; same Mistral-7B compares zero/two-shot with PEFT; accuracy rises from 60.9/64.3% to 85.7–87.8%.</t>
        </is>
      </c>
      <c r="S344" s="3" t="inlineStr">
        <is>
          <t>FT</t>
        </is>
      </c>
      <c r="T344" s="3" t="inlineStr">
        <is>
          <t>Y</t>
        </is>
      </c>
      <c r="U344" s="3" t="inlineStr">
        <is>
          <t>N</t>
        </is>
      </c>
    </row>
    <row r="345" ht="42.75" customHeight="1" s="18">
      <c r="A345" s="5" t="inlineStr">
        <is>
          <t>S2-1090</t>
        </is>
      </c>
      <c r="B345" s="5" t="inlineStr">
        <is>
          <t>B-i</t>
        </is>
      </c>
      <c r="C345" s="3" t="inlineStr">
        <is>
          <t>Manias, G.; Mavrogiorgou, A.; Kiourtis, A.; Symvoulidis, C.; Kyriazis, D.</t>
        </is>
      </c>
      <c r="D345" s="6" t="n">
        <v>2023</v>
      </c>
      <c r="E345" s="3" t="inlineStr">
        <is>
          <t>Multilingual text categorization and sentiment analysis: a comparative analysis of the utilization of multilingual approaches for classifying twitter data</t>
        </is>
      </c>
      <c r="F345" s="5" t="inlineStr">
        <is>
          <t>Journal article</t>
        </is>
      </c>
      <c r="G345" s="10" t="inlineStr">
        <is>
          <t>FT</t>
        </is>
      </c>
      <c r="H345" s="3" t="inlineStr">
        <is>
          <t>EXCLUDE</t>
        </is>
      </c>
      <c r="I345" s="3" t="inlineStr">
        <is>
          <t>E2</t>
        </is>
      </c>
      <c r="J345" s="3" t="n"/>
      <c r="K345" s="3" t="n"/>
      <c r="L345" s="3" t="n"/>
      <c r="O345" s="3" t="inlineStr">
        <is>
          <t>Published</t>
        </is>
      </c>
      <c r="P345" s="12" t="n">
        <v>46304</v>
      </c>
      <c r="Q345" s="3" t="inlineStr">
        <is>
          <t>Bi-language</t>
        </is>
      </c>
      <c r="R345" s="3" t="inlineStr">
        <is>
          <t>Abstract/§1; primary contribution compares multilingual and transfer strategies across languages rather than isolating the zero-shot-versus-fine-tuning supervision axis.</t>
        </is>
      </c>
      <c r="S345" s="3" t="n"/>
      <c r="T345" s="3" t="n"/>
      <c r="U345" s="3" t="n"/>
    </row>
    <row r="346" ht="57" customHeight="1" s="18">
      <c r="A346" s="5" t="inlineStr">
        <is>
          <t>S2-0798</t>
        </is>
      </c>
      <c r="B346" s="5" t="inlineStr">
        <is>
          <t>B-i</t>
        </is>
      </c>
      <c r="C346" s="3" t="inlineStr">
        <is>
          <t>Masson, M.; Agerri, R.; Sallaberry, C.; Bessagnet, M.-N.; Le Parc Lacayrelle, A.; Roose, P.</t>
        </is>
      </c>
      <c r="D346" s="6" t="n">
        <v>2025</v>
      </c>
      <c r="E346" s="3" t="inlineStr">
        <is>
          <t>Optimal strategies to perform multilingual analysis of social content for a novel dataset in the tourism domain</t>
        </is>
      </c>
      <c r="F346" s="5" t="inlineStr">
        <is>
          <t>Journal article</t>
        </is>
      </c>
      <c r="G346" s="10" t="inlineStr">
        <is>
          <t>FT</t>
        </is>
      </c>
      <c r="H346" s="3" t="inlineStr">
        <is>
          <t>INCLUDE</t>
        </is>
      </c>
      <c r="I346" s="3" t="n"/>
      <c r="J346" s="3" t="inlineStr">
        <is>
          <t>ZS: GPT-3.5/Mistral-7B / FT: XLM-T Sentiment</t>
        </is>
      </c>
      <c r="K346" s="3" t="inlineStr">
        <is>
          <t>Twitter; tourism sentiment; French/English/Spanish; n=2,961 corpus, 20% test</t>
        </is>
      </c>
      <c r="L346" s="3" t="inlineStr">
        <is>
          <t>Fine-tuned XLM-T Sentiment achieves the strongest accuracy, reaching 0.939 with 10 examples per class; zero-shot GPT-3.5 reaches 0.785.</t>
        </is>
      </c>
      <c r="M346" t="inlineStr">
        <is>
          <t>Shows that task-specific supervised adaptation can outperform prompting substantially, although prompted LLMs remain competitive with very little labelled target-domain data.</t>
        </is>
      </c>
      <c r="O346" s="3" t="inlineStr">
        <is>
          <t>Published</t>
        </is>
      </c>
      <c r="P346" s="12" t="n">
        <v>46304</v>
      </c>
      <c r="Q346" s="3" t="n"/>
      <c r="R346" s="3" t="inlineStr">
        <is>
          <t>§4.1–5.1, Table 8; identical tourism-tweet evaluation compares zero/few-shot LLM prompting with supervised fine-tuning; XLM-T Sentiment reaches 0.939 accuracy.</t>
        </is>
      </c>
      <c r="S346" s="3" t="inlineStr">
        <is>
          <t>FT</t>
        </is>
      </c>
      <c r="T346" s="3" t="inlineStr">
        <is>
          <t>Y</t>
        </is>
      </c>
      <c r="U346" s="3" t="inlineStr">
        <is>
          <t>N</t>
        </is>
      </c>
    </row>
    <row r="347" ht="42.75" customHeight="1" s="18">
      <c r="A347" s="5" t="inlineStr">
        <is>
          <t>S2-1134</t>
        </is>
      </c>
      <c r="B347" s="5" t="inlineStr">
        <is>
          <t>B-i</t>
        </is>
      </c>
      <c r="C347" s="3" t="inlineStr">
        <is>
          <t>Roumeliotis, K.I.; Tselikas, N.D.; Nasiopoulos, D.K.</t>
        </is>
      </c>
      <c r="D347" s="6" t="n">
        <v>2025</v>
      </c>
      <c r="E347" s="3" t="inlineStr">
        <is>
          <t>Optimizing Airline Review Sentiment Analysis: A Comparative Analysis of LLaMA and BERT Models through Fine-Tuning and Few-Shot Learning</t>
        </is>
      </c>
      <c r="F347" s="5" t="inlineStr">
        <is>
          <t>Journal article</t>
        </is>
      </c>
      <c r="G347" s="10" t="inlineStr">
        <is>
          <t>FT</t>
        </is>
      </c>
      <c r="H347" s="3" t="inlineStr">
        <is>
          <t>INCLUDE</t>
        </is>
      </c>
      <c r="I347" s="3" t="n"/>
      <c r="J347" s="3" t="inlineStr">
        <is>
          <t>ZS: LLaMA-2-7B-chat / FT: LLaMA-2-7B-chat</t>
        </is>
      </c>
      <c r="K347" s="3" t="inlineStr">
        <is>
          <t>B airline customer reviews; 10-class star-rating classification; English; n=1,200 test reviews</t>
        </is>
      </c>
      <c r="L347" s="3" t="inlineStr">
        <is>
          <t>Base LLaMA-2 achieves 29.92% accuracy; fine-tuning on 3,840 reviews raises accuracy to 32.83% on the same 1,200-item test set.</t>
        </is>
      </c>
      <c r="M347" t="inlineStr">
        <is>
          <t>Provides a direct same-model comparison showing a modest but measurable gain from supervised fine-tuning on user-generated review text.</t>
        </is>
      </c>
      <c r="O347" s="3" t="inlineStr">
        <is>
          <t>Published</t>
        </is>
      </c>
      <c r="P347" s="12" t="n">
        <v>46304</v>
      </c>
      <c r="Q347" s="3" t="n"/>
      <c r="R347" s="3" t="inlineStr">
        <is>
          <t>§4.2–4.3; base and fine-tuned LLaMA-2 are evaluated on the same 1,200 airline-review test set; accuracy rises 29.92%→32.83%.</t>
        </is>
      </c>
      <c r="S347" s="3" t="inlineStr">
        <is>
          <t>FT</t>
        </is>
      </c>
      <c r="T347" s="3" t="inlineStr">
        <is>
          <t>Y</t>
        </is>
      </c>
      <c r="U347" s="3" t="inlineStr">
        <is>
          <t>N</t>
        </is>
      </c>
    </row>
    <row r="348" ht="42.75" customHeight="1" s="18">
      <c r="A348" s="5" t="inlineStr">
        <is>
          <t>S2-0919</t>
        </is>
      </c>
      <c r="B348" s="5" t="inlineStr">
        <is>
          <t>B-i</t>
        </is>
      </c>
      <c r="C348" s="3" t="inlineStr">
        <is>
          <t>Tori, F.; Tori, S.; Keseru, I.; Ginis, V.</t>
        </is>
      </c>
      <c r="D348" s="6" t="n">
        <v>2024</v>
      </c>
      <c r="E348" s="3" t="inlineStr">
        <is>
          <t>Performing Sentiment Analysis Using Natural Language Models for Urban Policymaking: An analysis of Twitter Data in Brussels</t>
        </is>
      </c>
      <c r="F348" s="5" t="inlineStr">
        <is>
          <t>Journal article</t>
        </is>
      </c>
      <c r="G348" s="10" t="inlineStr">
        <is>
          <t>FT</t>
        </is>
      </c>
      <c r="H348" s="3" t="inlineStr">
        <is>
          <t>INCLUDE</t>
        </is>
      </c>
      <c r="I348" s="3" t="n"/>
      <c r="J348" s="3" t="inlineStr">
        <is>
          <t>ZS: GPT-4 / FT: XLM-T</t>
        </is>
      </c>
      <c r="K348" s="3" t="inlineStr">
        <is>
          <t>Twitter; mobility-policy sentiment; Brussels; n=1,998 tweets</t>
        </is>
      </c>
      <c r="L348" s="3" t="inlineStr">
        <is>
          <t>GPT-4 reaches 0.66 accuracy while domain-specific fine-tuned XLM-T reaches 0.67; untuned XLM-T reaches 0.48.</t>
        </is>
      </c>
      <c r="M348" t="inlineStr">
        <is>
          <t>The near-tie shows that prompted GPT-4 can approach supervised domain adaptation on short policy-related tweets, while fine-tuning retains a small overall advantage.</t>
        </is>
      </c>
      <c r="O348" s="3" t="inlineStr">
        <is>
          <t>Published</t>
        </is>
      </c>
      <c r="P348" s="12" t="n">
        <v>46304</v>
      </c>
      <c r="Q348" s="3" t="n"/>
      <c r="R348" s="3" t="inlineStr">
        <is>
          <t>Abstract/Results; 1,998 Brussels tweets are evaluated with GPT-4 and domain-fine-tuned XLM-T; accuracy is 0.66 versus 0.67.</t>
        </is>
      </c>
      <c r="S348" s="3" t="inlineStr">
        <is>
          <t>FT</t>
        </is>
      </c>
      <c r="T348" s="3" t="inlineStr">
        <is>
          <t>N</t>
        </is>
      </c>
      <c r="U348" s="3" t="inlineStr">
        <is>
          <t>N</t>
        </is>
      </c>
    </row>
    <row r="349" ht="28.5" customHeight="1" s="18">
      <c r="A349" s="5" t="inlineStr">
        <is>
          <t>S2-0939</t>
        </is>
      </c>
      <c r="B349" s="5" t="inlineStr">
        <is>
          <t>B-i</t>
        </is>
      </c>
      <c r="C349" s="3" t="inlineStr">
        <is>
          <t>Giannaris, P.S.; Doukas, N.; Borges, J.</t>
        </is>
      </c>
      <c r="D349" s="6" t="n">
        <v>2024</v>
      </c>
      <c r="E349" s="3" t="inlineStr">
        <is>
          <t>Pilot Testing Transformers-based Models for Multi-class Classification of Greek Text</t>
        </is>
      </c>
      <c r="F349" s="5" t="inlineStr">
        <is>
          <t>Conference paper</t>
        </is>
      </c>
      <c r="G349" s="10" t="inlineStr">
        <is>
          <t>FT</t>
        </is>
      </c>
      <c r="H349" s="3" t="inlineStr">
        <is>
          <t>EXCLUDE</t>
        </is>
      </c>
      <c r="I349" s="3" t="inlineStr">
        <is>
          <t>E2</t>
        </is>
      </c>
      <c r="J349" s="3" t="n"/>
      <c r="K349" s="3" t="n"/>
      <c r="L349" s="3" t="n"/>
      <c r="O349" s="3" t="inlineStr">
        <is>
          <t>Published</t>
        </is>
      </c>
      <c r="P349" s="12" t="n">
        <v>46304</v>
      </c>
      <c r="Q349" s="3" t="inlineStr">
        <is>
          <t>Bi-zeroshot</t>
        </is>
      </c>
      <c r="R349" s="3" t="inlineStr">
        <is>
          <t>Methods; the purported zero-shot transformer is trained on labelled Greek tweets with parameter updates, so no eligible zero-shot/prompted arm is established.</t>
        </is>
      </c>
      <c r="S349" s="3" t="n"/>
      <c r="T349" s="3" t="n"/>
      <c r="U349" s="3" t="n"/>
    </row>
    <row r="350" ht="42.75" customHeight="1" s="18">
      <c r="A350" s="5" t="inlineStr">
        <is>
          <t>S2-0733</t>
        </is>
      </c>
      <c r="B350" s="5" t="inlineStr">
        <is>
          <t>B-i</t>
        </is>
      </c>
      <c r="C350" s="3" t="inlineStr">
        <is>
          <t>Ling, J.; Gan, K.H.</t>
        </is>
      </c>
      <c r="D350" s="6" t="n">
        <v>2026</v>
      </c>
      <c r="E350" s="3" t="inlineStr">
        <is>
          <t>Retrieval-augmented few-shot large language models (LLMs) for financial sentiment classification on social media</t>
        </is>
      </c>
      <c r="F350" s="5" t="inlineStr">
        <is>
          <t>Journal article</t>
        </is>
      </c>
      <c r="G350" s="10" t="inlineStr">
        <is>
          <t>FT</t>
        </is>
      </c>
      <c r="H350" s="3" t="inlineStr">
        <is>
          <t>INCLUDE</t>
        </is>
      </c>
      <c r="I350" s="3" t="n"/>
      <c r="J350" s="3" t="inlineStr">
        <is>
          <t>ZS: GPT-5/LLaMA-3-8B prompted / FT: FinBERT</t>
        </is>
      </c>
      <c r="K350" s="3" t="inlineStr">
        <is>
          <t>Financial Twitter datasets; 3-class sentiment; English; four held-out tweet test sets</t>
        </is>
      </c>
      <c r="L350" s="3" t="inlineStr">
        <is>
          <t>RAG-prompted GPT-5 outperforms fine-tuned FinBERT in accuracy on all four reported datasets, including 78.46% versus 76.74% on Twitter Stock Sentiment.</t>
        </is>
      </c>
      <c r="M350" t="inlineStr">
        <is>
          <t>Demonstrates that carefully retrieved in-context examples can equal or exceed supervised fine-tuning under temporal and linguistic drift without modifying LLM parameters.</t>
        </is>
      </c>
      <c r="O350" s="3" t="inlineStr">
        <is>
          <t>Published</t>
        </is>
      </c>
      <c r="P350" s="12" t="n">
        <v>46304</v>
      </c>
      <c r="Q350" s="3" t="n"/>
      <c r="R350" s="3" t="inlineStr">
        <is>
          <t>Methods/Table 1; prompted and fine-tuned systems use identical held-out tweet instances; GPT-5 RAG exceeds FinBERT accuracy across all four datasets.</t>
        </is>
      </c>
      <c r="S350" s="3" t="inlineStr">
        <is>
          <t>ZS</t>
        </is>
      </c>
      <c r="T350" s="3" t="inlineStr">
        <is>
          <t>N</t>
        </is>
      </c>
      <c r="U350" s="3" t="inlineStr">
        <is>
          <t>N</t>
        </is>
      </c>
    </row>
    <row r="351" ht="42.75" customHeight="1" s="18">
      <c r="A351" s="5" t="inlineStr">
        <is>
          <t>S2-0424</t>
        </is>
      </c>
      <c r="B351" s="5" t="inlineStr">
        <is>
          <t>B-i</t>
        </is>
      </c>
      <c r="C351" s="3" t="inlineStr">
        <is>
          <t>Zhang, Ting; Irsan, Ivana Clairine; Thung, Ferdian; Lo, David</t>
        </is>
      </c>
      <c r="D351" s="6" t="n">
        <v>2024</v>
      </c>
      <c r="E351" s="3" t="inlineStr">
        <is>
          <t>Revisiting Sentiment Analysis for Software Engineering in the Era of Large Language Models</t>
        </is>
      </c>
      <c r="F351" s="5" t="inlineStr">
        <is>
          <t>Preprint (arXiv)</t>
        </is>
      </c>
      <c r="G351" s="10" t="inlineStr">
        <is>
          <t>FT</t>
        </is>
      </c>
      <c r="H351" s="3" t="inlineStr">
        <is>
          <t>INCLUDE</t>
        </is>
      </c>
      <c r="I351" s="3" t="n"/>
      <c r="J351" s="3" t="inlineStr">
        <is>
          <t>ZS: Llama-2-Chat/Vicuna/WizardLM / FT: BERT-family sLLMs</t>
        </is>
      </c>
      <c r="K351" s="3" t="inlineStr">
        <is>
          <t>Gerrit/GitHub/GooglePlay/Jira/StackOverflow; sentiment classification; English; sampled test n=114/250/35/76/109</t>
        </is>
      </c>
      <c r="L351" s="3" t="inlineStr">
        <is>
          <t>Performance is mixed: prompted bLLMs dominate scarce or highly imbalanced datasets, while fine-tuned sLLMs lead on larger or more balanced datasets.</t>
        </is>
      </c>
      <c r="M351" t="inlineStr">
        <is>
          <t>Directly demonstrates that the supervision advantage depends on labelled-data volume and class balance rather than one approach universally dominating.</t>
        </is>
      </c>
      <c r="O351" s="3" t="inlineStr">
        <is>
          <t>Published</t>
        </is>
      </c>
      <c r="P351" s="12" t="n">
        <v>46304</v>
      </c>
      <c r="Q351" s="3" t="n"/>
      <c r="R351" s="3" t="inlineStr">
        <is>
          <t>RQ3, Table 5; prompted bLLMs and fine-tuned sLLMs predict the same sampled test items across five software-user-text datasets.</t>
        </is>
      </c>
      <c r="S351" s="3" t="inlineStr">
        <is>
          <t>Mixed</t>
        </is>
      </c>
      <c r="T351" s="3" t="inlineStr">
        <is>
          <t>N</t>
        </is>
      </c>
      <c r="U351" s="3" t="inlineStr">
        <is>
          <t>N</t>
        </is>
      </c>
    </row>
    <row r="352" ht="42.75" customHeight="1" s="18">
      <c r="A352" s="5" t="inlineStr">
        <is>
          <t>S2-0365</t>
        </is>
      </c>
      <c r="B352" s="5" t="inlineStr">
        <is>
          <t>B-i</t>
        </is>
      </c>
      <c r="C352" s="3" t="inlineStr">
        <is>
          <t>Li, Yue; Vasilakes, Jake; Zhao, Zhixue; Scarton, Carolina</t>
        </is>
      </c>
      <c r="D352" s="6" t="n">
        <v>2025</v>
      </c>
      <c r="E352" s="3" t="inlineStr">
        <is>
          <t>SCRum-9: Multilingual Stance Classification over Rumours on Social Media</t>
        </is>
      </c>
      <c r="F352" s="5" t="inlineStr">
        <is>
          <t>Preprint (arXiv)</t>
        </is>
      </c>
      <c r="G352" s="10" t="inlineStr">
        <is>
          <t>FT</t>
        </is>
      </c>
      <c r="H352" s="3" t="inlineStr">
        <is>
          <t>INCLUDE</t>
        </is>
      </c>
      <c r="I352" s="3" t="n"/>
      <c r="J352" s="3" t="inlineStr">
        <is>
          <t>ZS: multilingual LLM ICL / FT: XLM-R/XLM-T</t>
        </is>
      </c>
      <c r="K352" s="3" t="inlineStr">
        <is>
          <t>X/Twitter reply tweets; 4-class rumour stance; 9 languages; n=7,516 annotated pairs</t>
        </is>
      </c>
      <c r="L352" s="3" t="inlineStr">
        <is>
          <t>Fine-tuned multilingual masked-language models, including models trained with synthetic LLM data, generally outperform zero-shot ICL across the multilingual benchmark.</t>
        </is>
      </c>
      <c r="M352" t="inlineStr">
        <is>
          <t>Retains multilingual evidence because the empirical comparison includes prompted versus supervised fine-tuned systems rather than making cross-language transfer the sole comparison.</t>
        </is>
      </c>
      <c r="O352" s="3" t="inlineStr">
        <is>
          <t>Preprint</t>
        </is>
      </c>
      <c r="P352" s="12" t="n">
        <v>46304</v>
      </c>
      <c r="Q352" s="3" t="n"/>
      <c r="R352" s="3" t="inlineStr">
        <is>
          <t>Experimental setup/results; SCRum-9 benchmarks ICL and fine-tuned MLMs on the same 7,516 multilingual stance-classification tweet pairs.</t>
        </is>
      </c>
      <c r="S352" s="3" t="inlineStr">
        <is>
          <t>FT</t>
        </is>
      </c>
      <c r="T352" s="3" t="inlineStr">
        <is>
          <t>Y</t>
        </is>
      </c>
      <c r="U352" s="3" t="inlineStr">
        <is>
          <t>N</t>
        </is>
      </c>
    </row>
    <row r="353" ht="42.75" customHeight="1" s="18">
      <c r="A353" s="5" t="inlineStr">
        <is>
          <t>S2-1103</t>
        </is>
      </c>
      <c r="B353" s="5" t="inlineStr">
        <is>
          <t>B-i</t>
        </is>
      </c>
      <c r="C353" s="3" t="inlineStr">
        <is>
          <t>Sherif, A.; Sabty, C.</t>
        </is>
      </c>
      <c r="D353" s="6" t="n">
        <v>2025</v>
      </c>
      <c r="E353" s="3" t="inlineStr">
        <is>
          <t>Sentiment Analysis for Egyptian Arabic-English Code-Switched Data Using Traditional Neural Models and Advanced Language Models</t>
        </is>
      </c>
      <c r="F353" s="5" t="inlineStr">
        <is>
          <t>Conference paper</t>
        </is>
      </c>
      <c r="G353" s="10" t="inlineStr">
        <is>
          <t>FT</t>
        </is>
      </c>
      <c r="H353" s="3" t="inlineStr">
        <is>
          <t>INCLUDE</t>
        </is>
      </c>
      <c r="I353" s="3" t="n"/>
      <c r="J353" s="3" t="inlineStr">
        <is>
          <t>ZS: Gemini-1.5/GPT-4o / FT: GPT-3.5</t>
        </is>
      </c>
      <c r="K353" s="3" t="inlineStr">
        <is>
          <t>YouTube comments; 3-class sentiment; Egyptian Arabic-English code-switching; n=4,100 corpus</t>
        </is>
      </c>
      <c r="L353" s="3" t="inlineStr">
        <is>
          <t>Fine-tuned GPT-3.5 achieves the highest test F1 of 92.67%, exceeding the zero-shot Gemini-1.5 and GPT-4o configurations.</t>
        </is>
      </c>
      <c r="M353" t="inlineStr">
        <is>
          <t>Directly shows that supervised adaptation retains an advantage over zero-shot LLM inference for code-switched user-generated sentiment classification.</t>
        </is>
      </c>
      <c r="O353" s="3" t="inlineStr">
        <is>
          <t>Published</t>
        </is>
      </c>
      <c r="P353" s="12" t="n">
        <v>46304</v>
      </c>
      <c r="Q353" s="3" t="n"/>
      <c r="R353" s="3" t="inlineStr">
        <is>
          <t>Results; zero-shot Gemini/GPT and fine-tuned GPT-3.5 are evaluated on EESA; fine-tuned GPT-3.5 achieves the highest test F1, 92.67%.</t>
        </is>
      </c>
      <c r="S353" s="3" t="inlineStr">
        <is>
          <t>FT</t>
        </is>
      </c>
      <c r="T353" s="3" t="inlineStr">
        <is>
          <t>N</t>
        </is>
      </c>
      <c r="U353" s="3" t="inlineStr">
        <is>
          <t>N</t>
        </is>
      </c>
    </row>
    <row r="354" ht="57" customHeight="1" s="18">
      <c r="A354" s="5" t="inlineStr">
        <is>
          <t>S2-0645</t>
        </is>
      </c>
      <c r="B354" s="5" t="inlineStr">
        <is>
          <t>B-i</t>
        </is>
      </c>
      <c r="C354" s="3" t="inlineStr">
        <is>
          <t>Bernal-Beltrán, T.; Paredes-Valverde, M.A.; Salas-Zárate, M.D.P.; García-Díaz, J.A.; Valencia-García, R.</t>
        </is>
      </c>
      <c r="D354" s="6" t="n">
        <v>2025</v>
      </c>
      <c r="E354" s="3" t="inlineStr">
        <is>
          <t>Sentiment Analysis in Mexican Spanish: A Comparison Between Fine-Tuning and In-Context Learning with Large Language Models</t>
        </is>
      </c>
      <c r="F354" s="5" t="inlineStr">
        <is>
          <t>Journal article</t>
        </is>
      </c>
      <c r="G354" s="10" t="inlineStr">
        <is>
          <t>FT</t>
        </is>
      </c>
      <c r="H354" s="3" t="inlineStr">
        <is>
          <t>INCLUDE</t>
        </is>
      </c>
      <c r="I354" s="3" t="n"/>
      <c r="J354" s="3" t="inlineStr">
        <is>
          <t>ZS: Mixtral-8x7B / FT: MarIA</t>
        </is>
      </c>
      <c r="K354" s="3" t="inlineStr">
        <is>
          <t>Tourism reviews; 5-class sentiment; Mexican Spanish; REST-MEX 2022/2023 evaluation sets</t>
        </is>
      </c>
      <c r="L354" s="3" t="inlineStr">
        <is>
          <t>Fine-tuned MarIA gives the best macro-F1 on both datasets; on REST-MEX 2023 it scores 59.37% versus 55.96% for zero-shot Mixtral.</t>
        </is>
      </c>
      <c r="M354" t="inlineStr">
        <is>
          <t>Same-dataset results show zero-shot ICL can approach supervised fine-tuning in an underrepresented language variety but does not surpass it overall.</t>
        </is>
      </c>
      <c r="O354" s="3" t="inlineStr">
        <is>
          <t>Published</t>
        </is>
      </c>
      <c r="P354" s="12" t="n">
        <v>46304</v>
      </c>
      <c r="Q354" s="3" t="n"/>
      <c r="R354" s="3" t="inlineStr">
        <is>
          <t>§4.1–4.2, Tables 2/4; identical REST-MEX evaluation sets compare fine-tuning and ICL; MarIA has the highest macro-F1 on both.</t>
        </is>
      </c>
      <c r="S354" s="3" t="inlineStr">
        <is>
          <t>FT</t>
        </is>
      </c>
      <c r="T354" s="3" t="inlineStr">
        <is>
          <t>N</t>
        </is>
      </c>
      <c r="U354" s="3" t="inlineStr">
        <is>
          <t>N</t>
        </is>
      </c>
    </row>
    <row r="355" ht="28.5" customHeight="1" s="18">
      <c r="A355" s="5" t="inlineStr">
        <is>
          <t>S2-0915</t>
        </is>
      </c>
      <c r="B355" s="5" t="inlineStr">
        <is>
          <t>B-i</t>
        </is>
      </c>
      <c r="C355" s="3" t="inlineStr">
        <is>
          <t>Mardiah, Z.; Wicaksono, H.R.; Hadiprakoso, R.B.</t>
        </is>
      </c>
      <c r="D355" s="6" t="n">
        <v>2024</v>
      </c>
      <c r="E355" s="3" t="inlineStr">
        <is>
          <t>Sentiment Analysis Through Prompt Engineering with GPT-4 on the SmSA IndoNLU Dataset</t>
        </is>
      </c>
      <c r="F355" s="5" t="inlineStr">
        <is>
          <t>Conference paper</t>
        </is>
      </c>
      <c r="G355" s="10" t="inlineStr">
        <is>
          <t>FT</t>
        </is>
      </c>
      <c r="H355" s="3" t="inlineStr">
        <is>
          <t>INCLUDE</t>
        </is>
      </c>
      <c r="I355" s="3" t="n"/>
      <c r="J355" s="3" t="inlineStr">
        <is>
          <t>ZS: GPT-4 prompt engineering / FT: IndoBERT</t>
        </is>
      </c>
      <c r="K355" s="3" t="inlineStr">
        <is>
          <t>Comments/reviews; 3-class sentiment; Indonesian; n=500 test entries</t>
        </is>
      </c>
      <c r="L355" s="3" t="inlineStr">
        <is>
          <t>GPT-4 fusion prompting achieves accuracy/F1 of 0.968/0.9680, substantially exceeding fine-tuned IndoBERT accuracy of 0.906.</t>
        </is>
      </c>
      <c r="M355" t="inlineStr">
        <is>
          <t>Shows that structured prompting can outperform conventional supervised fine-tuning on the same short user-generated sentiment test set.</t>
        </is>
      </c>
      <c r="O355" s="3" t="inlineStr">
        <is>
          <t>Published</t>
        </is>
      </c>
      <c r="P355" s="12" t="n">
        <v>46304</v>
      </c>
      <c r="Q355" s="3" t="n"/>
      <c r="R355" s="3" t="inlineStr">
        <is>
          <t>Methods/Tables II–IV; GPT-4 prompting and fine-tuned IndoBERT share the 500-item test set; GPT-4 fusion F1=0.9680 versus IndoBERT≈0.906.</t>
        </is>
      </c>
      <c r="S355" s="3" t="inlineStr">
        <is>
          <t>ZS</t>
        </is>
      </c>
      <c r="T355" s="3" t="inlineStr">
        <is>
          <t>Y</t>
        </is>
      </c>
      <c r="U355" s="3" t="inlineStr">
        <is>
          <t>N</t>
        </is>
      </c>
    </row>
    <row r="356" ht="28.5" customHeight="1" s="18">
      <c r="A356" s="5" t="inlineStr">
        <is>
          <t>S2-1074</t>
        </is>
      </c>
      <c r="B356" s="5" t="inlineStr">
        <is>
          <t>B-i</t>
        </is>
      </c>
      <c r="C356" s="3" t="inlineStr">
        <is>
          <t>Griswold, M.; Robbins, M.W.; Pollard, M.S.</t>
        </is>
      </c>
      <c r="D356" s="6" t="n">
        <v>2025</v>
      </c>
      <c r="E356" s="3" t="inlineStr">
        <is>
          <t>Stay Tuned: Improving Sentiment Analysis and Stance Detection Using Large Language Models</t>
        </is>
      </c>
      <c r="F356" s="5" t="inlineStr">
        <is>
          <t>Journal article</t>
        </is>
      </c>
      <c r="G356" s="10" t="inlineStr">
        <is>
          <t>FT</t>
        </is>
      </c>
      <c r="H356" s="3" t="inlineStr">
        <is>
          <t>EXCLUDE</t>
        </is>
      </c>
      <c r="I356" s="3" t="inlineStr">
        <is>
          <t>E2</t>
        </is>
      </c>
      <c r="J356" s="3" t="n"/>
      <c r="K356" s="3" t="n"/>
      <c r="L356" s="3" t="n"/>
      <c r="O356" s="3" t="inlineStr">
        <is>
          <t>Published</t>
        </is>
      </c>
      <c r="P356" s="12" t="n">
        <v>46304</v>
      </c>
      <c r="Q356" s="3" t="inlineStr">
        <is>
          <t>Bi-task</t>
        </is>
      </c>
      <c r="R356" s="3" t="inlineStr">
        <is>
          <t>§4–5; primary outcome is continuous stance estimation scored mainly by Pearson correlation, rather than an eligible supervised classification comparison.</t>
        </is>
      </c>
      <c r="S356" s="3" t="n"/>
      <c r="T356" s="3" t="n"/>
      <c r="U356" s="3" t="n"/>
    </row>
    <row r="357" ht="28.5" customHeight="1" s="18">
      <c r="A357" s="5" t="inlineStr">
        <is>
          <t>S2-0959</t>
        </is>
      </c>
      <c r="B357" s="5" t="inlineStr">
        <is>
          <t>B-i</t>
        </is>
      </c>
      <c r="C357" s="3" t="inlineStr">
        <is>
          <t>Pasch, S.; Cutura, J.</t>
        </is>
      </c>
      <c r="D357" s="6" t="n">
        <v>2024</v>
      </c>
      <c r="E357" s="3" t="inlineStr">
        <is>
          <t>Text Classification with Limited Training Data: Suicide Risk Detection on Social Media</t>
        </is>
      </c>
      <c r="F357" s="5" t="inlineStr">
        <is>
          <t>Conference paper</t>
        </is>
      </c>
      <c r="G357" s="10" t="inlineStr">
        <is>
          <t>FT</t>
        </is>
      </c>
      <c r="H357" s="3" t="inlineStr">
        <is>
          <t>INCLUDE</t>
        </is>
      </c>
      <c r="I357" s="3" t="n"/>
      <c r="J357" s="3" t="inlineStr">
        <is>
          <t>ZS: GPT-4-turbo prompt engineering / FT: RoBERTa</t>
        </is>
      </c>
      <c r="K357" s="3" t="inlineStr">
        <is>
          <t>Reddit; 4-class suicide-risk classification; English; n=500 labelled posts</t>
        </is>
      </c>
      <c r="L357" s="3" t="inlineStr">
        <is>
          <t>GPT-4-turbo prompt engineering achieves F1=0.75, four points above the best fine-tuned transformer, RoBERTa at F1=0.71.</t>
        </is>
      </c>
      <c r="M357" t="inlineStr">
        <is>
          <t>Shows that carefully refined zero-shot prompting can outperform supervised fine-tuning where labelled user-generated training data are extremely limited.</t>
        </is>
      </c>
      <c r="O357" s="3" t="inlineStr">
        <is>
          <t>Published</t>
        </is>
      </c>
      <c r="P357" s="12" t="n">
        <v>46304</v>
      </c>
      <c r="Q357" s="3" t="n"/>
      <c r="R357" s="3" t="inlineStr">
        <is>
          <t>§IV, Tables 2–4; GPT-4-turbo and fine-tuned RoBERTa are evaluated on the same Reddit classification task; F1=0.75 versus 0.71.</t>
        </is>
      </c>
      <c r="S357" s="3" t="inlineStr">
        <is>
          <t>ZS</t>
        </is>
      </c>
      <c r="T357" s="3" t="inlineStr">
        <is>
          <t>N</t>
        </is>
      </c>
      <c r="U357" s="3" t="inlineStr">
        <is>
          <t>N</t>
        </is>
      </c>
    </row>
    <row r="358" ht="185.25" customHeight="1" s="18">
      <c r="A358" s="5" t="inlineStr">
        <is>
          <t>S2-0436</t>
        </is>
      </c>
      <c r="B358" s="5" t="inlineStr">
        <is>
          <t>B-i</t>
        </is>
      </c>
      <c r="C358" s="3" t="inlineStr">
        <is>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is>
      </c>
      <c r="D358" s="6" t="n">
        <v>2026</v>
      </c>
      <c r="E358" s="3" t="inlineStr">
        <is>
          <t>The Moral Foundations Reddit Corpus</t>
        </is>
      </c>
      <c r="F358" s="5" t="inlineStr">
        <is>
          <t>Preprint (arXiv)</t>
        </is>
      </c>
      <c r="G358" s="10" t="inlineStr">
        <is>
          <t>FT</t>
        </is>
      </c>
      <c r="H358" s="3" t="inlineStr">
        <is>
          <t>INCLUDE</t>
        </is>
      </c>
      <c r="I358" s="3" t="n"/>
      <c r="J358" s="3" t="inlineStr">
        <is>
          <t>ZS: Llama-3-8B/Ministral-8B / FT: BERT-family encoders/LLM PEFT</t>
        </is>
      </c>
      <c r="K358" s="3" t="inlineStr">
        <is>
          <t>Reddit; multilabel moral-sentiment classification; English; n=16,123 comments</t>
        </is>
      </c>
      <c r="L358" s="3" t="inlineStr">
        <is>
          <t>Fine-tuned encoder models substantially outperform zero/few-shot LLMs on moral-foundation classification; PEFT also improves LLM performance over prompting.</t>
        </is>
      </c>
      <c r="M358" t="inlineStr">
        <is>
          <t>Shows that supervised adaptation remains important for subjective, fine-grained classification despite strong general-purpose LLM pretraining.</t>
        </is>
      </c>
      <c r="O358" s="3" t="inlineStr">
        <is>
          <t>Preprint</t>
        </is>
      </c>
      <c r="P358" s="12" t="n">
        <v>46304</v>
      </c>
      <c r="Q358" s="3" t="n"/>
      <c r="R358" s="3" t="inlineStr">
        <is>
          <t>Benchmark results; same MFRC labels compare zero/few-shot LLMs, PEFT and fine-tuned encoders; fine-tuned encoders achieve the strongest performance. D5 note, 14 Oct 2026: version read arXiv 2208.05545v4 (17 Mar 2026); published version cited in the report: Trager et al., LREC 2026, pp. 6383-6407, doi 10.63317/2b6xmbq3kphf.</t>
        </is>
      </c>
      <c r="S358" s="3" t="inlineStr">
        <is>
          <t>FT</t>
        </is>
      </c>
      <c r="T358" s="3" t="inlineStr">
        <is>
          <t>N</t>
        </is>
      </c>
      <c r="U358" s="3" t="inlineStr">
        <is>
          <t>N</t>
        </is>
      </c>
    </row>
    <row r="359" ht="28.5" customHeight="1" s="18">
      <c r="A359" s="5" t="inlineStr">
        <is>
          <t>S2-1135</t>
        </is>
      </c>
      <c r="B359" s="5" t="inlineStr">
        <is>
          <t>B-i</t>
        </is>
      </c>
      <c r="C359" s="3" t="inlineStr">
        <is>
          <t>Medina-Alias, P.; Şimşek, Ö.</t>
        </is>
      </c>
      <c r="D359" s="6" t="n">
        <v>2023</v>
      </c>
      <c r="E359" s="3" t="inlineStr">
        <is>
          <t>The Temporal Persistence of Generative Language Models in Sentiment Analysis</t>
        </is>
      </c>
      <c r="F359" s="5" t="inlineStr">
        <is>
          <t>Conference paper</t>
        </is>
      </c>
      <c r="G359" s="10" t="inlineStr">
        <is>
          <t>FT</t>
        </is>
      </c>
      <c r="H359" s="3" t="inlineStr">
        <is>
          <t>INCLUDE</t>
        </is>
      </c>
      <c r="I359" s="3" t="n"/>
      <c r="J359" s="3" t="inlineStr">
        <is>
          <t>ZS: GPT-3 davinci / FT: T5/RoBERTa/GPT-3</t>
        </is>
      </c>
      <c r="K359" s="3" t="inlineStr">
        <is>
          <t>Social-media text; binary sentiment; English; LongEval temporal test splits</t>
        </is>
      </c>
      <c r="L359" s="3" t="inlineStr">
        <is>
          <t>Fine-tuned T5 achieves the best overall test score of 0.703; prompted GPT-3 reaches 0.662 zero-shot and 0.683 few-shot.</t>
        </is>
      </c>
      <c r="M359" t="inlineStr">
        <is>
          <t>Same temporal benchmark shows supervised adaptation performs better overall and is more persistent under temporal shift than zero/few-shot GPT-3 prompting.</t>
        </is>
      </c>
      <c r="O359" s="3" t="inlineStr">
        <is>
          <t>Published</t>
        </is>
      </c>
      <c r="P359" s="12" t="n">
        <v>46304</v>
      </c>
      <c r="Q359" s="3" t="n"/>
      <c r="R359" s="3" t="inlineStr">
        <is>
          <t>§4–5, Table 4; zero/few-shot GPT-3 and fine-tuned models use the same LongEval temporal tests; fine-tuned T5 scores highest overall.</t>
        </is>
      </c>
      <c r="S359" s="3" t="inlineStr">
        <is>
          <t>FT</t>
        </is>
      </c>
      <c r="T359" s="3" t="inlineStr">
        <is>
          <t>N</t>
        </is>
      </c>
      <c r="U359" s="3" t="inlineStr">
        <is>
          <t>N</t>
        </is>
      </c>
    </row>
    <row r="360" ht="42.75" customHeight="1" s="18">
      <c r="A360" s="5" t="inlineStr">
        <is>
          <t>S2-1148</t>
        </is>
      </c>
      <c r="B360" s="5" t="inlineStr">
        <is>
          <t>B-i</t>
        </is>
      </c>
      <c r="C360" s="3" t="inlineStr">
        <is>
          <t>You, Y.; Jiang, Z.; Zhang, K.; Jiang, J.; Wang, X.; Zhang, Z.; Wang, S.; Feng, H.</t>
        </is>
      </c>
      <c r="D360" s="6" t="n">
        <v>2022</v>
      </c>
      <c r="E360" s="3" t="inlineStr">
        <is>
          <t>TI-Prompt: Towards a Prompt Tuning Method for Few-shot Threat Intelligence Twitter Classification</t>
        </is>
      </c>
      <c r="F360" s="5" t="inlineStr">
        <is>
          <t>Conference paper</t>
        </is>
      </c>
      <c r="G360" s="10" t="inlineStr">
        <is>
          <t>FT</t>
        </is>
      </c>
      <c r="H360" s="3" t="inlineStr">
        <is>
          <t>INCLUDE</t>
        </is>
      </c>
      <c r="I360" s="3" t="n"/>
      <c r="J360" s="3" t="inlineStr">
        <is>
          <t>ZS: TI-Prompt prompt-tuning / FT: BERT-CLS</t>
        </is>
      </c>
      <c r="K360" s="3" t="inlineStr">
        <is>
          <t>Twitter; threat-intelligence binary/multiclass classification; English; multiple TI tweet test sets</t>
        </is>
      </c>
      <c r="L360" s="3" t="inlineStr">
        <is>
          <t>TI-Prompt consistently outperforms supervised BERT-CLS in few-shot settings, including roughly a 20-point F1 advantage on SRTC at K=20.</t>
        </is>
      </c>
      <c r="M360" t="inlineStr">
        <is>
          <t>Shows prompt-oriented adaptation can outperform conventional supervised transformer fine-tuning when very little labelled Twitter data are available.</t>
        </is>
      </c>
      <c r="O360" s="3" t="inlineStr">
        <is>
          <t>Published</t>
        </is>
      </c>
      <c r="P360" s="12" t="n">
        <v>46304</v>
      </c>
      <c r="Q360" s="3" t="n"/>
      <c r="R360" s="3" t="inlineStr">
        <is>
          <t>§V, Tables IV–V; TI-Prompt and BERT-CLS share TI Twitter tasks; at K=20 TI-Prompt substantially exceeds BERT-CLS F1.</t>
        </is>
      </c>
      <c r="S360" s="3" t="inlineStr">
        <is>
          <t>ZS</t>
        </is>
      </c>
      <c r="T360" s="3" t="inlineStr">
        <is>
          <t>N</t>
        </is>
      </c>
      <c r="U360" s="3" t="inlineStr">
        <is>
          <t>N</t>
        </is>
      </c>
    </row>
    <row r="361" ht="42.75" customHeight="1" s="18">
      <c r="A361" s="5" t="inlineStr">
        <is>
          <t>S2-0729</t>
        </is>
      </c>
      <c r="B361" s="5" t="inlineStr">
        <is>
          <t>B-i</t>
        </is>
      </c>
      <c r="C361" s="3" t="inlineStr">
        <is>
          <t>Chen, T.; Su, L.Y.-F.; Ng, Y.M.M.; Stasiewicz, M.J.; Wang, Y.-C.</t>
        </is>
      </c>
      <c r="D361" s="6" t="n">
        <v>2026</v>
      </c>
      <c r="E361" s="3" t="inlineStr">
        <is>
          <t>Transforming social media sentiment analysis with generative large language models: A case study from the cultured meat debate</t>
        </is>
      </c>
      <c r="F361" s="5" t="inlineStr">
        <is>
          <t>Journal article</t>
        </is>
      </c>
      <c r="G361" s="10" t="inlineStr">
        <is>
          <t>FT</t>
        </is>
      </c>
      <c r="H361" s="3" t="inlineStr">
        <is>
          <t>INCLUDE</t>
        </is>
      </c>
      <c r="I361" s="3" t="n"/>
      <c r="J361" s="3" t="inlineStr">
        <is>
          <t>ZS: GPT-4o / FT: GPT-4o</t>
        </is>
      </c>
      <c r="K361" s="3" t="inlineStr">
        <is>
          <t>Twitter/X; 4-class cultured-meat sentiment; English; n=4,595 common evaluation tweets</t>
        </is>
      </c>
      <c r="L361" s="3" t="inlineStr">
        <is>
          <t>Fine-tuned GPT-4o has the best overall accuracy and weighted F1; both zero-shot GPT-4o configurations nevertheless perform comparably to fine-tuned BERT.</t>
        </is>
      </c>
      <c r="M361" t="inlineStr">
        <is>
          <t>Direct same-model evidence shows supervised fine-tuning improves aggregate performance while detailed prompting can remain competitive without labelled training data.</t>
        </is>
      </c>
      <c r="O361" s="3" t="inlineStr">
        <is>
          <t>Published</t>
        </is>
      </c>
      <c r="P361" s="12" t="n">
        <v>46304</v>
      </c>
      <c r="Q361" s="3" t="n"/>
      <c r="R361" s="3" t="inlineStr">
        <is>
          <t>§3.1.2, Fig. 3; same annotated tweets compare zero-shot and fine-tuned GPT-4o; fine-tuning gives highest overall accuracy/weighted F1.</t>
        </is>
      </c>
      <c r="S361" s="3" t="inlineStr">
        <is>
          <t>FT</t>
        </is>
      </c>
      <c r="T361" s="3" t="inlineStr">
        <is>
          <t>Y</t>
        </is>
      </c>
      <c r="U361" s="3" t="inlineStr">
        <is>
          <t>N</t>
        </is>
      </c>
    </row>
    <row r="362" ht="42.75" customHeight="1" s="18">
      <c r="A362" s="5" t="inlineStr">
        <is>
          <t>S2-0992</t>
        </is>
      </c>
      <c r="B362" s="5" t="inlineStr">
        <is>
          <t>B-i</t>
        </is>
      </c>
      <c r="C362" s="3" t="inlineStr">
        <is>
          <t>He, L.; Omranian, S.; McRoy, S.; Zheng, K.</t>
        </is>
      </c>
      <c r="D362" s="6" t="n">
        <v>2024</v>
      </c>
      <c r="E362" s="3" t="inlineStr">
        <is>
          <t>Using Large Language Models for sentiment analysis of health-related social media data: empirical evaluation and practical tips</t>
        </is>
      </c>
      <c r="F362" s="5" t="inlineStr">
        <is>
          <t>Journal article</t>
        </is>
      </c>
      <c r="G362" s="10" t="inlineStr">
        <is>
          <t>FT</t>
        </is>
      </c>
      <c r="H362" s="3" t="inlineStr">
        <is>
          <t>EXCLUDE</t>
        </is>
      </c>
      <c r="I362" s="3" t="inlineStr">
        <is>
          <t>E2</t>
        </is>
      </c>
      <c r="J362" s="3" t="n"/>
      <c r="K362" s="3" t="n"/>
      <c r="L362" s="3" t="n"/>
      <c r="O362" s="3" t="inlineStr">
        <is>
          <t>Preprint</t>
        </is>
      </c>
      <c r="P362" s="12" t="n">
        <v>46304</v>
      </c>
      <c r="Q362" s="3" t="inlineStr">
        <is>
          <t>Bi-direct</t>
        </is>
      </c>
      <c r="R362" s="3" t="inlineStr">
        <is>
          <t>Experiment 1/Table 1; zero-shot GPT/FLAN-T5 use all data while fine-tuned BERT models use sampled held-out subsets, so test items differ.</t>
        </is>
      </c>
      <c r="S362" s="3" t="n"/>
      <c r="T362" s="3" t="n"/>
      <c r="U362" s="3" t="n"/>
    </row>
    <row r="363" ht="28.5" customHeight="1" s="18">
      <c r="A363" s="5" t="inlineStr">
        <is>
          <t>S2-0659</t>
        </is>
      </c>
      <c r="B363" s="5" t="inlineStr">
        <is>
          <t>B-i</t>
        </is>
      </c>
      <c r="C363" s="3" t="inlineStr">
        <is>
          <t>Ding, W.; Bhuiyan, H.</t>
        </is>
      </c>
      <c r="D363" s="6" t="n">
        <v>2027</v>
      </c>
      <c r="E363" s="3" t="inlineStr">
        <is>
          <t>WeiboDRP: Sentiment Analysis on Chinese Social Media with Multi-Level Comment Structures</t>
        </is>
      </c>
      <c r="F363" s="5" t="inlineStr">
        <is>
          <t>Conference paper</t>
        </is>
      </c>
      <c r="G363" s="10" t="inlineStr">
        <is>
          <t>FT</t>
        </is>
      </c>
      <c r="H363" s="3" t="inlineStr">
        <is>
          <t>INCLUDE</t>
        </is>
      </c>
      <c r="I363" s="3" t="n"/>
      <c r="J363" s="3" t="inlineStr">
        <is>
          <t>ZS: GPT-4o/DeepSeek-R1/Qwen2.5 / FT: RoBERTa-wwm-ext/MacBERT/LERT</t>
        </is>
      </c>
      <c r="K363" s="3" t="inlineStr">
        <is>
          <t>Weibo; 3-class sentiment with parent-child context; Chinese; n=1,738 annotated, 15% test</t>
        </is>
      </c>
      <c r="L363" s="3" t="inlineStr">
        <is>
          <t>Zero-shot DeepSeek-R1 is best overall, achieving macro-F1=0.7184 versus 0.6988 for the strongest fine-tuned PLM, LERT-Large.</t>
        </is>
      </c>
      <c r="M363" t="inlineStr">
        <is>
          <t>Shows a zero-shot LLM can surpass supervised fine-tuning when hierarchical conversational context is supplied explicitly on social-media comments.</t>
        </is>
      </c>
      <c r="O363" s="3" t="inlineStr">
        <is>
          <t>Published</t>
        </is>
      </c>
      <c r="P363" s="12" t="n">
        <v>46304</v>
      </c>
      <c r="Q363" s="3" t="n"/>
      <c r="R363" s="3" t="inlineStr">
        <is>
          <t>§3–4, Table 2; unified test framework compares zero-shot LLMs with fine-tuned PLMs; DeepSeek-R1 macro-F1 0.7184 exceeds LERT 0.6988.</t>
        </is>
      </c>
      <c r="S363" s="3" t="inlineStr">
        <is>
          <t>ZS</t>
        </is>
      </c>
      <c r="T363" s="3" t="inlineStr">
        <is>
          <t>N</t>
        </is>
      </c>
      <c r="U363" s="3" t="inlineStr">
        <is>
          <t>N</t>
        </is>
      </c>
    </row>
    <row r="364" ht="28.5" customHeight="1" s="18">
      <c r="A364" s="5" t="inlineStr">
        <is>
          <t>S2-1109</t>
        </is>
      </c>
      <c r="B364" s="5" t="inlineStr">
        <is>
          <t>B-i</t>
        </is>
      </c>
      <c r="C364" s="3" t="inlineStr">
        <is>
          <t>Münker, S.; Kugler, K.; Rettinger, A.</t>
        </is>
      </c>
      <c r="D364" s="6" t="n">
        <v>2025</v>
      </c>
      <c r="E364" s="3" t="inlineStr">
        <is>
          <t>Zero-shot prompt-based classification: topic labeling in times of foundation models in German Tweets</t>
        </is>
      </c>
      <c r="F364" s="5" t="inlineStr">
        <is>
          <t>Conference paper</t>
        </is>
      </c>
      <c r="G364" s="10" t="inlineStr">
        <is>
          <t>FT</t>
        </is>
      </c>
      <c r="H364" s="3" t="inlineStr">
        <is>
          <t>INCLUDE</t>
        </is>
      </c>
      <c r="I364" s="3" t="n"/>
      <c r="J364" s="3" t="inlineStr">
        <is>
          <t>ZS: mT0/FLAN-T5 / FT: German BERT</t>
        </is>
      </c>
      <c r="K364" s="3" t="inlineStr">
        <is>
          <t>Twitter; 5-class topic classification; German; n≈3,000 annotated tweets, 20% test</t>
        </is>
      </c>
      <c r="L364" s="3" t="inlineStr">
        <is>
          <t>Fine-tuned/domain-adapted BERT achieves macro-average 0.8983, compared with 0.7686 for zero-shot FLAN-T5 and 0.6311 for mT0.</t>
        </is>
      </c>
      <c r="M364" t="inlineStr">
        <is>
          <t>Shows that zero-shot foundation models can be viable without labelled training data, but supervised fine-tuning retains a substantial performance advantage.</t>
        </is>
      </c>
      <c r="O364" s="3" t="inlineStr">
        <is>
          <t>Preprint</t>
        </is>
      </c>
      <c r="P364" s="12" t="n">
        <v>46304</v>
      </c>
      <c r="Q364" s="3" t="n"/>
      <c r="R364" s="3" t="inlineStr">
        <is>
          <t>§4–5, Table 1; same German Twitter task compares zero-shot mT0/FLAN-T5 with fine-tuned BERT; domain-adapted BERT scores highest.</t>
        </is>
      </c>
      <c r="S364" s="3" t="inlineStr">
        <is>
          <t>FT</t>
        </is>
      </c>
      <c r="T364" s="3" t="inlineStr">
        <is>
          <t>Y</t>
        </is>
      </c>
      <c r="U364" s="3" t="inlineStr">
        <is>
          <t>N</t>
        </is>
      </c>
    </row>
    <row r="365" ht="57" customHeight="1" s="18">
      <c r="A365" s="3" t="inlineStr">
        <is>
          <t>GZ-1</t>
        </is>
      </c>
      <c r="B365" s="3" t="inlineStr">
        <is>
          <t>B-ii</t>
        </is>
      </c>
      <c r="C365" s="3" t="inlineStr">
        <is>
          <t>Rocío Alaiz-Rodríguez; Enrique Alegre-Gutiérrez; Víctor González-Castro; Lidia Sánchez</t>
        </is>
      </c>
      <c r="D365" s="4" t="n">
        <v>2008</v>
      </c>
      <c r="E365" s="3" t="inlineStr">
        <is>
          <t>Quantifying the proportion of damaged sperm cells based on image analysis and neural networks</t>
        </is>
      </c>
      <c r="F365" s="3" t="inlineStr">
        <is>
          <t>Conference paper</t>
        </is>
      </c>
      <c r="G365" s="3" t="inlineStr">
        <is>
          <t>FT</t>
        </is>
      </c>
      <c r="H365" s="3" t="inlineStr">
        <is>
          <t>INCLUDE</t>
        </is>
      </c>
      <c r="I365" s="3" t="n"/>
      <c r="J365" s="3" t="inlineStr">
        <is>
          <t>Application</t>
        </is>
      </c>
      <c r="K365" s="3" t="inlineStr">
        <is>
          <t>Boar sperm-cell images; veterinary semen viability quantification</t>
        </is>
      </c>
      <c r="L365" s="3" t="inlineStr">
        <is>
          <t>Posterior-probability/EM quantification gives the lowest average MAE, 3.15%, versus 4.01% for Adjusted Count and 7.92% for Median Sweep.</t>
        </is>
      </c>
      <c r="M365" t="inlineStr">
        <is>
          <t>Directly evaluates class-prevalence estimation under changing train/test priors, including ACC-style correction and EM prior re-estimation, though in a non-text image domain.</t>
        </is>
      </c>
      <c r="O365" s="3" t="inlineStr">
        <is>
          <t>Published</t>
        </is>
      </c>
      <c r="P365" s="12" t="n">
        <v>46304</v>
      </c>
      <c r="Q365" s="3" t="n"/>
      <c r="R365" s="3" t="inlineStr">
        <is>
          <t>§2–3, Table 1; estimates damaged-cell prevalence under prior shift using AC/MS and EM-based posterior-probability re-estimation; PP gives MAE 3.15%.</t>
        </is>
      </c>
      <c r="S365" s="3" t="inlineStr">
        <is>
          <t>Y</t>
        </is>
      </c>
      <c r="T365" s="3" t="inlineStr">
        <is>
          <t>Y</t>
        </is>
      </c>
      <c r="U365" s="3" t="inlineStr">
        <is>
          <t>N</t>
        </is>
      </c>
    </row>
    <row r="366" ht="42.75" customHeight="1" s="18">
      <c r="A366" s="3" t="inlineStr">
        <is>
          <t>GZ-2</t>
        </is>
      </c>
      <c r="B366" s="3" t="inlineStr">
        <is>
          <t>B-ii</t>
        </is>
      </c>
      <c r="C366" s="3" t="inlineStr">
        <is>
          <t>Rocio Alaiz-Rodríguez; Alicia Guerrero-Curieses; Jesús Cid-Sueiro</t>
        </is>
      </c>
      <c r="D366" s="4" t="n">
        <v>2011</v>
      </c>
      <c r="E366" s="3" t="inlineStr">
        <is>
          <t>Class and subclass probability re-estimation to adapt a classifier in the presence of concept drift</t>
        </is>
      </c>
      <c r="F366" s="3" t="inlineStr">
        <is>
          <t>Journal article</t>
        </is>
      </c>
      <c r="G366" s="3" t="inlineStr">
        <is>
          <t>FT</t>
        </is>
      </c>
      <c r="H366" s="3" t="inlineStr">
        <is>
          <t>INCLUDE</t>
        </is>
      </c>
      <c r="I366" s="3" t="n"/>
      <c r="J366" s="3" t="inlineStr">
        <is>
          <t>Method</t>
        </is>
      </c>
      <c r="K366" s="3" t="inlineStr">
        <is>
          <t>Synthetic and remote-sensing classification data under distribution shift</t>
        </is>
      </c>
      <c r="L366" s="3" t="inlineStr">
        <is>
          <t>The method re-estimates subclass prior probabilities from unlabelled test data and adjusts posterior classifier outputs; subclass-level adaptation improves over class-level prior adjustment.</t>
        </is>
      </c>
      <c r="M366" t="inlineStr">
        <is>
          <t>Extends conventional label-shift correction by estimating finer-grained latent subclass priors when class-conditional distributions also drift.</t>
        </is>
      </c>
      <c r="O366" s="3" t="inlineStr">
        <is>
          <t>Published</t>
        </is>
      </c>
      <c r="P366" s="12" t="n">
        <v>46304</v>
      </c>
      <c r="Q366" s="3" t="n"/>
      <c r="R366" s="3" t="inlineStr">
        <is>
          <t>§2–3; EM re-estimates posterior subclass probabilities and adapts classifier outputs using unlabelled test data.</t>
        </is>
      </c>
      <c r="S366" s="3" t="inlineStr">
        <is>
          <t>N</t>
        </is>
      </c>
      <c r="T366" s="3" t="inlineStr">
        <is>
          <t>Y</t>
        </is>
      </c>
      <c r="U366" s="3" t="inlineStr">
        <is>
          <t>N</t>
        </is>
      </c>
    </row>
    <row r="367" ht="57" customHeight="1" s="18">
      <c r="A367" s="3" t="inlineStr">
        <is>
          <t>GZ-3</t>
        </is>
      </c>
      <c r="B367" s="3" t="inlineStr">
        <is>
          <t>B-ii</t>
        </is>
      </c>
      <c r="C367" s="3" t="inlineStr">
        <is>
          <t>Giambattista Amati; Simone Angelini; Marco Bianchi; Luca Costantini; Giuseppe Marcone</t>
        </is>
      </c>
      <c r="D367" s="4" t="n">
        <v>2014</v>
      </c>
      <c r="E367" s="3" t="inlineStr">
        <is>
          <t>A scalable approach to near real-time sentiment analysis on social networks</t>
        </is>
      </c>
      <c r="F367" s="3" t="inlineStr">
        <is>
          <t>Conference paper</t>
        </is>
      </c>
      <c r="G367" s="3" t="inlineStr">
        <is>
          <t>FT</t>
        </is>
      </c>
      <c r="H367" s="3" t="inlineStr">
        <is>
          <t>INCLUDE</t>
        </is>
      </c>
      <c r="I367" s="3" t="n"/>
      <c r="J367" s="3" t="inlineStr">
        <is>
          <t>Application</t>
        </is>
      </c>
      <c r="K367" s="3" t="inlineStr">
        <is>
          <t>Twitter sentiment; 6,305 manually labelled tweets across positive, negative, mixed, neutral and unclassifiable categories</t>
        </is>
      </c>
      <c r="L367" s="3" t="inlineStr">
        <is>
          <t>ACC with supervised classifiers provides low proportion-estimation error and enables automated near-real-time sentiment prevalence estimation.</t>
        </is>
      </c>
      <c r="M367" t="inlineStr">
        <is>
          <t>Shows how quantification corrections can be deployed operationally for large-scale social-media analytics rather than relying on raw classification counts.</t>
        </is>
      </c>
      <c r="O367" s="3" t="inlineStr">
        <is>
          <t>Published</t>
        </is>
      </c>
      <c r="P367" s="12" t="n">
        <v>46304</v>
      </c>
      <c r="Q367" s="3" t="n"/>
      <c r="R367" s="3" t="inlineStr">
        <is>
          <t>§3.2, Tables 4–5; 6,305 tweets; CC/ACC with MNB and SVM estimate sentiment-category proportions.</t>
        </is>
      </c>
      <c r="S367" s="3" t="inlineStr">
        <is>
          <t>Y</t>
        </is>
      </c>
      <c r="T367" s="3" t="inlineStr">
        <is>
          <t>N</t>
        </is>
      </c>
      <c r="U367" s="3" t="inlineStr">
        <is>
          <t>Y</t>
        </is>
      </c>
    </row>
    <row r="368" ht="28.5" customHeight="1" s="18">
      <c r="A368" s="3" t="inlineStr">
        <is>
          <t>GZ-4</t>
        </is>
      </c>
      <c r="B368" s="3" t="inlineStr">
        <is>
          <t>B-ii</t>
        </is>
      </c>
      <c r="C368" s="3" t="inlineStr">
        <is>
          <t>Giambattista Amati; Marco Bianchi; Giuseppe Marcone</t>
        </is>
      </c>
      <c r="D368" s="4" t="n">
        <v>2014</v>
      </c>
      <c r="E368" s="3" t="inlineStr">
        <is>
          <t>Sentiment estimation on twitter</t>
        </is>
      </c>
      <c r="F368" s="3" t="inlineStr">
        <is>
          <t>Conference paper</t>
        </is>
      </c>
      <c r="G368" s="3" t="inlineStr">
        <is>
          <t>FT</t>
        </is>
      </c>
      <c r="H368" s="3" t="inlineStr">
        <is>
          <t>INCLUDE</t>
        </is>
      </c>
      <c r="I368" s="3" t="n"/>
      <c r="J368" s="3" t="inlineStr">
        <is>
          <t>Application</t>
        </is>
      </c>
      <c r="K368" s="3" t="inlineStr">
        <is>
          <t>Twitter topical sentiment; test collection of approximately 3.2 million tweets</t>
        </is>
      </c>
      <c r="L368" s="3" t="inlineStr">
        <is>
          <t>Proposes an automated classifier-quantification method for estimating sentiment-category proportions at topic level rather than classifying individual tweets.</t>
        </is>
      </c>
      <c r="M368" t="inlineStr">
        <is>
          <t>Provides a direct social-media application of prevalence estimation at very large scale and motivates correction for classifier error.</t>
        </is>
      </c>
      <c r="O368" s="3" t="inlineStr">
        <is>
          <t>Published</t>
        </is>
      </c>
      <c r="P368" s="12" t="n">
        <v>46304</v>
      </c>
      <c r="Q368" s="3" t="n"/>
      <c r="R368" s="3" t="inlineStr">
        <is>
          <t>Abstract/§1; estimates topic-level sentiment proportions on ≈3.2M tweets and discusses adjusted classify-and-count correction.</t>
        </is>
      </c>
      <c r="S368" s="3" t="inlineStr">
        <is>
          <t>Y</t>
        </is>
      </c>
      <c r="T368" s="3" t="inlineStr">
        <is>
          <t>N</t>
        </is>
      </c>
      <c r="U368" s="3" t="inlineStr">
        <is>
          <t>Y</t>
        </is>
      </c>
    </row>
    <row r="369" ht="28.5" customHeight="1" s="18">
      <c r="A369" s="3" t="inlineStr">
        <is>
          <t>GZ-6</t>
        </is>
      </c>
      <c r="B369" s="3" t="inlineStr">
        <is>
          <t>B-ii</t>
        </is>
      </c>
      <c r="C369" s="3" t="inlineStr">
        <is>
          <t>Hideki Asoh; Kazushi Ikeda; Chihiro Ono</t>
        </is>
      </c>
      <c r="D369" s="4" t="n">
        <v>2012</v>
      </c>
      <c r="E369" s="3" t="inlineStr">
        <is>
          <t>A fast and simple method for profiling a population of twitter users</t>
        </is>
      </c>
      <c r="F369" s="3" t="inlineStr">
        <is>
          <t>Conference paper</t>
        </is>
      </c>
      <c r="G369" s="3" t="inlineStr">
        <is>
          <t>FT</t>
        </is>
      </c>
      <c r="H369" s="3" t="inlineStr">
        <is>
          <t>INCLUDE</t>
        </is>
      </c>
      <c r="I369" s="3" t="n"/>
      <c r="J369" s="3" t="inlineStr">
        <is>
          <t>Method</t>
        </is>
      </c>
      <c r="K369" s="3" t="inlineStr">
        <is>
          <t>Twitter user demographics; gender and age; gender experiment uses 1,000 users × 200 tweets</t>
        </is>
      </c>
      <c r="L369" s="3" t="inlineStr">
        <is>
          <t>The proposed method directly estimates class ratios from aggregate word-vector distributions and often outperforms SVM classify-and-count as target class proportions shift.</t>
        </is>
      </c>
      <c r="M369" t="inlineStr">
        <is>
          <t>Demonstrates direct prevalence estimation from social-media text without first producing individual demographic classifications.</t>
        </is>
      </c>
      <c r="O369" s="3" t="inlineStr">
        <is>
          <t>Published</t>
        </is>
      </c>
      <c r="P369" s="12" t="n">
        <v>46304</v>
      </c>
      <c r="Q369" s="3" t="n"/>
      <c r="R369" s="3" t="inlineStr">
        <is>
          <t>§3.2–4; directly estimates p_test(y); real Twitter experiments compare ratio estimates against SVM classification.</t>
        </is>
      </c>
      <c r="S369" s="3" t="inlineStr">
        <is>
          <t>N</t>
        </is>
      </c>
      <c r="T369" s="3" t="inlineStr">
        <is>
          <t>N</t>
        </is>
      </c>
      <c r="U369" s="3" t="inlineStr">
        <is>
          <t>Y</t>
        </is>
      </c>
    </row>
    <row r="370" ht="28.5" customHeight="1" s="18">
      <c r="A370" s="3" t="inlineStr">
        <is>
          <t>GZ-7</t>
        </is>
      </c>
      <c r="B370" s="3" t="inlineStr">
        <is>
          <t>B-ii</t>
        </is>
      </c>
      <c r="C370" s="3" t="inlineStr">
        <is>
          <t>Jose Barranquero; Jorge Díez; Juan José del Coz</t>
        </is>
      </c>
      <c r="D370" s="4" t="n">
        <v>2015</v>
      </c>
      <c r="E370" s="3" t="inlineStr">
        <is>
          <t>Quantification-oriented learning based on reliable classifiers</t>
        </is>
      </c>
      <c r="F370" s="3" t="inlineStr">
        <is>
          <t>Journal article</t>
        </is>
      </c>
      <c r="G370" s="3" t="inlineStr">
        <is>
          <t>FT</t>
        </is>
      </c>
      <c r="H370" s="3" t="inlineStr">
        <is>
          <t>INCLUDE</t>
        </is>
      </c>
      <c r="I370" s="3" t="n"/>
      <c r="J370" s="3" t="inlineStr">
        <is>
          <t>Method</t>
        </is>
      </c>
      <c r="K370" s="3" t="inlineStr">
        <is>
          <t>22 UCI benchmark datasets; binary quantification under varied class prevalence</t>
        </is>
      </c>
      <c r="L370" s="3" t="inlineStr">
        <is>
          <t>Introduces quantification-oriented learning that jointly rewards prevalence accuracy and reliable classification rather than optimising classification alone.</t>
        </is>
      </c>
      <c r="M370" t="inlineStr">
        <is>
          <t>Supports treating prevalence estimation as a distinct supervised-learning objective and includes ACC-style baselines.</t>
        </is>
      </c>
      <c r="O370" s="3" t="inlineStr">
        <is>
          <t>Published</t>
        </is>
      </c>
      <c r="P370" s="12" t="n">
        <v>46304</v>
      </c>
      <c r="Q370" s="3" t="n"/>
      <c r="R370" s="3" t="inlineStr">
        <is>
          <t>§3–4; proposes Q-measure quantifier; 22 UCI datasets evaluate against state-of-the-art quantification methods including AC.</t>
        </is>
      </c>
      <c r="S370" s="3" t="inlineStr">
        <is>
          <t>Y</t>
        </is>
      </c>
      <c r="T370" s="3" t="inlineStr">
        <is>
          <t>N</t>
        </is>
      </c>
      <c r="U370" s="3" t="inlineStr">
        <is>
          <t>N</t>
        </is>
      </c>
    </row>
    <row r="371" ht="71.25" customHeight="1" s="18">
      <c r="A371" s="3" t="inlineStr">
        <is>
          <t>GZ-9</t>
        </is>
      </c>
      <c r="B371" s="3" t="inlineStr">
        <is>
          <t>B-ii</t>
        </is>
      </c>
      <c r="C371" s="3" t="inlineStr">
        <is>
          <t>Oscar Beijbom; Judy Hoffman; Evan Yao; Trevor Darrell; Alberto Rodriguez-Ramirez; Manuel Gonzalez-Rivero; Ove Hoegh Guldberg</t>
        </is>
      </c>
      <c r="D371" s="4" t="n">
        <v>2015</v>
      </c>
      <c r="E371" s="3" t="inlineStr">
        <is>
          <t>Quantification in-the-wild: Data-sets and baselines</t>
        </is>
      </c>
      <c r="F371" s="3" t="inlineStr">
        <is>
          <t>Conference paper</t>
        </is>
      </c>
      <c r="G371" s="3" t="inlineStr">
        <is>
          <t>FT</t>
        </is>
      </c>
      <c r="H371" s="3" t="inlineStr">
        <is>
          <t>INCLUDE</t>
        </is>
      </c>
      <c r="I371" s="3" t="n"/>
      <c r="J371" s="3" t="inlineStr">
        <is>
          <t>Review/benchmark</t>
        </is>
      </c>
      <c r="K371" s="3" t="inlineStr">
        <is>
          <t>Marine-ecology image data; Caribbean coral surveys and plankton time-series</t>
        </is>
      </c>
      <c r="L371" s="3" t="inlineStr">
        <is>
          <t>Standard quantifiers are tested under realistic dataset shift; limited target fine-tuning with 25–100 labelled samples can outperform unsupervised alternatives.</t>
        </is>
      </c>
      <c r="M371" t="inlineStr">
        <is>
          <t>Tests quantification methods when strict label-shift assumptions fail, showing the limits of conventional prior-shift correction in real deployment data.</t>
        </is>
      </c>
      <c r="O371" s="3" t="inlineStr">
        <is>
          <t>Preprint</t>
        </is>
      </c>
      <c r="P371" s="12" t="n">
        <v>46304</v>
      </c>
      <c r="Q371" s="3" t="n"/>
      <c r="R371" s="3" t="inlineStr">
        <is>
          <t>§1–4; evaluates class-distribution estimation on two ecology datasets; supplementary analysis includes Saerens/EM under violated shift assumptions.</t>
        </is>
      </c>
      <c r="S371" s="3" t="inlineStr">
        <is>
          <t>N</t>
        </is>
      </c>
      <c r="T371" s="3" t="inlineStr">
        <is>
          <t>Y</t>
        </is>
      </c>
      <c r="U371" s="3" t="inlineStr">
        <is>
          <t>N</t>
        </is>
      </c>
    </row>
    <row r="372" ht="57" customHeight="1" s="18">
      <c r="A372" s="3" t="inlineStr">
        <is>
          <t>GZ-10</t>
        </is>
      </c>
      <c r="B372" s="3" t="inlineStr">
        <is>
          <t>B-ii</t>
        </is>
      </c>
      <c r="C372" s="3" t="inlineStr">
        <is>
          <t>Antonio Bella; Cèsar Ferri; José Hernández-Orallo; María José Ramírez-Quintana</t>
        </is>
      </c>
      <c r="D372" s="4" t="n">
        <v>2010</v>
      </c>
      <c r="E372" s="3" t="inlineStr">
        <is>
          <t>Quantification via Probability Estimators</t>
        </is>
      </c>
      <c r="F372" s="3" t="inlineStr">
        <is>
          <t>Conference paper</t>
        </is>
      </c>
      <c r="G372" s="3" t="inlineStr">
        <is>
          <t>FT</t>
        </is>
      </c>
      <c r="H372" s="3" t="inlineStr">
        <is>
          <t>INCLUDE</t>
        </is>
      </c>
      <c r="I372" s="3" t="n"/>
      <c r="J372" s="3" t="inlineStr">
        <is>
          <t>Method</t>
        </is>
      </c>
      <c r="K372" s="3" t="inlineStr">
        <is>
          <t>20 binary UCI benchmark datasets under manipulated class prevalence</t>
        </is>
      </c>
      <c r="L372" s="3" t="inlineStr">
        <is>
          <t>Scaled Probability Average improves probability-based prevalence estimates and is generally stronger than unscaled probability averaging and several threshold-based methods.</t>
        </is>
      </c>
      <c r="M372" t="inlineStr">
        <is>
          <t>Provides an important probability-estimator alternative to classify-and-count and ACC-style correction for prevalence estimation.</t>
        </is>
      </c>
      <c r="O372" s="3" t="inlineStr">
        <is>
          <t>Published</t>
        </is>
      </c>
      <c r="P372" s="12" t="n">
        <v>46304</v>
      </c>
      <c r="Q372" s="3" t="n"/>
      <c r="R372" s="3" t="inlineStr">
        <is>
          <t>§III–IV, Table I; compares CC, AC, T50, SCC, PA and SPA on 20 binary UCI datasets.</t>
        </is>
      </c>
      <c r="S372" s="3" t="inlineStr">
        <is>
          <t>Y</t>
        </is>
      </c>
      <c r="T372" s="3" t="inlineStr">
        <is>
          <t>N</t>
        </is>
      </c>
      <c r="U372" s="3" t="inlineStr">
        <is>
          <t>N</t>
        </is>
      </c>
    </row>
    <row r="373" ht="28.5" customHeight="1" s="18">
      <c r="A373" s="3" t="inlineStr">
        <is>
          <t>GZ-16</t>
        </is>
      </c>
      <c r="B373" s="3" t="inlineStr">
        <is>
          <t>B-ii</t>
        </is>
      </c>
      <c r="C373" s="3" t="inlineStr">
        <is>
          <t>Marthinus Christoffel Du Plessis; Masashi Sugiyama</t>
        </is>
      </c>
      <c r="D373" s="4" t="n">
        <v>2014</v>
      </c>
      <c r="E373" s="3" t="inlineStr">
        <is>
          <t>Class prior estimation from positive and unlabeled data</t>
        </is>
      </c>
      <c r="F373" s="3" t="inlineStr">
        <is>
          <t>Journal article</t>
        </is>
      </c>
      <c r="G373" s="3" t="inlineStr">
        <is>
          <t>FT</t>
        </is>
      </c>
      <c r="H373" s="3" t="inlineStr">
        <is>
          <t>INCLUDE</t>
        </is>
      </c>
      <c r="I373" s="3" t="n"/>
      <c r="J373" s="3" t="inlineStr">
        <is>
          <t>Method</t>
        </is>
      </c>
      <c r="K373" s="3" t="inlineStr">
        <is>
          <t>Positive-and-unlabelled benchmark data; Australian, diabetes, image and waveform datasets</t>
        </is>
      </c>
      <c r="L373" s="3" t="inlineStr">
        <is>
          <t>Direct Pearson-divergence partial matching estimates the unknown positive-class prior more accurately than the comparison estimator and improves downstream classification.</t>
        </is>
      </c>
      <c r="M373" t="inlineStr">
        <is>
          <t>Provides a direct class-prior estimator for PU data, squarely satisfying the prevalence-estimation arm of B-ii.</t>
        </is>
      </c>
      <c r="O373" s="3" t="inlineStr">
        <is>
          <t>Published</t>
        </is>
      </c>
      <c r="P373" s="12" t="n">
        <v>46304</v>
      </c>
      <c r="Q373" s="3" t="n"/>
      <c r="R373" s="3" t="inlineStr">
        <is>
          <t>§2–4, Tables 1–2; directly estimates unknown class prior from positive and unlabelled data; benchmark squared-error results favour proposed PE estimator.</t>
        </is>
      </c>
      <c r="S373" s="3" t="inlineStr">
        <is>
          <t>N</t>
        </is>
      </c>
      <c r="T373" s="3" t="inlineStr">
        <is>
          <t>N</t>
        </is>
      </c>
      <c r="U373" s="3" t="inlineStr">
        <is>
          <t>N</t>
        </is>
      </c>
    </row>
    <row r="374" ht="28.5" customHeight="1" s="18">
      <c r="A374" s="3" t="inlineStr">
        <is>
          <t>GZ-18</t>
        </is>
      </c>
      <c r="B374" s="3" t="inlineStr">
        <is>
          <t>B-ii</t>
        </is>
      </c>
      <c r="C374" s="3" t="inlineStr">
        <is>
          <t>Andrea Esuli; Fabrizio Sebastiani</t>
        </is>
      </c>
      <c r="D374" s="4" t="n">
        <v>2010</v>
      </c>
      <c r="E374" s="3" t="inlineStr">
        <is>
          <t>Sentiment quantification</t>
        </is>
      </c>
      <c r="F374" s="3" t="inlineStr">
        <is>
          <t>Journal article</t>
        </is>
      </c>
      <c r="G374" s="3" t="inlineStr">
        <is>
          <t>FT</t>
        </is>
      </c>
      <c r="H374" s="3" t="inlineStr">
        <is>
          <t>INCLUDE</t>
        </is>
      </c>
      <c r="I374" s="3" t="n"/>
      <c r="J374" s="3" t="inlineStr">
        <is>
          <t>Review/benchmark</t>
        </is>
      </c>
      <c r="K374" s="3" t="inlineStr">
        <is>
          <t>Text opinion mining; reviews, questionnaires and other opinion-bearing documents</t>
        </is>
      </c>
      <c r="L374" s="3" t="inlineStr">
        <is>
          <t>Argues that aggregate sentiment analysis is a distinct quantification problem and reviews methods designed to estimate class frequencies rather than optimise individual labels.</t>
        </is>
      </c>
      <c r="M374" t="inlineStr">
        <is>
          <t>Provides early conceptual synthesis linking sentiment analysis to prevalence estimation and the Forman quantification literature.</t>
        </is>
      </c>
      <c r="O374" s="3" t="inlineStr">
        <is>
          <t>Published</t>
        </is>
      </c>
      <c r="P374" s="12" t="n">
        <v>46304</v>
      </c>
      <c r="Q374" s="3" t="n"/>
      <c r="R374" s="3" t="inlineStr">
        <is>
          <t>“Sentiment Quantification”, pp.72–75; reviews aggregate sentiment quantification and Forman's dedicated quantification methods.</t>
        </is>
      </c>
      <c r="S374" s="3" t="inlineStr">
        <is>
          <t>N</t>
        </is>
      </c>
      <c r="T374" s="3" t="inlineStr">
        <is>
          <t>N</t>
        </is>
      </c>
      <c r="U374" s="3" t="inlineStr">
        <is>
          <t>Y</t>
        </is>
      </c>
    </row>
    <row r="375" ht="28.5" customHeight="1" s="18">
      <c r="A375" s="3" t="inlineStr">
        <is>
          <t>GZ-19</t>
        </is>
      </c>
      <c r="B375" s="3" t="inlineStr">
        <is>
          <t>B-ii</t>
        </is>
      </c>
      <c r="C375" s="3" t="inlineStr">
        <is>
          <t>Andrea Esuli; Fabrizio Sebastiani</t>
        </is>
      </c>
      <c r="D375" s="4" t="n">
        <v>2015</v>
      </c>
      <c r="E375" s="3" t="inlineStr">
        <is>
          <t>Optimizing text quantifiers for multivariate loss functions</t>
        </is>
      </c>
      <c r="F375" s="3" t="inlineStr">
        <is>
          <t>Journal article</t>
        </is>
      </c>
      <c r="G375" s="3" t="inlineStr">
        <is>
          <t>FT</t>
        </is>
      </c>
      <c r="H375" s="3" t="inlineStr">
        <is>
          <t>INCLUDE</t>
        </is>
      </c>
      <c r="I375" s="3" t="n"/>
      <c r="J375" s="3" t="inlineStr">
        <is>
          <t>Method</t>
        </is>
      </c>
      <c r="K375" s="3" t="inlineStr">
        <is>
          <t>RCV1-v2 and OHSUMED-S text corpora; thousands of prevalence-shifted binary test sets</t>
        </is>
      </c>
      <c r="L375" s="3" t="inlineStr">
        <is>
          <t>SVM(KLD), trained directly for quantification loss, substantially improves prevalence-estimation performance over classification-oriented and adjustment baselines on the large RCV1-v2 experiments.</t>
        </is>
      </c>
      <c r="M375" t="inlineStr">
        <is>
          <t>Strong evidence that directly optimising the aggregate prevalence objective can outperform treating quantification as a by-product of classification.</t>
        </is>
      </c>
      <c r="O375" s="3" t="inlineStr">
        <is>
          <t>Published</t>
        </is>
      </c>
      <c r="P375" s="12" t="n">
        <v>46304</v>
      </c>
      <c r="Q375" s="3" t="n"/>
      <c r="R375" s="3" t="inlineStr">
        <is>
          <t>§4–6; SVM(KLD) evaluated against 10 quantifiers including ACC/PACC on thousands of text test sets.</t>
        </is>
      </c>
      <c r="S375" s="3" t="inlineStr">
        <is>
          <t>Y</t>
        </is>
      </c>
      <c r="T375" s="3" t="inlineStr">
        <is>
          <t>N</t>
        </is>
      </c>
      <c r="U375" s="3" t="inlineStr">
        <is>
          <t>Y</t>
        </is>
      </c>
    </row>
    <row r="376" ht="57" customHeight="1" s="18">
      <c r="A376" s="3" t="inlineStr">
        <is>
          <t>GZ-22</t>
        </is>
      </c>
      <c r="B376" s="3" t="inlineStr">
        <is>
          <t>B-ii</t>
        </is>
      </c>
      <c r="C376" s="3" t="inlineStr">
        <is>
          <t>Aykut Firat</t>
        </is>
      </c>
      <c r="D376" s="4" t="n">
        <v>2016</v>
      </c>
      <c r="E376" s="3" t="inlineStr">
        <is>
          <t>Unified framework for quantification</t>
        </is>
      </c>
      <c r="F376" s="3" t="inlineStr">
        <is>
          <t>Preprint (arXiv)</t>
        </is>
      </c>
      <c r="G376" s="3" t="inlineStr">
        <is>
          <t>FT</t>
        </is>
      </c>
      <c r="H376" s="3" t="inlineStr">
        <is>
          <t>INCLUDE</t>
        </is>
      </c>
      <c r="I376" s="3" t="n"/>
      <c r="J376" s="3" t="inlineStr">
        <is>
          <t>Method</t>
        </is>
      </c>
      <c r="K376" s="3" t="inlineStr">
        <is>
          <t>Stanford Sentiment Treebank, Twitter, marketing survey and CIFAR-10</t>
        </is>
      </c>
      <c r="L376" s="3" t="inlineStr">
        <is>
          <t>Unifies major quantifiers as constrained multivariate regression and shows substantial gains over naive prevalence estimation across multiple multiclass datasets.</t>
        </is>
      </c>
      <c r="M376" t="inlineStr">
        <is>
          <t>Connects ACC-style methods, prior adjustment and multiclass prevalence estimation within a common framework applicable to text and social-media data.</t>
        </is>
      </c>
      <c r="O376" s="3" t="inlineStr">
        <is>
          <t>Preprint</t>
        </is>
      </c>
      <c r="P376" s="12" t="n">
        <v>46304</v>
      </c>
      <c r="Q376" s="3" t="n"/>
      <c r="R376" s="3" t="inlineStr">
        <is>
          <t>§4–5, Tables 2–3; compares AC and other quantifiers on Stanford/Twitter/other datasets and applies Saerens post-quantification adjustment.</t>
        </is>
      </c>
      <c r="S376" s="3" t="inlineStr">
        <is>
          <t>Y</t>
        </is>
      </c>
      <c r="T376" s="3" t="inlineStr">
        <is>
          <t>Y</t>
        </is>
      </c>
      <c r="U376" s="3" t="inlineStr">
        <is>
          <t>Y</t>
        </is>
      </c>
    </row>
    <row r="377" ht="28.5" customHeight="1" s="18">
      <c r="A377" s="3" t="inlineStr">
        <is>
          <t>GZ-23</t>
        </is>
      </c>
      <c r="B377" s="3" t="inlineStr">
        <is>
          <t>B-ii</t>
        </is>
      </c>
      <c r="C377" s="3" t="inlineStr">
        <is>
          <t>George Forman</t>
        </is>
      </c>
      <c r="D377" s="4" t="n">
        <v>2005</v>
      </c>
      <c r="E377" s="3" t="inlineStr">
        <is>
          <t>Counting Positives Accurately Despite Inaccurate Classification</t>
        </is>
      </c>
      <c r="F377" s="3" t="inlineStr">
        <is>
          <t>Conference paper</t>
        </is>
      </c>
      <c r="G377" s="3" t="inlineStr">
        <is>
          <t>FT</t>
        </is>
      </c>
      <c r="H377" s="3" t="inlineStr">
        <is>
          <t>INCLUDE</t>
        </is>
      </c>
      <c r="I377" s="3" t="n"/>
      <c r="J377" s="3" t="inlineStr">
        <is>
          <t>Method</t>
        </is>
      </c>
      <c r="K377" s="3" t="inlineStr">
        <is>
          <t>21 binary text-classification benchmark tasks</t>
        </is>
      </c>
      <c r="L377" s="3" t="inlineStr">
        <is>
          <t>Naive classify-and-count is systematically biased under prevalence shift; adjusted count and especially the mixture-model estimator give substantially more reliable prevalence estimates.</t>
        </is>
      </c>
      <c r="M377" t="inlineStr">
        <is>
          <t>Foundational empirical evidence for correcting classifier counts when deployment prevalence differs from the training distribution.</t>
        </is>
      </c>
      <c r="O377" s="3" t="inlineStr">
        <is>
          <t>Published</t>
        </is>
      </c>
      <c r="P377" s="12" t="n">
        <v>46304</v>
      </c>
      <c r="Q377" s="3" t="n"/>
      <c r="R377" s="3" t="inlineStr">
        <is>
          <t>§3–5; 21 binary text tasks compare CC, adjusted CC and mixture-model prevalence estimators under independently varied train/test prevalence.</t>
        </is>
      </c>
      <c r="S377" s="3" t="inlineStr">
        <is>
          <t>Y</t>
        </is>
      </c>
      <c r="T377" s="3" t="inlineStr">
        <is>
          <t>N</t>
        </is>
      </c>
      <c r="U377" s="3" t="inlineStr">
        <is>
          <t>Y</t>
        </is>
      </c>
    </row>
    <row r="378" ht="28.5" customHeight="1" s="18">
      <c r="A378" s="3" t="inlineStr">
        <is>
          <t>GZ-24</t>
        </is>
      </c>
      <c r="B378" s="3" t="inlineStr">
        <is>
          <t>B-ii</t>
        </is>
      </c>
      <c r="C378" s="3" t="inlineStr">
        <is>
          <t>George Forman</t>
        </is>
      </c>
      <c r="D378" s="4" t="n">
        <v>2006</v>
      </c>
      <c r="E378" s="3" t="inlineStr">
        <is>
          <t>Quantifying trends accurately despite classifier error and class imbalance</t>
        </is>
      </c>
      <c r="F378" s="3" t="inlineStr">
        <is>
          <t>Conference paper</t>
        </is>
      </c>
      <c r="G378" s="3" t="inlineStr">
        <is>
          <t>FT</t>
        </is>
      </c>
      <c r="H378" s="3" t="inlineStr">
        <is>
          <t>INCLUDE</t>
        </is>
      </c>
      <c r="I378" s="3" t="n"/>
      <c r="J378" s="3" t="inlineStr">
        <is>
          <t>Method</t>
        </is>
      </c>
      <c r="K378" s="3" t="inlineStr">
        <is>
          <t>25 binary text-classification tasks × 10 splits; broad train/test prevalence variation</t>
        </is>
      </c>
      <c r="L378" s="3" t="inlineStr">
        <is>
          <t>Median Sweep gives robust prevalence estimates across severe class imbalance and large shifts between training and test prevalence.</t>
        </is>
      </c>
      <c r="M378" t="inlineStr">
        <is>
          <t>Develops the ACC family into threshold-sweep estimators specifically designed for stable prevalence estimation under deployment shift.</t>
        </is>
      </c>
      <c r="O378" s="3" t="inlineStr">
        <is>
          <t>Published</t>
        </is>
      </c>
      <c r="P378" s="12" t="n">
        <v>46304</v>
      </c>
      <c r="Q378" s="3" t="n"/>
      <c r="R378" s="3" t="inlineStr">
        <is>
          <t>§2–3; 25 text tasks evaluate quantification under varied prevalences; Median Sweep aggregates adjusted estimates across thresholds.</t>
        </is>
      </c>
      <c r="S378" s="3" t="inlineStr">
        <is>
          <t>Y</t>
        </is>
      </c>
      <c r="T378" s="3" t="inlineStr">
        <is>
          <t>N</t>
        </is>
      </c>
      <c r="U378" s="3" t="inlineStr">
        <is>
          <t>Y</t>
        </is>
      </c>
    </row>
    <row r="379" ht="57" customHeight="1" s="18">
      <c r="A379" s="3" t="inlineStr">
        <is>
          <t>GZ-25</t>
        </is>
      </c>
      <c r="B379" s="3" t="inlineStr">
        <is>
          <t>B-ii</t>
        </is>
      </c>
      <c r="C379" s="3" t="inlineStr">
        <is>
          <t>George Forman</t>
        </is>
      </c>
      <c r="D379" s="4" t="n">
        <v>2008</v>
      </c>
      <c r="E379" s="3" t="inlineStr">
        <is>
          <t>Quantifying counts and costs via classification</t>
        </is>
      </c>
      <c r="F379" s="3" t="inlineStr">
        <is>
          <t>Journal article</t>
        </is>
      </c>
      <c r="G379" s="3" t="inlineStr">
        <is>
          <t>FT</t>
        </is>
      </c>
      <c r="H379" s="3" t="inlineStr">
        <is>
          <t>INCLUDE</t>
        </is>
      </c>
      <c r="I379" s="3" t="n"/>
      <c r="J379" s="3" t="inlineStr">
        <is>
          <t>Method</t>
        </is>
      </c>
      <c r="K379" s="3" t="inlineStr">
        <is>
          <t>Text-classification benchmarks and HP technical-support call logs</t>
        </is>
      </c>
      <c r="L379" s="3" t="inlineStr">
        <is>
          <t>Develops and evaluates prevalence and cost-quantification methods that remain useful when test prevalence differs substantially from training and positive cases are rare.</t>
        </is>
      </c>
      <c r="M379" t="inlineStr">
        <is>
          <t>Foundational treatment of prevalence estimation under prior shift, directly relevant to ACC-style correction and aggregate analysis of text.</t>
        </is>
      </c>
      <c r="O379" s="3" t="inlineStr">
        <is>
          <t>Published</t>
        </is>
      </c>
      <c r="P379" s="12" t="n">
        <v>46304</v>
      </c>
      <c r="Q379" s="3" t="n"/>
      <c r="R379" s="3" t="inlineStr">
        <is>
          <t>Abstract/§1; estimates positive counts/class distributions under train-test prevalence shift and applies quantification to support-log text.</t>
        </is>
      </c>
      <c r="S379" s="3" t="inlineStr">
        <is>
          <t>Y</t>
        </is>
      </c>
      <c r="T379" s="3" t="inlineStr">
        <is>
          <t>N</t>
        </is>
      </c>
      <c r="U379" s="3" t="inlineStr">
        <is>
          <t>Y</t>
        </is>
      </c>
    </row>
    <row r="380" ht="42.75" customHeight="1" s="18">
      <c r="A380" s="3" t="inlineStr">
        <is>
          <t>GZ-26</t>
        </is>
      </c>
      <c r="B380" s="3" t="inlineStr">
        <is>
          <t>B-ii</t>
        </is>
      </c>
      <c r="C380" s="3" t="inlineStr">
        <is>
          <t>George Forman; Evan Kirshenbaum; Jaap Suermondt</t>
        </is>
      </c>
      <c r="D380" s="4" t="n">
        <v>2006</v>
      </c>
      <c r="E380" s="3" t="inlineStr">
        <is>
          <t>Pragmatic text mining: Minimizing human effort to quantify many issues in call logs</t>
        </is>
      </c>
      <c r="F380" s="3" t="inlineStr">
        <is>
          <t>Conference paper</t>
        </is>
      </c>
      <c r="G380" s="3" t="inlineStr">
        <is>
          <t>FT</t>
        </is>
      </c>
      <c r="H380" s="3" t="inlineStr">
        <is>
          <t>INCLUDE</t>
        </is>
      </c>
      <c r="I380" s="3" t="n"/>
      <c r="J380" s="3" t="inlineStr">
        <is>
          <t>Application</t>
        </is>
      </c>
      <c r="K380" s="3" t="inlineStr">
        <is>
          <t>HP technical-support call logs; terse unstructured free text</t>
        </is>
      </c>
      <c r="L380" s="3" t="inlineStr">
        <is>
          <t>Deploys automated text categorisation with adjusted category-count estimates so changing monthly issue prevalence can be tracked despite imperfect classification.</t>
        </is>
      </c>
      <c r="M380" t="inlineStr">
        <is>
          <t>Demonstrates prevalence correction as a deployed industrial text-mining workflow rather than only a benchmark exercise.</t>
        </is>
      </c>
      <c r="O380" s="3" t="inlineStr">
        <is>
          <t>Published</t>
        </is>
      </c>
      <c r="P380" s="12" t="n">
        <v>46304</v>
      </c>
      <c r="Q380" s="3" t="n"/>
      <c r="R380" s="3" t="inlineStr">
        <is>
          <t>§3.3/system description; category totals may use adjusted quantification methods rather than simple classification counts.</t>
        </is>
      </c>
      <c r="S380" s="3" t="inlineStr">
        <is>
          <t>Y</t>
        </is>
      </c>
      <c r="T380" s="3" t="inlineStr">
        <is>
          <t>N</t>
        </is>
      </c>
      <c r="U380" s="3" t="inlineStr">
        <is>
          <t>Y</t>
        </is>
      </c>
    </row>
    <row r="381" ht="57" customHeight="1" s="18">
      <c r="A381" s="3" t="inlineStr">
        <is>
          <t>GZ-30</t>
        </is>
      </c>
      <c r="B381" s="3" t="inlineStr">
        <is>
          <t>B-ii</t>
        </is>
      </c>
      <c r="C381" s="3" t="inlineStr">
        <is>
          <t>Wei Gao; Fabrizio Sebastiani</t>
        </is>
      </c>
      <c r="D381" s="4" t="n">
        <v>2015</v>
      </c>
      <c r="E381" s="3" t="inlineStr">
        <is>
          <t>Tweet Sentiment: From Classification to Quantification</t>
        </is>
      </c>
      <c r="F381" s="3" t="inlineStr">
        <is>
          <t>Conference paper</t>
        </is>
      </c>
      <c r="G381" s="3" t="inlineStr">
        <is>
          <t>FT</t>
        </is>
      </c>
      <c r="H381" s="3" t="inlineStr">
        <is>
          <t>INCLUDE</t>
        </is>
      </c>
      <c r="I381" s="3" t="n"/>
      <c r="J381" s="3" t="inlineStr">
        <is>
          <t>Method</t>
        </is>
      </c>
      <c r="K381" s="3" t="inlineStr">
        <is>
          <t>Twitter sentiment; SemEval2013/2014/2015, Sanders and additional sentiment datasets</t>
        </is>
      </c>
      <c r="L381" s="3" t="inlineStr">
        <is>
          <t>Quantification-specific SVM(KLD) usually produces substantially better sentiment-prevalence estimates than classification-oriented SVM(HL).</t>
        </is>
      </c>
      <c r="M381" t="inlineStr">
        <is>
          <t>Directly demonstrates on tweet sentiment that optimising individual classification and optimising aggregate prevalence are distinct objectives.</t>
        </is>
      </c>
      <c r="O381" s="3" t="inlineStr">
        <is>
          <t>Published</t>
        </is>
      </c>
      <c r="P381" s="12" t="n">
        <v>46304</v>
      </c>
      <c r="Q381" s="3" t="n"/>
      <c r="R381" s="3" t="inlineStr">
        <is>
          <t>Table 2; SVM(KLD) versus classification-oriented SVM(HL) across multiple tweet-sentiment datasets using prevalence-error metrics.</t>
        </is>
      </c>
      <c r="S381" s="3" t="inlineStr">
        <is>
          <t>N</t>
        </is>
      </c>
      <c r="T381" s="3" t="inlineStr">
        <is>
          <t>N</t>
        </is>
      </c>
      <c r="U381" s="3" t="inlineStr">
        <is>
          <t>Y</t>
        </is>
      </c>
    </row>
    <row r="382" ht="42.75" customHeight="1" s="18">
      <c r="A382" s="3" t="inlineStr">
        <is>
          <t>GZ-37</t>
        </is>
      </c>
      <c r="B382" s="3" t="inlineStr">
        <is>
          <t>B-ii</t>
        </is>
      </c>
      <c r="C382" s="3" t="inlineStr">
        <is>
          <t>Pablo González; Jorge Díez; Nitesh Chawla; Juan José del Coz</t>
        </is>
      </c>
      <c r="D382" s="4" t="n">
        <v>2017</v>
      </c>
      <c r="E382" s="3" t="inlineStr">
        <is>
          <t>Why is quantification an interesting learning problem?</t>
        </is>
      </c>
      <c r="F382" s="3" t="inlineStr">
        <is>
          <t>Journal article</t>
        </is>
      </c>
      <c r="G382" s="3" t="inlineStr">
        <is>
          <t>FT</t>
        </is>
      </c>
      <c r="H382" s="3" t="inlineStr">
        <is>
          <t>INCLUDE</t>
        </is>
      </c>
      <c r="I382" s="3" t="n"/>
      <c r="J382" s="3" t="inlineStr">
        <is>
          <t>Application</t>
        </is>
      </c>
      <c r="K382" s="3" t="inlineStr">
        <is>
          <t>Sentiment140; 1.6 million tweets; daily positive-sentiment prevalence</t>
        </is>
      </c>
      <c r="L382" s="3" t="inlineStr">
        <is>
          <t>Proper quantification algorithms track daily positive-sentiment prevalence much more accurately than ordinary classify-and-count.</t>
        </is>
      </c>
      <c r="M382" t="inlineStr">
        <is>
          <t>Provides an intuitive real-world demonstration that classifier accuracy does not guarantee accurate population-level sentiment estimates.</t>
        </is>
      </c>
      <c r="O382" s="3" t="inlineStr">
        <is>
          <t>Published</t>
        </is>
      </c>
      <c r="P382" s="12" t="n">
        <v>46304</v>
      </c>
      <c r="Q382" s="3" t="n"/>
      <c r="R382" s="3" t="inlineStr">
        <is>
          <t>§6/Fig.2; Sentiment140 1.6M tweets; first-day training then daily prevalence estimation using CC, AC, X, MS and Q2.</t>
        </is>
      </c>
      <c r="S382" s="3" t="inlineStr">
        <is>
          <t>Y</t>
        </is>
      </c>
      <c r="T382" s="3" t="inlineStr">
        <is>
          <t>N</t>
        </is>
      </c>
      <c r="U382" s="3" t="inlineStr">
        <is>
          <t>Y</t>
        </is>
      </c>
    </row>
    <row r="383" ht="28.5" customHeight="1" s="18">
      <c r="A383" s="3" t="inlineStr">
        <is>
          <t>GZ-39</t>
        </is>
      </c>
      <c r="B383" s="3" t="inlineStr">
        <is>
          <t>B-ii</t>
        </is>
      </c>
      <c r="C383" s="3" t="inlineStr">
        <is>
          <t>Vera Hofer</t>
        </is>
      </c>
      <c r="D383" s="4" t="n">
        <v>2015</v>
      </c>
      <c r="E383" s="3" t="inlineStr">
        <is>
          <t>Adapting a classification rule to local and global shift when only unlabelled data are available</t>
        </is>
      </c>
      <c r="F383" s="3" t="inlineStr">
        <is>
          <t>Journal article</t>
        </is>
      </c>
      <c r="G383" s="3" t="inlineStr">
        <is>
          <t>FT</t>
        </is>
      </c>
      <c r="H383" s="3" t="inlineStr">
        <is>
          <t>INCLUDE</t>
        </is>
      </c>
      <c r="I383" s="3" t="n"/>
      <c r="J383" s="3" t="inlineStr">
        <is>
          <t>Method</t>
        </is>
      </c>
      <c r="K383" s="3" t="inlineStr">
        <is>
          <t>Danish-company default-rate data; binary classification under temporal dataset shift</t>
        </is>
      </c>
      <c r="L383" s="3" t="inlineStr">
        <is>
          <t>The method estimates changed target class priors from unlabelled data jointly with local distribution movement, then updates the classification rule; adaptation improves classification performance.</t>
        </is>
      </c>
      <c r="M383" t="inlineStr">
        <is>
          <t>Extends prior-shift correction to settings where both class priors and class-conditional feature distributions can move.</t>
        </is>
      </c>
      <c r="O383" s="3" t="inlineStr">
        <is>
          <t>Published</t>
        </is>
      </c>
      <c r="P383" s="12" t="n">
        <v>46304</v>
      </c>
      <c r="Q383" s="3" t="n"/>
      <c r="R383" s="3" t="inlineStr">
        <is>
          <t>§3–4; two-step optimisation estimates changed class prior from unlabelled target data and updates classifier; Danish default-rate evaluation.</t>
        </is>
      </c>
      <c r="S383" s="3" t="inlineStr">
        <is>
          <t>N</t>
        </is>
      </c>
      <c r="T383" s="3" t="inlineStr">
        <is>
          <t>Y</t>
        </is>
      </c>
      <c r="U383" s="3" t="inlineStr">
        <is>
          <t>N</t>
        </is>
      </c>
    </row>
    <row r="384" ht="28.5" customHeight="1" s="18">
      <c r="A384" s="3" t="inlineStr">
        <is>
          <t>GZ-40</t>
        </is>
      </c>
      <c r="B384" s="3" t="inlineStr">
        <is>
          <t>B-ii</t>
        </is>
      </c>
      <c r="C384" s="3" t="inlineStr">
        <is>
          <t>Vera Hofer; Georg Krempl</t>
        </is>
      </c>
      <c r="D384" s="4" t="n">
        <v>2013</v>
      </c>
      <c r="E384" s="3" t="inlineStr">
        <is>
          <t>Drift mining in data: A framework for addressing drift in classification</t>
        </is>
      </c>
      <c r="F384" s="3" t="inlineStr">
        <is>
          <t>Journal article</t>
        </is>
      </c>
      <c r="G384" s="3" t="inlineStr">
        <is>
          <t>FT</t>
        </is>
      </c>
      <c r="H384" s="3" t="inlineStr">
        <is>
          <t>INCLUDE</t>
        </is>
      </c>
      <c r="I384" s="3" t="n"/>
      <c r="J384" s="3" t="inlineStr">
        <is>
          <t>Method</t>
        </is>
      </c>
      <c r="K384" s="3" t="inlineStr">
        <is>
          <t>Credit-scoring data under temporal population drift</t>
        </is>
      </c>
      <c r="L384" s="3" t="inlineStr">
        <is>
          <t>Estimates changed class priors from unlabelled target data by fitting mixtures of historical class-conditional distributions using least squares.</t>
        </is>
      </c>
      <c r="M384" t="inlineStr">
        <is>
          <t>Provides a direct class-prior estimator under verification latency and benchmarks it against Adjusted Count, Median Sweep and Saerens-style EM.</t>
        </is>
      </c>
      <c r="O384" s="3" t="inlineStr">
        <is>
          <t>Published</t>
        </is>
      </c>
      <c r="P384" s="12" t="n">
        <v>46304</v>
      </c>
      <c r="Q384" s="3" t="n"/>
      <c r="R384" s="3" t="inlineStr">
        <is>
          <t>§3–6, Table 3; class priors estimated from unlabelled data by least squares; compared with Saerens EM, Adjusted Count and Median Sweep.</t>
        </is>
      </c>
      <c r="S384" s="3" t="inlineStr">
        <is>
          <t>Y</t>
        </is>
      </c>
      <c r="T384" s="3" t="inlineStr">
        <is>
          <t>Y</t>
        </is>
      </c>
      <c r="U384" s="3" t="inlineStr">
        <is>
          <t>N</t>
        </is>
      </c>
    </row>
    <row r="385" ht="28.5" customHeight="1" s="18">
      <c r="A385" s="3" t="inlineStr">
        <is>
          <t>GZ-41</t>
        </is>
      </c>
      <c r="B385" s="3" t="inlineStr">
        <is>
          <t>B-ii</t>
        </is>
      </c>
      <c r="C385" s="3" t="inlineStr">
        <is>
          <t>Daniel J. Hopkins; Gary King</t>
        </is>
      </c>
      <c r="D385" s="4" t="n">
        <v>2010</v>
      </c>
      <c r="E385" s="3" t="inlineStr">
        <is>
          <t>A method of automated nonparametric content analysis for social science</t>
        </is>
      </c>
      <c r="F385" s="3" t="inlineStr">
        <is>
          <t>Journal article</t>
        </is>
      </c>
      <c r="G385" s="3" t="inlineStr">
        <is>
          <t>FT</t>
        </is>
      </c>
      <c r="H385" s="3" t="inlineStr">
        <is>
          <t>INCLUDE</t>
        </is>
      </c>
      <c r="I385" s="3" t="n"/>
      <c r="J385" s="3" t="inlineStr">
        <is>
          <t>Method</t>
        </is>
      </c>
      <c r="K385" s="3" t="inlineStr">
        <is>
          <t>Unstructured text including blogs, congressional speeches and newspaper editorials; blog validation includes 4,303 posts</t>
        </is>
      </c>
      <c r="L385" s="3" t="inlineStr">
        <is>
          <t>Directly estimates population document-category proportions rather than individual labels and substantially reduces proportion error relative to aggregated SVM classification.</t>
        </is>
      </c>
      <c r="M385" t="inlineStr">
        <is>
          <t>Important social-science text quantification method showing that high individual classification accuracy does not guarantee accurate prevalence estimates.</t>
        </is>
      </c>
      <c r="O385" s="3" t="inlineStr">
        <is>
          <t>Published</t>
        </is>
      </c>
      <c r="P385" s="12" t="n">
        <v>46304</v>
      </c>
      <c r="Q385" s="3" t="n"/>
      <c r="R385" s="3" t="inlineStr">
        <is>
          <t>Empirical Evidence/Table 1; nonparametric estimator directly estimates document-category frequencies and is validated on 4,303 blog posts and other text corpora.</t>
        </is>
      </c>
      <c r="S385" s="3" t="inlineStr">
        <is>
          <t>N</t>
        </is>
      </c>
      <c r="T385" s="3" t="inlineStr">
        <is>
          <t>N</t>
        </is>
      </c>
      <c r="U385" s="3" t="inlineStr">
        <is>
          <t>Y</t>
        </is>
      </c>
    </row>
    <row r="386" ht="28.5" customHeight="1" s="18">
      <c r="A386" s="3" t="inlineStr">
        <is>
          <t>GZ-43</t>
        </is>
      </c>
      <c r="B386" s="3" t="inlineStr">
        <is>
          <t>B-ii</t>
        </is>
      </c>
      <c r="C386" s="3" t="inlineStr">
        <is>
          <t>Arun Iyer; Saketha Nath; Sunita Sarawagi</t>
        </is>
      </c>
      <c r="D386" s="4" t="n">
        <v>2014</v>
      </c>
      <c r="E386" s="3" t="inlineStr">
        <is>
          <t>Maximum mean discrepancy for class ratio estimation: Convergence bounds and kernel selection</t>
        </is>
      </c>
      <c r="F386" s="3" t="inlineStr">
        <is>
          <t>Conference paper</t>
        </is>
      </c>
      <c r="G386" s="3" t="inlineStr">
        <is>
          <t>FT</t>
        </is>
      </c>
      <c r="H386" s="3" t="inlineStr">
        <is>
          <t>INCLUDE</t>
        </is>
      </c>
      <c r="I386" s="3" t="n"/>
      <c r="J386" s="3" t="inlineStr">
        <is>
          <t>Method</t>
        </is>
      </c>
      <c r="K386" s="3" t="inlineStr">
        <is>
          <t>UCI-style benchmark datasets, YouTube comments and multiclass datasets under varied target class ratios</t>
        </is>
      </c>
      <c r="L386" s="3" t="inlineStr">
        <is>
          <t>MMD-based estimators directly recover target class ratios; kernel learning improves robustness across changing prevalences and training sizes.</t>
        </is>
      </c>
      <c r="M386" t="inlineStr">
        <is>
          <t>Develops direct distribution-matching prevalence estimation and empirically contrasts it with per-instance aggregation and the Saerens EM approach.</t>
        </is>
      </c>
      <c r="O386" s="3" t="inlineStr">
        <is>
          <t>Published</t>
        </is>
      </c>
      <c r="P386" s="12" t="n">
        <v>46304</v>
      </c>
      <c r="Q386" s="3" t="n"/>
      <c r="R386" s="3" t="inlineStr">
        <is>
          <t>§2–5; estimates class-ratio vector of unlabelled data using MMD; experiments include YouTube comments and multiple benchmark datasets.</t>
        </is>
      </c>
      <c r="S386" s="3" t="inlineStr">
        <is>
          <t>N</t>
        </is>
      </c>
      <c r="T386" s="3" t="inlineStr">
        <is>
          <t>Y</t>
        </is>
      </c>
      <c r="U386" s="3" t="inlineStr">
        <is>
          <t>Y</t>
        </is>
      </c>
    </row>
    <row r="387" ht="42.75" customHeight="1" s="18">
      <c r="A387" s="3" t="inlineStr">
        <is>
          <t>GZ-45</t>
        </is>
      </c>
      <c r="B387" s="3" t="inlineStr">
        <is>
          <t>B-ii</t>
        </is>
      </c>
      <c r="C387" s="3" t="inlineStr">
        <is>
          <t>Hideko Kawakubo; Marthinus Christoffel Du Plessis; Masashi Sugiyama</t>
        </is>
      </c>
      <c r="D387" s="4" t="n">
        <v>2016</v>
      </c>
      <c r="E387" s="3" t="inlineStr">
        <is>
          <t>Computationally efficient class-prior estimation under class balance change using energy distance</t>
        </is>
      </c>
      <c r="F387" s="3" t="inlineStr">
        <is>
          <t>Journal article</t>
        </is>
      </c>
      <c r="G387" s="3" t="inlineStr">
        <is>
          <t>FT</t>
        </is>
      </c>
      <c r="H387" s="3" t="inlineStr">
        <is>
          <t>INCLUDE</t>
        </is>
      </c>
      <c r="I387" s="3" t="n"/>
      <c r="J387" s="3" t="inlineStr">
        <is>
          <t>Method</t>
        </is>
      </c>
      <c r="K387" s="3" t="inlineStr">
        <is>
          <t>Synthetic and benchmark binary/multiclass classification datasets under class-balance change</t>
        </is>
      </c>
      <c r="L387" s="3" t="inlineStr">
        <is>
          <t>Energy-distance mixture fitting estimates unknown test class priors with accuracy comparable to stronger baselines but substantially lower computation time.</t>
        </is>
      </c>
      <c r="M387" t="inlineStr">
        <is>
          <t>Provides a computationally efficient alternative to EM, divergence and MMD-based class-prior estimation.</t>
        </is>
      </c>
      <c r="O387" s="3" t="inlineStr">
        <is>
          <t>Published</t>
        </is>
      </c>
      <c r="P387" s="12" t="n">
        <v>46304</v>
      </c>
      <c r="Q387" s="3" t="n"/>
      <c r="R387" s="3" t="inlineStr">
        <is>
          <t>§5; estimates target class priors from labelled training and unlabelled test samples; binary and multiclass benchmark experiments.</t>
        </is>
      </c>
      <c r="S387" s="3" t="inlineStr">
        <is>
          <t>N</t>
        </is>
      </c>
      <c r="T387" s="3" t="inlineStr">
        <is>
          <t>Y</t>
        </is>
      </c>
      <c r="U387" s="3" t="inlineStr">
        <is>
          <t>N</t>
        </is>
      </c>
    </row>
    <row r="388" ht="42.75" customHeight="1" s="18">
      <c r="A388" s="3" t="inlineStr">
        <is>
          <t>GZ-46</t>
        </is>
      </c>
      <c r="B388" s="3" t="inlineStr">
        <is>
          <t>B-ii</t>
        </is>
      </c>
      <c r="C388" s="3" t="inlineStr">
        <is>
          <t>Gary King; Ying Lu</t>
        </is>
      </c>
      <c r="D388" s="4" t="n">
        <v>2008</v>
      </c>
      <c r="E388" s="3" t="inlineStr">
        <is>
          <t>Verbal autopsy methods with multiple causes of death</t>
        </is>
      </c>
      <c r="F388" s="3" t="inlineStr">
        <is>
          <t>Journal article</t>
        </is>
      </c>
      <c r="G388" s="3" t="inlineStr">
        <is>
          <t>FT</t>
        </is>
      </c>
      <c r="H388" s="3" t="inlineStr">
        <is>
          <t>INCLUDE</t>
        </is>
      </c>
      <c r="I388" s="3" t="n"/>
      <c r="J388" s="3" t="inlineStr">
        <is>
          <t>Method</t>
        </is>
      </c>
      <c r="K388" s="3" t="inlineStr">
        <is>
          <t>Verbal-autopsy symptom data; empirical analyses from China and Tanzania</t>
        </is>
      </c>
      <c r="L388" s="3" t="inlineStr">
        <is>
          <t>Directly estimates population cause-of-death proportions from symptom distributions without requiring individual cause classification.</t>
        </is>
      </c>
      <c r="M388" t="inlineStr">
        <is>
          <t>Demonstrates aggregate prevalence estimation in a high-stakes application where the population labels themselves are unavailable.</t>
        </is>
      </c>
      <c r="O388" s="3" t="inlineStr">
        <is>
          <t>Published</t>
        </is>
      </c>
      <c r="P388" s="12" t="n">
        <v>46304</v>
      </c>
      <c r="Q388" s="3" t="n"/>
      <c r="R388" s="3" t="inlineStr">
        <is>
          <t>§5–6; solves P(S)=P(S|D)P(D) directly for the population cause distribution; validated using China and Tanzania data.</t>
        </is>
      </c>
      <c r="S388" s="3" t="inlineStr">
        <is>
          <t>N</t>
        </is>
      </c>
      <c r="T388" s="3" t="inlineStr">
        <is>
          <t>N</t>
        </is>
      </c>
      <c r="U388" s="3" t="inlineStr">
        <is>
          <t>N</t>
        </is>
      </c>
    </row>
    <row r="389" ht="28.5" customHeight="1" s="18">
      <c r="A389" s="3" t="inlineStr">
        <is>
          <t>GZ-49</t>
        </is>
      </c>
      <c r="B389" s="3" t="inlineStr">
        <is>
          <t>B-ii</t>
        </is>
      </c>
      <c r="C389" s="3" t="inlineStr">
        <is>
          <t>Giovanni Da San Martino; Wei Gao; Fabrizio Sebastiani</t>
        </is>
      </c>
      <c r="D389" s="4" t="n">
        <v>2016</v>
      </c>
      <c r="E389" s="3" t="inlineStr">
        <is>
          <t>Ordinal Text Quantification</t>
        </is>
      </c>
      <c r="F389" s="3" t="inlineStr">
        <is>
          <t>Conference paper</t>
        </is>
      </c>
      <c r="G389" s="3" t="inlineStr">
        <is>
          <t>FT</t>
        </is>
      </c>
      <c r="H389" s="3" t="inlineStr">
        <is>
          <t>INCLUDE</t>
        </is>
      </c>
      <c r="I389" s="3" t="n"/>
      <c r="J389" s="3" t="inlineStr">
        <is>
          <t>Method</t>
        </is>
      </c>
      <c r="K389" s="3" t="inlineStr">
        <is>
          <t>SemEval-2016 Twitter sentiment; 6,000 TRAIN, 2,000 DEV and 2,000 DEVTEST tweets</t>
        </is>
      </c>
      <c r="L389" s="3" t="inlineStr">
        <is>
          <t>Introduces ordinal quantification trees for directly estimating ordered sentiment-class prevalences; the system ranked first in SemEval ordinal tweet quantification.</t>
        </is>
      </c>
      <c r="M389" t="inlineStr">
        <is>
          <t>Extends prevalence estimation to ordered sentiment categories and provides direct social-media evidence.</t>
        </is>
      </c>
      <c r="O389" s="3" t="inlineStr">
        <is>
          <t>Published</t>
        </is>
      </c>
      <c r="P389" s="12" t="n">
        <v>46304</v>
      </c>
      <c r="Q389" s="3" t="n"/>
      <c r="R389" s="3" t="inlineStr">
        <is>
          <t>§2–3, Table 1; OQT estimates ordered sentiment prevalence on SemEval tweets and is compared with PCC, CC and ACC.</t>
        </is>
      </c>
      <c r="S389" s="3" t="inlineStr">
        <is>
          <t>Y</t>
        </is>
      </c>
      <c r="T389" s="3" t="inlineStr">
        <is>
          <t>N</t>
        </is>
      </c>
      <c r="U389" s="3" t="inlineStr">
        <is>
          <t>Y</t>
        </is>
      </c>
    </row>
    <row r="390" ht="28.5" customHeight="1" s="18">
      <c r="A390" s="3" t="inlineStr">
        <is>
          <t>GZ-50</t>
        </is>
      </c>
      <c r="B390" s="3" t="inlineStr">
        <is>
          <t>B-ii</t>
        </is>
      </c>
      <c r="C390" s="3" t="inlineStr">
        <is>
          <t>Giovanni Da San Martino; Wei Gao; Fabrizio Sebastiani</t>
        </is>
      </c>
      <c r="D390" s="4" t="n">
        <v>2016</v>
      </c>
      <c r="E390" s="3" t="inlineStr">
        <is>
          <t>QCRI at SemEval-2016 Task 4: Probabilistic methods for binary and ordinal quantification</t>
        </is>
      </c>
      <c r="F390" s="3" t="inlineStr">
        <is>
          <t>Conference paper</t>
        </is>
      </c>
      <c r="G390" s="3" t="inlineStr">
        <is>
          <t>FT</t>
        </is>
      </c>
      <c r="H390" s="3" t="inlineStr">
        <is>
          <t>INCLUDE</t>
        </is>
      </c>
      <c r="I390" s="3" t="n"/>
      <c r="J390" s="3" t="inlineStr">
        <is>
          <t>Application</t>
        </is>
      </c>
      <c r="K390" s="3" t="inlineStr">
        <is>
          <t>SemEval-2016 Twitter sentiment; binary and five-point ordinal quantification</t>
        </is>
      </c>
      <c r="L390" s="3" t="inlineStr">
        <is>
          <t>Uses PCC for binary sentiment prevalence and an ordinal tree of probabilistic quantifiers; preliminary comparisons include ACC, PACC and EMQ.</t>
        </is>
      </c>
      <c r="M390" t="inlineStr">
        <is>
          <t>Shows operational application of multiple prevalence estimators, including ACC and Saerens-style EM, on short social-media text.</t>
        </is>
      </c>
      <c r="O390" s="3" t="inlineStr">
        <is>
          <t>Published</t>
        </is>
      </c>
      <c r="P390" s="12" t="n">
        <v>46304</v>
      </c>
      <c r="Q390" s="3" t="n"/>
      <c r="R390" s="3" t="inlineStr">
        <is>
          <t>§3–4, Table 1; tweet quantification compares CC, PCC, ACC, PACC, EMQ and direct quantifiers; final systems estimate sentiment prevalence.</t>
        </is>
      </c>
      <c r="S390" s="3" t="inlineStr">
        <is>
          <t>Y</t>
        </is>
      </c>
      <c r="T390" s="3" t="inlineStr">
        <is>
          <t>Y</t>
        </is>
      </c>
      <c r="U390" s="3" t="inlineStr">
        <is>
          <t>Y</t>
        </is>
      </c>
    </row>
    <row r="391" ht="57" customHeight="1" s="18">
      <c r="A391" s="3" t="inlineStr">
        <is>
          <t>GZ-51</t>
        </is>
      </c>
      <c r="B391" s="3" t="inlineStr">
        <is>
          <t>B-ii</t>
        </is>
      </c>
      <c r="C391" s="3" t="inlineStr">
        <is>
          <t>Letizia Milli; Anna Monreale; Giulio Rossetti; Fosca Giannotti; Dino Pedreschi; Fabrizio Sebastiani</t>
        </is>
      </c>
      <c r="D391" s="4" t="n">
        <v>2013</v>
      </c>
      <c r="E391" s="3" t="inlineStr">
        <is>
          <t>Quantification trees</t>
        </is>
      </c>
      <c r="F391" s="3" t="inlineStr">
        <is>
          <t>Conference paper</t>
        </is>
      </c>
      <c r="G391" s="3" t="inlineStr">
        <is>
          <t>FT</t>
        </is>
      </c>
      <c r="H391" s="3" t="inlineStr">
        <is>
          <t>INCLUDE</t>
        </is>
      </c>
      <c r="I391" s="3" t="n"/>
      <c r="J391" s="3" t="inlineStr">
        <is>
          <t>Method</t>
        </is>
      </c>
      <c r="K391" s="3" t="inlineStr">
        <is>
          <t>Adult and Bank benchmark datasets under manipulated train/test prevalence</t>
        </is>
      </c>
      <c r="L391" s="3" t="inlineStr">
        <is>
          <t>Decision trees optimised directly for quantification improve prevalence estimation, especially when paired with Adjusted Count post-processing.</t>
        </is>
      </c>
      <c r="M391" t="inlineStr">
        <is>
          <t>Shows that quantification objectives can be incorporated into model learning rather than only correcting an ordinary classifier afterwards.</t>
        </is>
      </c>
      <c r="O391" s="3" t="inlineStr">
        <is>
          <t>Published</t>
        </is>
      </c>
      <c r="P391" s="12" t="n">
        <v>46304</v>
      </c>
      <c r="Q391" s="3" t="n"/>
      <c r="R391" s="3" t="inlineStr">
        <is>
          <t>§III–V; decision-tree quantifiers estimate test prevalence; Adult/Bank experiments compare CC and Adjusted Count variants.</t>
        </is>
      </c>
      <c r="S391" s="3" t="inlineStr">
        <is>
          <t>Y</t>
        </is>
      </c>
      <c r="T391" s="3" t="inlineStr">
        <is>
          <t>N</t>
        </is>
      </c>
      <c r="U391" s="3" t="inlineStr">
        <is>
          <t>N</t>
        </is>
      </c>
    </row>
    <row r="392" ht="57" customHeight="1" s="18">
      <c r="A392" s="3" t="inlineStr">
        <is>
          <t>GZ-52</t>
        </is>
      </c>
      <c r="B392" s="3" t="inlineStr">
        <is>
          <t>B-ii</t>
        </is>
      </c>
      <c r="C392" s="3" t="inlineStr">
        <is>
          <t>Letizia Milli; Anna Monreale; Giulio Rossetti; Dino Pedreschi; Fosca Giannotti; Fabrizio Sebastiani</t>
        </is>
      </c>
      <c r="D392" s="4" t="n">
        <v>2015</v>
      </c>
      <c r="E392" s="3" t="inlineStr">
        <is>
          <t>Quantification in social networks</t>
        </is>
      </c>
      <c r="F392" s="3" t="inlineStr">
        <is>
          <t>Conference paper</t>
        </is>
      </c>
      <c r="G392" s="3" t="inlineStr">
        <is>
          <t>FT</t>
        </is>
      </c>
      <c r="H392" s="3" t="inlineStr">
        <is>
          <t>INCLUDE</t>
        </is>
      </c>
      <c r="I392" s="3" t="n"/>
      <c r="J392" s="3" t="inlineStr">
        <is>
          <t>Method</t>
        </is>
      </c>
      <c r="K392" s="3" t="inlineStr">
        <is>
          <t>CoRA, IMDb and Google+ network datasets; class-prevalence estimation over partially labelled networks</t>
        </is>
      </c>
      <c r="L392" s="3" t="inlineStr">
        <is>
          <t>Proposes community- and ego-network-based quantifiers that exploit homophily to estimate class distributions among unlabelled nodes; ego-network approaches generally outperform sampling and existing network quantification baselines.</t>
        </is>
      </c>
      <c r="M392" t="inlineStr">
        <is>
          <t>Extends quantification from independent attribute data to relational network data, directly estimating aggregate class prevalence rather than optimising individual-node classification.</t>
        </is>
      </c>
      <c r="O392" s="3" t="inlineStr">
        <is>
          <t>Published</t>
        </is>
      </c>
      <c r="P392" s="12" t="n">
        <v>46304</v>
      </c>
      <c r="Q392" s="3" t="n"/>
      <c r="R392" s="3" t="inlineStr">
        <is>
          <t>§III–VI; formalises network quantification as estimating class frequencies in unlabelled nodes, evaluates community/ego-network methods with CC and Adjusted Classify &amp; Count on CoRA, IMDb and Google+.</t>
        </is>
      </c>
      <c r="S392" s="3" t="inlineStr">
        <is>
          <t>Y</t>
        </is>
      </c>
      <c r="T392" s="3" t="inlineStr">
        <is>
          <t>N</t>
        </is>
      </c>
      <c r="U392" s="3" t="inlineStr">
        <is>
          <t>N</t>
        </is>
      </c>
    </row>
    <row r="393" ht="57" customHeight="1" s="18">
      <c r="A393" s="3" t="inlineStr">
        <is>
          <t>GZ-54</t>
        </is>
      </c>
      <c r="B393" s="3" t="inlineStr">
        <is>
          <t>B-ii</t>
        </is>
      </c>
      <c r="C393" s="3" t="inlineStr">
        <is>
          <t>Harikrishna Narasimhan; Shuai Li; Purushottam Kar; Sanjay Chawla; Fabrizio Sebastiani</t>
        </is>
      </c>
      <c r="D393" s="4" t="n">
        <v>2016</v>
      </c>
      <c r="E393" s="3" t="inlineStr">
        <is>
          <t>Stochastic optimization techniques for quantification performance measures</t>
        </is>
      </c>
      <c r="F393" s="3" t="inlineStr">
        <is>
          <t>Unpublished</t>
        </is>
      </c>
      <c r="G393" s="3" t="inlineStr">
        <is>
          <t>FT</t>
        </is>
      </c>
      <c r="H393" s="3" t="inlineStr">
        <is>
          <t>INCLUDE</t>
        </is>
      </c>
      <c r="I393" s="3" t="n"/>
      <c r="J393" s="3" t="inlineStr">
        <is>
          <t>Method</t>
        </is>
      </c>
      <c r="K393" s="3" t="inlineStr">
        <is>
          <t>Multiple benchmark and real-world binary datasets under distribution shift</t>
        </is>
      </c>
      <c r="L393" s="3" t="inlineStr">
        <is>
          <t>Introduces scalable stochastic algorithms that directly optimise quantification or hybrid classification-quantification objectives and outperform earlier optimisation approaches.</t>
        </is>
      </c>
      <c r="M393" t="inlineStr">
        <is>
          <t>Extends direct prevalence-oriented learning to computationally scalable stochastic optimisation.</t>
        </is>
      </c>
      <c r="O393" s="3" t="inlineStr">
        <is>
          <t>Preprint</t>
        </is>
      </c>
      <c r="P393" s="12" t="n">
        <v>46304</v>
      </c>
      <c r="Q393" s="3" t="n"/>
      <c r="R393" s="3" t="inlineStr">
        <is>
          <t>Abstract/experiments; directly optimises quantification loss and evaluates prevalence estimation across benchmark and real datasets.</t>
        </is>
      </c>
      <c r="S393" s="3" t="inlineStr">
        <is>
          <t>N</t>
        </is>
      </c>
      <c r="T393" s="3" t="inlineStr">
        <is>
          <t>N</t>
        </is>
      </c>
      <c r="U393" s="3" t="inlineStr">
        <is>
          <t>N</t>
        </is>
      </c>
    </row>
    <row r="394" ht="42.75" customHeight="1" s="18">
      <c r="A394" s="3" t="inlineStr">
        <is>
          <t>GZ-56</t>
        </is>
      </c>
      <c r="B394" s="3" t="inlineStr">
        <is>
          <t>B-ii</t>
        </is>
      </c>
      <c r="C394" s="3" t="inlineStr">
        <is>
          <t>Pablo Pérez-Gállego; José Ramón Quevedo; Juan José del Coz</t>
        </is>
      </c>
      <c r="D394" s="4" t="n">
        <v>2017</v>
      </c>
      <c r="E394" s="3" t="inlineStr">
        <is>
          <t>Using ensembles for problems with characterizable changes in data distribution: A case study on quantification</t>
        </is>
      </c>
      <c r="F394" s="3" t="inlineStr">
        <is>
          <t>Journal article</t>
        </is>
      </c>
      <c r="G394" s="3" t="inlineStr">
        <is>
          <t>FT</t>
        </is>
      </c>
      <c r="H394" s="3" t="inlineStr">
        <is>
          <t>INCLUDE</t>
        </is>
      </c>
      <c r="I394" s="3" t="n"/>
      <c r="J394" s="3" t="inlineStr">
        <is>
          <t>Method</t>
        </is>
      </c>
      <c r="K394" s="3" t="inlineStr">
        <is>
          <t>Binary benchmark quantification datasets with deliberately varied training prevalences</t>
        </is>
      </c>
      <c r="L394" s="3" t="inlineStr">
        <is>
          <t>Ensemble versions of quantifiers trained across expected prevalence conditions outperform their single-model counterparts under distribution change.</t>
        </is>
      </c>
      <c r="M394" t="inlineStr">
        <is>
          <t>Shows that anticipated prior shift can be incorporated into ensemble construction to improve prevalence estimation robustness.</t>
        </is>
      </c>
      <c r="O394" s="3" t="inlineStr">
        <is>
          <t>Published</t>
        </is>
      </c>
      <c r="P394" s="12" t="n">
        <v>46304</v>
      </c>
      <c r="Q394" s="3" t="n"/>
      <c r="R394" s="3" t="inlineStr">
        <is>
          <t>§3–5; ensemble quantifiers evaluated against CC, Adjusted Count and HDy under changing class distributions.</t>
        </is>
      </c>
      <c r="S394" s="3" t="inlineStr">
        <is>
          <t>Y</t>
        </is>
      </c>
      <c r="T394" s="3" t="inlineStr">
        <is>
          <t>N</t>
        </is>
      </c>
      <c r="U394" s="3" t="inlineStr">
        <is>
          <t>N</t>
        </is>
      </c>
    </row>
    <row r="395" ht="28.5" customHeight="1" s="18">
      <c r="A395" s="3" t="inlineStr">
        <is>
          <t>GZ-61</t>
        </is>
      </c>
      <c r="B395" s="3" t="inlineStr">
        <is>
          <t>B-ii</t>
        </is>
      </c>
      <c r="C395" s="3" t="inlineStr">
        <is>
          <t>Andrew Solow; Cabell Davis; Qiao Hu</t>
        </is>
      </c>
      <c r="D395" s="4" t="n">
        <v>2001</v>
      </c>
      <c r="E395" s="3" t="inlineStr">
        <is>
          <t>Estimating the taxonomic composition of a sample when individuals are classified with error</t>
        </is>
      </c>
      <c r="F395" s="3" t="inlineStr">
        <is>
          <t>Journal article</t>
        </is>
      </c>
      <c r="G395" s="3" t="inlineStr">
        <is>
          <t>FT</t>
        </is>
      </c>
      <c r="H395" s="3" t="inlineStr">
        <is>
          <t>INCLUDE</t>
        </is>
      </c>
      <c r="I395" s="3" t="n"/>
      <c r="J395" s="3" t="inlineStr">
        <is>
          <t>Method</t>
        </is>
      </c>
      <c r="K395" s="3" t="inlineStr">
        <is>
          <t>Video Plankton Recorder taxonomic-classification data</t>
        </is>
      </c>
      <c r="L395" s="3" t="inlineStr">
        <is>
          <t>Corrects observed taxonomic counts using known classifier misclassification probabilities to estimate the true taxonomic composition of a sample.</t>
        </is>
      </c>
      <c r="M395" t="inlineStr">
        <is>
          <t>Early direct example of recovering population class proportions from systematically misclassified individual predictions.</t>
        </is>
      </c>
      <c r="O395" s="3" t="inlineStr">
        <is>
          <t>Published</t>
        </is>
      </c>
      <c r="P395" s="12" t="n">
        <v>46304</v>
      </c>
      <c r="Q395" s="3" t="n"/>
      <c r="R395" s="3" t="inlineStr">
        <is>
          <t>Method; estimates unknown true taxon counts from observed classified counts and classifier-error probabilities; illustrated with plankton data.</t>
        </is>
      </c>
      <c r="S395" s="3" t="inlineStr">
        <is>
          <t>N</t>
        </is>
      </c>
      <c r="T395" s="3" t="inlineStr">
        <is>
          <t>N</t>
        </is>
      </c>
      <c r="U395" s="3" t="inlineStr">
        <is>
          <t>N</t>
        </is>
      </c>
    </row>
    <row r="396" ht="42.75" customHeight="1" s="18">
      <c r="A396" s="3" t="inlineStr">
        <is>
          <t>GZ-67</t>
        </is>
      </c>
      <c r="B396" s="3" t="inlineStr">
        <is>
          <t>B-ii</t>
        </is>
      </c>
      <c r="C396" s="3" t="inlineStr">
        <is>
          <t>Masashi Sugiyama; Makoto Yamada; Marthinus Christoffel du Plessis</t>
        </is>
      </c>
      <c r="D396" s="4" t="n">
        <v>2013</v>
      </c>
      <c r="E396" s="3" t="inlineStr">
        <is>
          <t>Learning under nonstationarity: Covariate shift and class-balance change</t>
        </is>
      </c>
      <c r="F396" s="3" t="inlineStr">
        <is>
          <t>Journal article</t>
        </is>
      </c>
      <c r="G396" s="3" t="inlineStr">
        <is>
          <t>FT</t>
        </is>
      </c>
      <c r="H396" s="3" t="inlineStr">
        <is>
          <t>INCLUDE</t>
        </is>
      </c>
      <c r="I396" s="3" t="n"/>
      <c r="J396" s="3" t="inlineStr">
        <is>
          <t>Review/benchmark</t>
        </is>
      </c>
      <c r="K396" s="3" t="inlineStr">
        <is>
          <t>Distribution-shift and class-balance-change literature; labelled training plus unlabelled target data</t>
        </is>
      </c>
      <c r="L396" s="3" t="inlineStr">
        <is>
          <t>Reviews semi-supervised adaptation for changing class priors and covariate distributions, particularly importance-weighting and class-balance estimation approaches.</t>
        </is>
      </c>
      <c r="M396" t="inlineStr">
        <is>
          <t>Provides a synthesis connecting class-prior estimation to adaptation under nonstationary deployment distributions.</t>
        </is>
      </c>
      <c r="O396" s="3" t="inlineStr">
        <is>
          <t>Published</t>
        </is>
      </c>
      <c r="P396" s="12" t="n">
        <v>46304</v>
      </c>
      <c r="Q396" s="3" t="n"/>
      <c r="R396" s="3" t="inlineStr">
        <is>
          <t>Advanced Review; reviews class-balance change where target class priors differ and unlabelled target inputs are available.</t>
        </is>
      </c>
      <c r="S396" s="3" t="inlineStr">
        <is>
          <t>N</t>
        </is>
      </c>
      <c r="T396" s="3" t="inlineStr">
        <is>
          <t>N</t>
        </is>
      </c>
      <c r="U396" s="3" t="inlineStr">
        <is>
          <t>N</t>
        </is>
      </c>
    </row>
    <row r="397" ht="57" customHeight="1" s="18">
      <c r="A397" s="3" t="inlineStr">
        <is>
          <t>GZ-68</t>
        </is>
      </c>
      <c r="B397" s="3" t="inlineStr">
        <is>
          <t>B-ii</t>
        </is>
      </c>
      <c r="C397" s="3" t="inlineStr">
        <is>
          <t>Lei Tang; Huiji Gao; Huan Liu</t>
        </is>
      </c>
      <c r="D397" s="4" t="n">
        <v>2010</v>
      </c>
      <c r="E397" s="3" t="inlineStr">
        <is>
          <t>Network quantification despite biased labels</t>
        </is>
      </c>
      <c r="F397" s="3" t="inlineStr">
        <is>
          <t>Conference paper</t>
        </is>
      </c>
      <c r="G397" s="3" t="inlineStr">
        <is>
          <t>FT</t>
        </is>
      </c>
      <c r="H397" s="3" t="inlineStr">
        <is>
          <t>INCLUDE</t>
        </is>
      </c>
      <c r="I397" s="3" t="n"/>
      <c r="J397" s="3" t="inlineStr">
        <is>
          <t>Method</t>
        </is>
      </c>
      <c r="K397" s="3" t="inlineStr">
        <is>
          <t>Relational/network datasets with biased labelled samples</t>
        </is>
      </c>
      <c r="L397" s="3" t="inlineStr">
        <is>
          <t>Develops classification-based and link-based methods for estimating class prevalence in networks; Median Sweep performs best among evaluated quantifiers.</t>
        </is>
      </c>
      <c r="M397" t="inlineStr">
        <is>
          <t>Extends prevalence estimation to network data where ordinary random-sample and independent-instance assumptions are violated.</t>
        </is>
      </c>
      <c r="O397" s="3" t="inlineStr">
        <is>
          <t>Published</t>
        </is>
      </c>
      <c r="P397" s="12" t="n">
        <v>46304</v>
      </c>
      <c r="Q397" s="3" t="n"/>
      <c r="R397" s="3" t="inlineStr">
        <is>
          <t>§2, §6; estimates network class prevalence; experiments compare CC, adjusted/probabilistic methods, Median Sweep and link-based quantification.</t>
        </is>
      </c>
      <c r="S397" s="3" t="inlineStr">
        <is>
          <t>Y</t>
        </is>
      </c>
      <c r="T397" s="3" t="inlineStr">
        <is>
          <t>N</t>
        </is>
      </c>
      <c r="U397" s="3" t="inlineStr">
        <is>
          <t>N</t>
        </is>
      </c>
    </row>
    <row r="398" ht="57" customHeight="1" s="18">
      <c r="A398" s="3" t="inlineStr">
        <is>
          <t>GZ-69</t>
        </is>
      </c>
      <c r="B398" s="3" t="inlineStr">
        <is>
          <t>B-ii</t>
        </is>
      </c>
      <c r="C398" s="3" t="inlineStr">
        <is>
          <t>Dirk Tasche</t>
        </is>
      </c>
      <c r="D398" s="4" t="n">
        <v>2014</v>
      </c>
      <c r="E398" s="3" t="inlineStr">
        <is>
          <t>Exact fit of simple finite mixture models</t>
        </is>
      </c>
      <c r="F398" s="3" t="inlineStr">
        <is>
          <t>Journal article</t>
        </is>
      </c>
      <c r="G398" s="3" t="inlineStr">
        <is>
          <t>FT</t>
        </is>
      </c>
      <c r="H398" s="3" t="inlineStr">
        <is>
          <t>INCLUDE</t>
        </is>
      </c>
      <c r="I398" s="3" t="n"/>
      <c r="J398" s="3" t="inlineStr">
        <is>
          <t>Theory</t>
        </is>
      </c>
      <c r="K398" s="3" t="inlineStr">
        <is>
          <t>Credit-risk mixture models; stylised mortgage-risk application</t>
        </is>
      </c>
      <c r="L398" s="3" t="inlineStr">
        <is>
          <t>Estimates mixture weights representing current class probabilities/default prevalence and studies their exact-fit properties under prior-probability shift.</t>
        </is>
      </c>
      <c r="M398" t="inlineStr">
        <is>
          <t>Provides theoretical support for mixture-based class-prior estimation and its use in prevalence and cost quantification.</t>
        </is>
      </c>
      <c r="O398" s="3" t="inlineStr">
        <is>
          <t>Published</t>
        </is>
      </c>
      <c r="P398" s="12" t="n">
        <v>46304</v>
      </c>
      <c r="Q398" s="3" t="n"/>
      <c r="R398" s="3" t="inlineStr">
        <is>
          <t>§2–5; mixture component weights are estimated as target class probabilities; applied to default-rate and cost quantification.</t>
        </is>
      </c>
      <c r="S398" s="3" t="inlineStr">
        <is>
          <t>N</t>
        </is>
      </c>
      <c r="T398" s="3" t="inlineStr">
        <is>
          <t>N</t>
        </is>
      </c>
      <c r="U398" s="3" t="inlineStr">
        <is>
          <t>N</t>
        </is>
      </c>
    </row>
    <row r="399" ht="57" customHeight="1" s="18">
      <c r="A399" s="3" t="inlineStr">
        <is>
          <t>GZ-70</t>
        </is>
      </c>
      <c r="B399" s="3" t="inlineStr">
        <is>
          <t>B-ii</t>
        </is>
      </c>
      <c r="C399" s="3" t="inlineStr">
        <is>
          <t>Dirk Tasche</t>
        </is>
      </c>
      <c r="D399" s="4" t="n">
        <v>2016</v>
      </c>
      <c r="E399" s="3" t="inlineStr">
        <is>
          <t>Does quantification without adjustments work?</t>
        </is>
      </c>
      <c r="F399" s="3" t="inlineStr">
        <is>
          <t>Preprint (arXiv)</t>
        </is>
      </c>
      <c r="G399" s="3" t="inlineStr">
        <is>
          <t>FT</t>
        </is>
      </c>
      <c r="H399" s="3" t="inlineStr">
        <is>
          <t>INCLUDE</t>
        </is>
      </c>
      <c r="I399" s="3" t="n"/>
      <c r="J399" s="3" t="inlineStr">
        <is>
          <t>Theory</t>
        </is>
      </c>
      <c r="K399" s="3" t="inlineStr">
        <is>
          <t>Binormal-model numerical experiment; theoretical binary quantification analysis</t>
        </is>
      </c>
      <c r="L399" s="3" t="inlineStr">
        <is>
          <t>Shows that unadjusted quantification using specially optimised classifiers has limited validity and depends strongly on calibration and similarity of training and target prevalence.</t>
        </is>
      </c>
      <c r="M399" t="inlineStr">
        <is>
          <t>Clarifies when direct quantification without explicit prior correction can and cannot replace adjusted methods.</t>
        </is>
      </c>
      <c r="O399" s="3" t="inlineStr">
        <is>
          <t>Preprint</t>
        </is>
      </c>
      <c r="P399" s="12" t="n">
        <v>46304</v>
      </c>
      <c r="Q399" s="3" t="n"/>
      <c r="R399" s="3" t="inlineStr">
        <is>
          <t>§2–4; analyses target prevalence estimation by unadjusted quantifiers and reproduces the Q-measure experiment under a controlled binormal model.</t>
        </is>
      </c>
      <c r="S399" s="3" t="inlineStr">
        <is>
          <t>N</t>
        </is>
      </c>
      <c r="T399" s="3" t="inlineStr">
        <is>
          <t>Y</t>
        </is>
      </c>
      <c r="U399" s="3" t="inlineStr">
        <is>
          <t>N</t>
        </is>
      </c>
    </row>
    <row r="400" ht="28.5" customHeight="1" s="18">
      <c r="A400" s="3" t="inlineStr">
        <is>
          <t>GZ-73</t>
        </is>
      </c>
      <c r="B400" s="3" t="inlineStr">
        <is>
          <t>B-ii</t>
        </is>
      </c>
      <c r="C400" s="3" t="inlineStr">
        <is>
          <t>Slobodan Vucetic; Zoran Obradovic</t>
        </is>
      </c>
      <c r="D400" s="4" t="n">
        <v>2001</v>
      </c>
      <c r="E400" s="3" t="inlineStr">
        <is>
          <t>Classification on data with biased class distribution</t>
        </is>
      </c>
      <c r="F400" s="3" t="inlineStr">
        <is>
          <t>Conference paper</t>
        </is>
      </c>
      <c r="G400" s="3" t="inlineStr">
        <is>
          <t>FT</t>
        </is>
      </c>
      <c r="H400" s="3" t="inlineStr">
        <is>
          <t>INCLUDE</t>
        </is>
      </c>
      <c r="I400" s="3" t="n"/>
      <c r="J400" s="3" t="inlineStr">
        <is>
          <t>Method</t>
        </is>
      </c>
      <c r="K400" s="3" t="inlineStr">
        <is>
          <t>Synthetic simulations and Waveform benchmark data under biased training/test class distributions</t>
        </is>
      </c>
      <c r="L400" s="3" t="inlineStr">
        <is>
          <t>Bootstrap estimation recovers the class probabilities of an unlabelled target set and uses them to adjust classifier outputs or retrain the classifier.</t>
        </is>
      </c>
      <c r="M400" t="inlineStr">
        <is>
          <t>An early class-prior-estimation and output-correction method for deployment populations with altered class balance.</t>
        </is>
      </c>
      <c r="O400" s="3" t="inlineStr">
        <is>
          <t>Published</t>
        </is>
      </c>
      <c r="P400" s="12" t="n">
        <v>46304</v>
      </c>
      <c r="Q400" s="3" t="n"/>
      <c r="R400" s="3" t="inlineStr">
        <is>
          <t>§2–4; bootstrap estimates PU(i) for unlabelled data, then adjusts posterior classifier outputs or retrains using estimated target priors.</t>
        </is>
      </c>
      <c r="S400" s="3" t="inlineStr">
        <is>
          <t>N</t>
        </is>
      </c>
      <c r="T400" s="3" t="inlineStr">
        <is>
          <t>N</t>
        </is>
      </c>
      <c r="U400" s="3" t="inlineStr">
        <is>
          <t>N</t>
        </is>
      </c>
    </row>
    <row r="401" ht="28.5" customHeight="1" s="18">
      <c r="A401" s="3" t="inlineStr">
        <is>
          <t>GZ-76</t>
        </is>
      </c>
      <c r="B401" s="3" t="inlineStr">
        <is>
          <t>B-ii</t>
        </is>
      </c>
      <c r="C401" s="3" t="inlineStr">
        <is>
          <t>Jack Chongjie Xue; Gary M. Weiss</t>
        </is>
      </c>
      <c r="D401" s="4" t="n">
        <v>2009</v>
      </c>
      <c r="E401" s="3" t="inlineStr">
        <is>
          <t>Quantification and semi-supervised classification methods for handling changes in class distribution</t>
        </is>
      </c>
      <c r="F401" s="3" t="inlineStr">
        <is>
          <t>Conference paper</t>
        </is>
      </c>
      <c r="G401" s="3" t="inlineStr">
        <is>
          <t>FT</t>
        </is>
      </c>
      <c r="H401" s="3" t="inlineStr">
        <is>
          <t>INCLUDE</t>
        </is>
      </c>
      <c r="I401" s="3" t="n"/>
      <c r="J401" s="3" t="inlineStr">
        <is>
          <t>Method</t>
        </is>
      </c>
      <c r="K401" s="3" t="inlineStr">
        <is>
          <t>Benchmark classification datasets with target positive prevalence varied from 1% to 99%</t>
        </is>
      </c>
      <c r="L401" s="3" t="inlineStr">
        <is>
          <t>Class-distribution-estimation methods recover target prevalence from unlabelled data and use it to adapt the classifier; CDE-AC performs especially strongly.</t>
        </is>
      </c>
      <c r="M401" t="inlineStr">
        <is>
          <t>Directly links ACC-style prevalence estimation and EM-style prior correction to downstream classification under class-distribution shift.</t>
        </is>
      </c>
      <c r="O401" s="3" t="inlineStr">
        <is>
          <t>Published</t>
        </is>
      </c>
      <c r="P401" s="12" t="n">
        <v>46304</v>
      </c>
      <c r="Q401" s="3" t="n"/>
      <c r="R401" s="3" t="inlineStr">
        <is>
          <t>§2.2–6; estimates NEWCD from unlabelled data; CDE-AC uses Adjusted Count and comparisons/discussion include EM posterior correction.</t>
        </is>
      </c>
      <c r="S401" s="3" t="inlineStr">
        <is>
          <t>Y</t>
        </is>
      </c>
      <c r="T401" s="3" t="inlineStr">
        <is>
          <t>Y</t>
        </is>
      </c>
      <c r="U401" s="3" t="inlineStr">
        <is>
          <t>N</t>
        </is>
      </c>
    </row>
    <row r="402" ht="42.75" customHeight="1" s="18">
      <c r="A402" s="3" t="inlineStr">
        <is>
          <t>GZ-77</t>
        </is>
      </c>
      <c r="B402" s="3" t="inlineStr">
        <is>
          <t>B-ii</t>
        </is>
      </c>
      <c r="C402" s="3" t="inlineStr">
        <is>
          <t>Kun Zhang; Bernhard Schölkopf; Krikamol Muandet; Zhikun Wang</t>
        </is>
      </c>
      <c r="D402" s="4" t="n">
        <v>2013</v>
      </c>
      <c r="E402" s="3" t="inlineStr">
        <is>
          <t>Domain adaptation under target and conditional shift</t>
        </is>
      </c>
      <c r="F402" s="3" t="inlineStr">
        <is>
          <t>Conference paper</t>
        </is>
      </c>
      <c r="G402" s="3" t="inlineStr">
        <is>
          <t>FT</t>
        </is>
      </c>
      <c r="H402" s="3" t="inlineStr">
        <is>
          <t>INCLUDE</t>
        </is>
      </c>
      <c r="I402" s="3" t="n"/>
      <c r="J402" s="3" t="inlineStr">
        <is>
          <t>Method</t>
        </is>
      </c>
      <c r="K402" s="3" t="inlineStr">
        <is>
          <t>Synthetic and real-world domain-adaptation datasets under target, conditional and generalised target shift</t>
        </is>
      </c>
      <c r="L402" s="3" t="inlineStr">
        <is>
          <t>Estimates target-domain importance weights so reweighted source data reproduce the unlabelled target covariate distribution, including the case where class proportions change.</t>
        </is>
      </c>
      <c r="M402" t="inlineStr">
        <is>
          <t>Extends class-prior/importance-weight estimation beyond strict label shift to generalised target-shift settings.</t>
        </is>
      </c>
      <c r="O402" s="3" t="inlineStr">
        <is>
          <t>Published</t>
        </is>
      </c>
      <c r="P402" s="12" t="n">
        <v>46304</v>
      </c>
      <c r="Q402" s="3" t="n"/>
      <c r="R402" s="3" t="inlineStr">
        <is>
          <t>Abstract/method; target-shift framework estimates reweighting coefficients from unlabelled target data and evaluates them on synthetic and real datasets.</t>
        </is>
      </c>
      <c r="S402" s="3" t="inlineStr">
        <is>
          <t>N</t>
        </is>
      </c>
      <c r="T402" s="3" t="inlineStr">
        <is>
          <t>N</t>
        </is>
      </c>
      <c r="U402" s="3" t="inlineStr">
        <is>
          <t>N</t>
        </is>
      </c>
    </row>
    <row r="403" ht="28.5" customHeight="1" s="18">
      <c r="A403" s="3" t="inlineStr">
        <is>
          <t>S2-1182</t>
        </is>
      </c>
      <c r="B403" s="3" t="inlineStr">
        <is>
          <t>B-ii</t>
        </is>
      </c>
      <c r="C403" s="3" t="inlineStr">
        <is>
          <t>Chow, Brandon Tse Wei</t>
        </is>
      </c>
      <c r="D403" s="4" t="n">
        <v>2022</v>
      </c>
      <c r="E403" s="3" t="inlineStr">
        <is>
          <t>A Semiparametric Efficient Approach to Label Shift Estimation and Quantification</t>
        </is>
      </c>
      <c r="F403" s="3" t="inlineStr">
        <is>
          <t>Thesis</t>
        </is>
      </c>
      <c r="G403" s="3" t="inlineStr">
        <is>
          <t>FT</t>
        </is>
      </c>
      <c r="H403" s="3" t="inlineStr">
        <is>
          <t>INCLUDE</t>
        </is>
      </c>
      <c r="I403" s="3" t="n"/>
      <c r="J403" s="3" t="inlineStr">
        <is>
          <t>Method</t>
        </is>
      </c>
      <c r="K403" s="3" t="inlineStr">
        <is>
          <t>Synthetic Gaussian data and Blood Transfusion benchmark data under label shift</t>
        </is>
      </c>
      <c r="L403" s="3" t="inlineStr">
        <is>
          <t>Introduces SELSE for estimating shifted target class proportions and proves semiparametric efficiency; experiments show it competitive with or better than established quantifiers.</t>
        </is>
      </c>
      <c r="M403" t="inlineStr">
        <is>
          <t>Provides a modern statistical treatment of label-shift estimation and directly benchmarks against both ACC/PACC and EMQ-family estimators.</t>
        </is>
      </c>
      <c r="O403" s="3" t="inlineStr">
        <is>
          <t>Thesis</t>
        </is>
      </c>
      <c r="P403" s="12" t="n">
        <v>46304</v>
      </c>
      <c r="Q403" s="3" t="n"/>
      <c r="R403" s="3" t="inlineStr">
        <is>
          <t>Ch.4; SELSE estimates target response distribution and is compared with ACC, PACC, HDy, EMQ and MLLS on synthetic and Blood Transfusion data.</t>
        </is>
      </c>
      <c r="S403" s="3" t="inlineStr">
        <is>
          <t>Y</t>
        </is>
      </c>
      <c r="T403" s="3" t="inlineStr">
        <is>
          <t>Y</t>
        </is>
      </c>
      <c r="U403" s="3" t="inlineStr">
        <is>
          <t>N</t>
        </is>
      </c>
    </row>
    <row r="404" ht="28.5" customHeight="1" s="18">
      <c r="A404" s="3" t="inlineStr">
        <is>
          <t>S2-1183</t>
        </is>
      </c>
      <c r="B404" s="3" t="inlineStr">
        <is>
          <t>B-ii</t>
        </is>
      </c>
      <c r="C404" s="3" t="inlineStr">
        <is>
          <t>Fiksel, Jacob B.</t>
        </is>
      </c>
      <c r="D404" s="4" t="n">
        <v>2020</v>
      </c>
      <c r="E404" s="3" t="inlineStr">
        <is>
          <t>Quantification Learning with Applications to Mortality Surveillance</t>
        </is>
      </c>
      <c r="F404" s="3" t="inlineStr">
        <is>
          <t>Thesis</t>
        </is>
      </c>
      <c r="G404" s="3" t="inlineStr">
        <is>
          <t>FT</t>
        </is>
      </c>
      <c r="H404" s="3" t="inlineStr">
        <is>
          <t>INCLUDE</t>
        </is>
      </c>
      <c r="I404" s="3" t="n"/>
      <c r="J404" s="3" t="inlineStr">
        <is>
          <t>Method</t>
        </is>
      </c>
      <c r="K404" s="3" t="inlineStr">
        <is>
          <t>Verbal-autopsy mortality surveillance; simulations and child mortality data from Mozambique</t>
        </is>
      </c>
      <c r="L404" s="3" t="inlineStr">
        <is>
          <t>Develops Bayesian transfer-learning and Generalized Bayesian Quantification Learning methods to estimate target-population class prevalences and cause-specific mortality fractions while accounting for classifier misclassification and dataset shift.</t>
        </is>
      </c>
      <c r="M404" t="inlineStr">
        <is>
          <t>Provides a general Bayesian quantification framework that jointly estimates target prevalence and classifier error, with direct application to mortality surveillance.</t>
        </is>
      </c>
      <c r="O404" s="3" t="inlineStr">
        <is>
          <t>Thesis</t>
        </is>
      </c>
      <c r="P404" s="12" t="n">
        <v>46304</v>
      </c>
      <c r="Q404" s="3" t="n"/>
      <c r="R404" s="3" t="inlineStr">
        <is>
          <t>Chs.2,4–5; estimates target population class probabilities/CSMF from abundant unlabelled target observations plus limited labelled target data; GBQL includes/shrinks to CC, ACC, PA and APA under particular priors.</t>
        </is>
      </c>
      <c r="S404" s="3" t="inlineStr">
        <is>
          <t>Y</t>
        </is>
      </c>
      <c r="T404" s="3" t="inlineStr">
        <is>
          <t>N</t>
        </is>
      </c>
      <c r="U404" s="3" t="inlineStr">
        <is>
          <t>N</t>
        </is>
      </c>
    </row>
    <row r="405" ht="71.25" customHeight="1" s="18">
      <c r="A405" s="3" t="inlineStr">
        <is>
          <t>S2-1184</t>
        </is>
      </c>
      <c r="B405" s="3" t="inlineStr">
        <is>
          <t>B-ii</t>
        </is>
      </c>
      <c r="C405" s="3" t="inlineStr">
        <is>
          <t>Qi, Lei</t>
        </is>
      </c>
      <c r="D405" s="4" t="n">
        <v>2021</v>
      </c>
      <c r="E405" s="3" t="inlineStr">
        <is>
          <t>Quantification Learning with Deep Neural Networks</t>
        </is>
      </c>
      <c r="F405" s="3" t="inlineStr">
        <is>
          <t>Thesis</t>
        </is>
      </c>
      <c r="G405" s="3" t="inlineStr">
        <is>
          <t>FT</t>
        </is>
      </c>
      <c r="H405" s="3" t="inlineStr">
        <is>
          <t>INCLUDE</t>
        </is>
      </c>
      <c r="I405" s="3" t="n"/>
      <c r="J405" s="3" t="inlineStr">
        <is>
          <t>Method</t>
        </is>
      </c>
      <c r="K405" s="3" t="inlineStr">
        <is>
          <t>Text documents, political tweets, sentiment tweets, news corpora and image datasets</t>
        </is>
      </c>
      <c r="L405" s="3" t="inlineStr">
        <is>
          <t>Introduces an end-to-end Deep Quantification Network that maps sets of instances directly to class-ratio estimates and compares it with classification-based and direct quantification baselines.</t>
        </is>
      </c>
      <c r="M405" t="inlineStr">
        <is>
          <t>Extends quantification learning to deep end-to-end prevalence estimation and demonstrates strong results across binary and multiclass text, political-document and image tasks.</t>
        </is>
      </c>
      <c r="O405" s="3" t="inlineStr">
        <is>
          <t>Thesis</t>
        </is>
      </c>
      <c r="P405" s="12" t="n">
        <v>46304</v>
      </c>
      <c r="Q405" s="3" t="n"/>
      <c r="R405" s="3" t="inlineStr">
        <is>
          <t>Chs.3–5; DQN directly predicts class distributions from unlabelled test sets; experiments compare CC, ACC, PCC, PACC, Hybrid and ReadMe on IMDB, AG-NEWS, 20-NEWS, political tweets and other datasets.</t>
        </is>
      </c>
      <c r="S405" s="3" t="inlineStr">
        <is>
          <t>Y</t>
        </is>
      </c>
      <c r="T405" s="3" t="inlineStr">
        <is>
          <t>N</t>
        </is>
      </c>
      <c r="U405" s="3" t="inlineStr">
        <is>
          <t>Y</t>
        </is>
      </c>
    </row>
    <row r="406" ht="57" customHeight="1" s="18">
      <c r="A406" s="3" t="inlineStr">
        <is>
          <t>S2-0307</t>
        </is>
      </c>
      <c r="B406" s="3" t="inlineStr">
        <is>
          <t>B-i</t>
        </is>
      </c>
      <c r="C406" s="3" t="inlineStr">
        <is>
          <t>Zubair, Toneema; Asif, Muhammad Junaid; Kamiran, Faisal; Saeed, Hafiz Hassan; Ahmad, Rana Fayyaz</t>
        </is>
      </c>
      <c r="D406" s="4" t="n">
        <v>2026</v>
      </c>
      <c r="E406" s="3" t="inlineStr">
        <is>
          <t>Efficient Adaptation of LLMs for Hate Speech Detection in Low-Resource Languages: A Comparative Study on Roman Urdu</t>
        </is>
      </c>
      <c r="F406" s="3" t="inlineStr">
        <is>
          <t>Preprint (arXiv)</t>
        </is>
      </c>
      <c r="G406" s="3" t="inlineStr">
        <is>
          <t>FT</t>
        </is>
      </c>
      <c r="H406" s="3" t="inlineStr">
        <is>
          <t>EXCLUDE</t>
        </is>
      </c>
      <c r="I406" s="3" t="inlineStr">
        <is>
          <t>E2</t>
        </is>
      </c>
      <c r="J406" s="3" t="n"/>
      <c r="K406" s="3" t="n"/>
      <c r="L406" s="3" t="n"/>
      <c r="O406" s="3" t="inlineStr">
        <is>
          <t>Preprint</t>
        </is>
      </c>
      <c r="P406" s="12" t="n">
        <v>46305</v>
      </c>
      <c r="Q406" s="3" t="inlineStr">
        <is>
          <t>Bi-language</t>
        </is>
      </c>
      <c r="R406" s="3" t="inlineStr">
        <is>
          <t>Abstract/RQs; the paper is explicitly framed around adapting LLMs for low-resource Roman Urdu hate-speech detection and evaluating LoRA/PEFT in that low-resource-language setting; this is the primary contribution.</t>
        </is>
      </c>
      <c r="S406" s="3" t="n"/>
      <c r="T406" s="3" t="n"/>
      <c r="U406" s="3" t="n"/>
    </row>
    <row r="407" ht="57" customHeight="1" s="18">
      <c r="A407" s="3" t="inlineStr">
        <is>
          <t>OS-1</t>
        </is>
      </c>
      <c r="B407" s="3" t="inlineStr">
        <is>
          <t>B-i</t>
        </is>
      </c>
      <c r="C407" s="3" t="inlineStr">
        <is>
          <t>Lee, JooYoung; Tian, Lin; Brillantes, Angela; Mihaita, Adriana-Simona; Rizoiu, Marian-Andrei</t>
        </is>
      </c>
      <c r="D407" s="4" t="n">
        <v>2026</v>
      </c>
      <c r="E407" s="3" t="inlineStr">
        <is>
          <t>Long Live Fine-Tuning: Task-Specific Transformers Outperform Zero-Shot LLMs for Misinformation Response Classification on Reddit</t>
        </is>
      </c>
      <c r="F407" s="3" t="inlineStr">
        <is>
          <t>Preprint</t>
        </is>
      </c>
      <c r="G407" s="3" t="inlineStr">
        <is>
          <t>FT</t>
        </is>
      </c>
      <c r="H407" s="3" t="inlineStr">
        <is>
          <t>INCLUDE</t>
        </is>
      </c>
      <c r="I407" s="3" t="n"/>
      <c r="J407" s="3" t="inlineStr">
        <is>
          <t>ZS: BART-MNLI/Llama-3/Claude/Gemini / FT: DistilBERT/RoBERTa</t>
        </is>
      </c>
      <c r="K407" s="3" t="inlineStr">
        <is>
          <t>Reddit; 3-class misinformation-response classification (belief/fact-check/other); English; n=900 comments; identical stratified 5-fold test partitions across all models</t>
        </is>
      </c>
      <c r="L407" s="3" t="inlineStr">
        <is>
          <t>Fine-tuned RoBERTa achieves macro-F1=0.62 versus 0.50 for the best zero-shot model, Claude Haiku 4.5, while also using a fraction of the per-query cost.</t>
        </is>
      </c>
      <c r="M407" t="inlineStr">
        <is>
          <t>Direct same-test comparison shows a clear supervised fine-tuning advantage on short user-generated misinformation discourse, especially for the difficult belief class.</t>
        </is>
      </c>
      <c r="N407" t="inlineStr">
        <is>
          <t>Supervisor recommendation</t>
        </is>
      </c>
      <c r="O407" t="inlineStr">
        <is>
          <t>Preprint</t>
        </is>
      </c>
      <c r="P407" s="11" t="n">
        <v>46305</v>
      </c>
      <c r="R407" t="inlineStr">
        <is>
          <t>§4.4 and Tables 5/8; all models reuse identical 5-fold test partitions; RoBERTa macro-F1=0.62 versus best zero-shot=0.50; compute and API costs are reported.</t>
        </is>
      </c>
      <c r="S407" t="inlineStr">
        <is>
          <t>FT</t>
        </is>
      </c>
      <c r="T407" t="inlineStr">
        <is>
          <t>Y</t>
        </is>
      </c>
      <c r="U407" t="inlineStr">
        <is>
          <t>N</t>
        </is>
      </c>
    </row>
    <row r="408">
      <c r="A408" s="3" t="n"/>
      <c r="B408" s="3" t="n"/>
      <c r="C408" s="3" t="n"/>
      <c r="D408" s="4" t="n"/>
      <c r="E408" s="3" t="n"/>
      <c r="F408" s="3" t="n"/>
      <c r="G408" s="3" t="n"/>
      <c r="H408" s="3" t="n"/>
      <c r="I408" s="3" t="n"/>
      <c r="J408" s="3" t="n"/>
      <c r="K408" s="3" t="n"/>
      <c r="L408" s="3" t="n"/>
    </row>
    <row r="409">
      <c r="A409" s="3" t="n"/>
      <c r="B409" s="3" t="n"/>
      <c r="C409" s="3" t="n"/>
      <c r="D409" s="4" t="n"/>
      <c r="E409" s="3" t="n"/>
      <c r="F409" s="3" t="n"/>
      <c r="G409" s="3" t="n"/>
      <c r="H409" s="3" t="n"/>
      <c r="I409" s="3" t="n"/>
      <c r="J409" s="3" t="n"/>
      <c r="K409" s="3" t="n"/>
      <c r="L409" s="3" t="n"/>
    </row>
    <row r="410">
      <c r="A410" s="3" t="n"/>
      <c r="B410" s="3" t="n"/>
      <c r="C410" s="3" t="n"/>
      <c r="D410" s="4" t="n"/>
      <c r="E410" s="3" t="n"/>
      <c r="F410" s="3" t="n"/>
      <c r="G410" s="3" t="n"/>
      <c r="H410" s="3" t="n"/>
      <c r="I410" s="3" t="n"/>
      <c r="J410" s="3" t="n"/>
      <c r="K410" s="3" t="n"/>
      <c r="L410" s="3" t="n"/>
    </row>
    <row r="411">
      <c r="A411" s="3" t="n"/>
      <c r="B411" s="3" t="n"/>
      <c r="C411" s="3" t="n"/>
      <c r="D411" s="4" t="n"/>
      <c r="E411" s="3" t="n"/>
      <c r="F411" s="3" t="n"/>
      <c r="G411" s="3" t="n"/>
      <c r="H411" s="3" t="n"/>
      <c r="I411" s="3" t="n"/>
      <c r="J411" s="3" t="n"/>
      <c r="K411" s="3" t="n"/>
      <c r="L411" s="3" t="n"/>
    </row>
    <row r="412">
      <c r="A412" s="3" t="n"/>
      <c r="B412" s="3" t="n"/>
      <c r="C412" s="3" t="n"/>
      <c r="D412" s="4" t="n"/>
      <c r="E412" s="3" t="n"/>
      <c r="F412" s="3" t="n"/>
      <c r="G412" s="3" t="n"/>
      <c r="H412" s="3" t="n"/>
      <c r="I412" s="3" t="n"/>
      <c r="J412" s="3" t="n"/>
      <c r="K412" s="3" t="n"/>
      <c r="L412" s="3" t="n"/>
    </row>
    <row r="413">
      <c r="A413" s="3" t="n"/>
      <c r="B413" s="3" t="n"/>
      <c r="C413" s="3" t="n"/>
      <c r="D413" s="4" t="n"/>
      <c r="E413" s="3" t="n"/>
      <c r="F413" s="3" t="n"/>
      <c r="G413" s="3" t="n"/>
      <c r="H413" s="3" t="n"/>
      <c r="I413" s="3" t="n"/>
      <c r="J413" s="3" t="n"/>
      <c r="K413" s="3" t="n"/>
      <c r="L413" s="3" t="n"/>
    </row>
    <row r="414">
      <c r="A414" s="3" t="n"/>
      <c r="B414" s="3" t="n"/>
      <c r="C414" s="3" t="n"/>
      <c r="D414" s="4" t="n"/>
      <c r="E414" s="3" t="n"/>
      <c r="F414" s="3" t="n"/>
      <c r="G414" s="3" t="n"/>
      <c r="H414" s="3" t="n"/>
      <c r="I414" s="3" t="n"/>
      <c r="J414" s="3" t="n"/>
      <c r="K414" s="3" t="n"/>
      <c r="L414" s="3" t="n"/>
    </row>
    <row r="415">
      <c r="A415" s="3" t="n"/>
      <c r="B415" s="3" t="n"/>
      <c r="C415" s="3" t="n"/>
      <c r="D415" s="4" t="n"/>
      <c r="E415" s="3" t="n"/>
      <c r="F415" s="3" t="n"/>
      <c r="G415" s="3" t="n"/>
      <c r="H415" s="3" t="n"/>
      <c r="I415" s="3" t="n"/>
      <c r="J415" s="3" t="n"/>
      <c r="K415" s="3" t="n"/>
      <c r="L415" s="3" t="n"/>
    </row>
    <row r="416">
      <c r="A416" s="3" t="n"/>
      <c r="B416" s="3" t="n"/>
      <c r="C416" s="3" t="n"/>
      <c r="D416" s="4" t="n"/>
      <c r="E416" s="3" t="n"/>
      <c r="F416" s="3" t="n"/>
      <c r="G416" s="3" t="n"/>
      <c r="H416" s="3" t="n"/>
      <c r="I416" s="3" t="n"/>
      <c r="J416" s="3" t="n"/>
      <c r="K416" s="3" t="n"/>
      <c r="L416" s="3" t="n"/>
    </row>
    <row r="417">
      <c r="A417" s="3" t="n"/>
      <c r="B417" s="3" t="n"/>
      <c r="C417" s="3" t="n"/>
      <c r="D417" s="4" t="n"/>
      <c r="E417" s="3" t="n"/>
      <c r="F417" s="3" t="n"/>
      <c r="G417" s="3" t="n"/>
      <c r="H417" s="3" t="n"/>
      <c r="I417" s="3" t="n"/>
      <c r="J417" s="3" t="n"/>
      <c r="K417" s="3" t="n"/>
      <c r="L417" s="3" t="n"/>
    </row>
    <row r="418">
      <c r="A418" s="3" t="n"/>
      <c r="B418" s="3" t="n"/>
      <c r="C418" s="3" t="n"/>
      <c r="D418" s="4" t="n"/>
      <c r="E418" s="3" t="n"/>
      <c r="F418" s="3" t="n"/>
      <c r="G418" s="3" t="n"/>
      <c r="H418" s="3" t="n"/>
      <c r="I418" s="3" t="n"/>
      <c r="J418" s="3" t="n"/>
      <c r="K418" s="3" t="n"/>
      <c r="L418" s="3" t="n"/>
    </row>
    <row r="419">
      <c r="A419" s="3" t="n"/>
      <c r="B419" s="3" t="n"/>
      <c r="C419" s="3" t="n"/>
      <c r="D419" s="4" t="n"/>
      <c r="E419" s="3" t="n"/>
      <c r="F419" s="3" t="n"/>
      <c r="G419" s="3" t="n"/>
      <c r="H419" s="3" t="n"/>
      <c r="I419" s="3" t="n"/>
      <c r="J419" s="3" t="n"/>
      <c r="K419" s="3" t="n"/>
      <c r="L419" s="3" t="n"/>
    </row>
    <row r="420">
      <c r="A420" s="3" t="n"/>
      <c r="B420" s="3" t="n"/>
      <c r="C420" s="3" t="n"/>
      <c r="D420" s="4" t="n"/>
      <c r="E420" s="3" t="n"/>
      <c r="F420" s="3" t="n"/>
      <c r="G420" s="3" t="n"/>
      <c r="H420" s="3" t="n"/>
      <c r="I420" s="3" t="n"/>
      <c r="J420" s="3" t="n"/>
      <c r="K420" s="3" t="n"/>
      <c r="L420" s="3" t="n"/>
    </row>
    <row r="421">
      <c r="A421" s="3" t="n"/>
      <c r="B421" s="3" t="n"/>
      <c r="C421" s="3" t="n"/>
      <c r="D421" s="4" t="n"/>
      <c r="E421" s="3" t="n"/>
      <c r="F421" s="3" t="n"/>
      <c r="G421" s="3" t="n"/>
      <c r="H421" s="3" t="n"/>
      <c r="I421" s="3" t="n"/>
      <c r="J421" s="3" t="n"/>
      <c r="K421" s="3" t="n"/>
      <c r="L421" s="3" t="n"/>
    </row>
    <row r="422">
      <c r="A422" s="3" t="n"/>
      <c r="B422" s="3" t="n"/>
      <c r="C422" s="3" t="n"/>
      <c r="D422" s="4" t="n"/>
      <c r="E422" s="3" t="n"/>
      <c r="F422" s="3" t="n"/>
      <c r="G422" s="3" t="n"/>
      <c r="H422" s="3" t="n"/>
      <c r="I422" s="3" t="n"/>
      <c r="J422" s="3" t="n"/>
      <c r="K422" s="3" t="n"/>
      <c r="L422" s="3" t="n"/>
    </row>
    <row r="423">
      <c r="A423" s="3" t="n"/>
      <c r="B423" s="3" t="n"/>
      <c r="C423" s="3" t="n"/>
      <c r="D423" s="4" t="n"/>
      <c r="E423" s="3" t="n"/>
      <c r="F423" s="3" t="n"/>
      <c r="G423" s="3" t="n"/>
      <c r="H423" s="3" t="n"/>
      <c r="I423" s="3" t="n"/>
      <c r="J423" s="3" t="n"/>
      <c r="K423" s="3" t="n"/>
      <c r="L423" s="3" t="n"/>
    </row>
    <row r="424">
      <c r="A424" s="3" t="n"/>
      <c r="B424" s="3" t="n"/>
      <c r="C424" s="3" t="n"/>
      <c r="D424" s="4" t="n"/>
      <c r="E424" s="3" t="n"/>
      <c r="F424" s="3" t="n"/>
      <c r="G424" s="3" t="n"/>
      <c r="H424" s="3" t="n"/>
      <c r="I424" s="3" t="n"/>
      <c r="J424" s="3" t="n"/>
      <c r="K424" s="3" t="n"/>
      <c r="L424" s="3" t="n"/>
    </row>
    <row r="425">
      <c r="A425" s="3" t="n"/>
      <c r="B425" s="3" t="n"/>
      <c r="C425" s="3" t="n"/>
      <c r="D425" s="4" t="n"/>
      <c r="E425" s="3" t="n"/>
      <c r="F425" s="3" t="n"/>
      <c r="G425" s="3" t="n"/>
      <c r="H425" s="3" t="n"/>
      <c r="I425" s="3" t="n"/>
      <c r="J425" s="3" t="n"/>
      <c r="K425" s="3" t="n"/>
      <c r="L425" s="3" t="n"/>
    </row>
    <row r="426">
      <c r="A426" s="3" t="n"/>
      <c r="B426" s="3" t="n"/>
      <c r="C426" s="3" t="n"/>
      <c r="D426" s="4" t="n"/>
      <c r="E426" s="3" t="n"/>
      <c r="F426" s="3" t="n"/>
      <c r="G426" s="3" t="n"/>
      <c r="H426" s="3" t="n"/>
      <c r="I426" s="3" t="n"/>
      <c r="J426" s="3" t="n"/>
      <c r="K426" s="3" t="n"/>
      <c r="L426" s="3" t="n"/>
    </row>
    <row r="427">
      <c r="A427" s="3" t="n"/>
      <c r="B427" s="3" t="n"/>
      <c r="C427" s="3" t="n"/>
      <c r="D427" s="4" t="n"/>
      <c r="E427" s="3" t="n"/>
      <c r="F427" s="3" t="n"/>
      <c r="G427" s="3" t="n"/>
      <c r="H427" s="3" t="n"/>
      <c r="I427" s="3" t="n"/>
      <c r="J427" s="3" t="n"/>
      <c r="K427" s="3" t="n"/>
      <c r="L427" s="3" t="n"/>
    </row>
    <row r="428">
      <c r="A428" s="3" t="n"/>
      <c r="B428" s="3" t="n"/>
      <c r="C428" s="3" t="n"/>
      <c r="D428" s="4" t="n"/>
      <c r="E428" s="3" t="n"/>
      <c r="F428" s="3" t="n"/>
      <c r="G428" s="3" t="n"/>
      <c r="H428" s="3" t="n"/>
      <c r="I428" s="3" t="n"/>
      <c r="J428" s="3" t="n"/>
      <c r="K428" s="3" t="n"/>
      <c r="L428" s="3" t="n"/>
    </row>
    <row r="429">
      <c r="A429" s="3" t="n"/>
      <c r="B429" s="3" t="n"/>
      <c r="C429" s="3" t="n"/>
      <c r="D429" s="4" t="n"/>
      <c r="E429" s="3" t="n"/>
      <c r="F429" s="3" t="n"/>
      <c r="G429" s="3" t="n"/>
      <c r="H429" s="3" t="n"/>
      <c r="I429" s="3" t="n"/>
      <c r="J429" s="3" t="n"/>
      <c r="K429" s="3" t="n"/>
      <c r="L429" s="3" t="n"/>
    </row>
    <row r="430">
      <c r="A430" s="3" t="n"/>
      <c r="B430" s="3" t="n"/>
      <c r="C430" s="3" t="n"/>
      <c r="D430" s="4" t="n"/>
      <c r="E430" s="3" t="n"/>
      <c r="F430" s="3" t="n"/>
      <c r="G430" s="3" t="n"/>
      <c r="H430" s="3" t="n"/>
      <c r="I430" s="3" t="n"/>
      <c r="J430" s="3" t="n"/>
      <c r="K430" s="3" t="n"/>
      <c r="L430" s="3" t="n"/>
    </row>
    <row r="431">
      <c r="A431" s="3" t="n"/>
      <c r="B431" s="3" t="n"/>
      <c r="C431" s="3" t="n"/>
      <c r="D431" s="4" t="n"/>
      <c r="E431" s="3" t="n"/>
      <c r="F431" s="3" t="n"/>
      <c r="G431" s="3" t="n"/>
      <c r="H431" s="3" t="n"/>
      <c r="I431" s="3" t="n"/>
      <c r="J431" s="3" t="n"/>
      <c r="K431" s="3" t="n"/>
      <c r="L431" s="3" t="n"/>
    </row>
    <row r="432">
      <c r="A432" s="3" t="n"/>
      <c r="B432" s="3" t="n"/>
      <c r="C432" s="3" t="n"/>
      <c r="D432" s="4" t="n"/>
      <c r="E432" s="3" t="n"/>
      <c r="F432" s="3" t="n"/>
      <c r="G432" s="3" t="n"/>
      <c r="H432" s="3" t="n"/>
      <c r="I432" s="3" t="n"/>
      <c r="J432" s="3" t="n"/>
      <c r="K432" s="3" t="n"/>
      <c r="L432" s="3" t="n"/>
    </row>
    <row r="433">
      <c r="A433" s="3" t="n"/>
      <c r="B433" s="3" t="n"/>
      <c r="C433" s="3" t="n"/>
      <c r="D433" s="4" t="n"/>
      <c r="E433" s="3" t="n"/>
      <c r="F433" s="3" t="n"/>
      <c r="G433" s="3" t="n"/>
      <c r="H433" s="3" t="n"/>
      <c r="I433" s="3" t="n"/>
      <c r="J433" s="3" t="n"/>
      <c r="K433" s="3" t="n"/>
      <c r="L433" s="3" t="n"/>
    </row>
    <row r="434">
      <c r="A434" s="3" t="n"/>
      <c r="B434" s="3" t="n"/>
      <c r="C434" s="3" t="n"/>
      <c r="D434" s="4" t="n"/>
      <c r="E434" s="3" t="n"/>
      <c r="F434" s="3" t="n"/>
      <c r="G434" s="3" t="n"/>
      <c r="H434" s="3" t="n"/>
      <c r="I434" s="3" t="n"/>
      <c r="J434" s="3" t="n"/>
      <c r="K434" s="3" t="n"/>
      <c r="L434" s="3" t="n"/>
    </row>
    <row r="435">
      <c r="A435" s="3" t="n"/>
      <c r="B435" s="3" t="n"/>
      <c r="C435" s="3" t="n"/>
      <c r="D435" s="4" t="n"/>
      <c r="E435" s="3" t="n"/>
      <c r="F435" s="3" t="n"/>
      <c r="G435" s="3" t="n"/>
      <c r="H435" s="3" t="n"/>
      <c r="I435" s="3" t="n"/>
      <c r="J435" s="3" t="n"/>
      <c r="K435" s="3" t="n"/>
      <c r="L435" s="3" t="n"/>
    </row>
    <row r="436">
      <c r="A436" s="3" t="n"/>
      <c r="B436" s="3" t="n"/>
      <c r="C436" s="3" t="n"/>
      <c r="D436" s="4" t="n"/>
      <c r="E436" s="3" t="n"/>
      <c r="F436" s="3" t="n"/>
      <c r="G436" s="3" t="n"/>
      <c r="H436" s="3" t="n"/>
      <c r="I436" s="3" t="n"/>
      <c r="J436" s="3" t="n"/>
      <c r="K436" s="3" t="n"/>
      <c r="L436" s="3" t="n"/>
    </row>
    <row r="437">
      <c r="A437" s="3" t="n"/>
      <c r="B437" s="3" t="n"/>
      <c r="C437" s="3" t="n"/>
      <c r="D437" s="4" t="n"/>
      <c r="E437" s="3" t="n"/>
      <c r="F437" s="3" t="n"/>
      <c r="G437" s="3" t="n"/>
      <c r="H437" s="3" t="n"/>
      <c r="I437" s="3" t="n"/>
      <c r="J437" s="3" t="n"/>
      <c r="K437" s="3" t="n"/>
      <c r="L437" s="3" t="n"/>
    </row>
    <row r="438">
      <c r="A438" s="3" t="n"/>
      <c r="B438" s="3" t="n"/>
      <c r="C438" s="3" t="n"/>
      <c r="D438" s="4" t="n"/>
      <c r="E438" s="3" t="n"/>
      <c r="F438" s="3" t="n"/>
      <c r="G438" s="3" t="n"/>
      <c r="H438" s="3" t="n"/>
      <c r="I438" s="3" t="n"/>
      <c r="J438" s="3" t="n"/>
      <c r="K438" s="3" t="n"/>
      <c r="L438" s="3" t="n"/>
    </row>
    <row r="439">
      <c r="A439" s="3" t="n"/>
      <c r="B439" s="3" t="n"/>
      <c r="C439" s="3" t="n"/>
      <c r="D439" s="4" t="n"/>
      <c r="E439" s="3" t="n"/>
      <c r="F439" s="3" t="n"/>
      <c r="G439" s="3" t="n"/>
      <c r="H439" s="3" t="n"/>
      <c r="I439" s="3" t="n"/>
      <c r="J439" s="3" t="n"/>
      <c r="K439" s="3" t="n"/>
      <c r="L439" s="3" t="n"/>
    </row>
    <row r="440">
      <c r="A440" s="3" t="n"/>
      <c r="B440" s="3" t="n"/>
      <c r="C440" s="3" t="n"/>
      <c r="D440" s="4" t="n"/>
      <c r="E440" s="3" t="n"/>
      <c r="F440" s="3" t="n"/>
      <c r="G440" s="3" t="n"/>
      <c r="H440" s="3" t="n"/>
      <c r="I440" s="3" t="n"/>
      <c r="J440" s="3" t="n"/>
      <c r="K440" s="3" t="n"/>
      <c r="L440" s="3" t="n"/>
    </row>
    <row r="441">
      <c r="A441" s="3" t="n"/>
      <c r="B441" s="3" t="n"/>
      <c r="C441" s="3" t="n"/>
      <c r="D441" s="4" t="n"/>
      <c r="E441" s="3" t="n"/>
      <c r="F441" s="3" t="n"/>
      <c r="G441" s="3" t="n"/>
      <c r="H441" s="3" t="n"/>
      <c r="I441" s="3" t="n"/>
      <c r="J441" s="3" t="n"/>
      <c r="K441" s="3" t="n"/>
      <c r="L441" s="3" t="n"/>
    </row>
    <row r="442">
      <c r="A442" s="3" t="n"/>
      <c r="B442" s="3" t="n"/>
      <c r="C442" s="3" t="n"/>
      <c r="D442" s="4" t="n"/>
      <c r="E442" s="3" t="n"/>
      <c r="F442" s="3" t="n"/>
      <c r="G442" s="3" t="n"/>
      <c r="H442" s="3" t="n"/>
      <c r="I442" s="3" t="n"/>
      <c r="J442" s="3" t="n"/>
      <c r="K442" s="3" t="n"/>
      <c r="L442" s="3" t="n"/>
    </row>
    <row r="443">
      <c r="A443" s="3" t="n"/>
      <c r="B443" s="3" t="n"/>
      <c r="C443" s="3" t="n"/>
      <c r="D443" s="4" t="n"/>
      <c r="E443" s="3" t="n"/>
      <c r="F443" s="3" t="n"/>
      <c r="G443" s="3" t="n"/>
      <c r="H443" s="3" t="n"/>
      <c r="I443" s="3" t="n"/>
      <c r="J443" s="3" t="n"/>
      <c r="K443" s="3" t="n"/>
      <c r="L443" s="3" t="n"/>
    </row>
    <row r="444">
      <c r="A444" s="3" t="n"/>
      <c r="B444" s="3" t="n"/>
      <c r="C444" s="3" t="n"/>
      <c r="D444" s="4" t="n"/>
      <c r="E444" s="3" t="n"/>
      <c r="F444" s="3" t="n"/>
      <c r="G444" s="3" t="n"/>
      <c r="H444" s="3" t="n"/>
      <c r="I444" s="3" t="n"/>
      <c r="J444" s="3" t="n"/>
      <c r="K444" s="3" t="n"/>
      <c r="L444" s="3" t="n"/>
    </row>
    <row r="445">
      <c r="A445" s="3" t="n"/>
      <c r="B445" s="3" t="n"/>
      <c r="C445" s="3" t="n"/>
      <c r="D445" s="4" t="n"/>
      <c r="E445" s="3" t="n"/>
      <c r="F445" s="3" t="n"/>
      <c r="G445" s="3" t="n"/>
      <c r="H445" s="3" t="n"/>
      <c r="I445" s="3" t="n"/>
      <c r="J445" s="3" t="n"/>
      <c r="K445" s="3" t="n"/>
      <c r="L445" s="3" t="n"/>
    </row>
    <row r="446">
      <c r="A446" s="3" t="n"/>
      <c r="B446" s="3" t="n"/>
      <c r="C446" s="3" t="n"/>
      <c r="D446" s="4" t="n"/>
      <c r="E446" s="3" t="n"/>
      <c r="F446" s="3" t="n"/>
      <c r="G446" s="3" t="n"/>
      <c r="H446" s="3" t="n"/>
      <c r="I446" s="3" t="n"/>
      <c r="J446" s="3" t="n"/>
      <c r="K446" s="3" t="n"/>
      <c r="L446" s="3" t="n"/>
    </row>
    <row r="447">
      <c r="A447" s="3" t="n"/>
      <c r="B447" s="3" t="n"/>
      <c r="C447" s="3" t="n"/>
      <c r="D447" s="4" t="n"/>
      <c r="E447" s="3" t="n"/>
      <c r="F447" s="3" t="n"/>
      <c r="G447" s="3" t="n"/>
      <c r="H447" s="3" t="n"/>
      <c r="I447" s="3" t="n"/>
      <c r="J447" s="3" t="n"/>
      <c r="K447" s="3" t="n"/>
      <c r="L447" s="3" t="n"/>
    </row>
    <row r="448">
      <c r="A448" s="3" t="n"/>
      <c r="B448" s="3" t="n"/>
      <c r="C448" s="3" t="n"/>
      <c r="D448" s="4" t="n"/>
      <c r="E448" s="3" t="n"/>
      <c r="F448" s="3" t="n"/>
      <c r="G448" s="3" t="n"/>
      <c r="H448" s="3" t="n"/>
      <c r="I448" s="3" t="n"/>
      <c r="J448" s="3" t="n"/>
      <c r="K448" s="3" t="n"/>
      <c r="L448" s="3" t="n"/>
    </row>
    <row r="449">
      <c r="A449" s="3" t="n"/>
      <c r="B449" s="3" t="n"/>
      <c r="C449" s="3" t="n"/>
      <c r="D449" s="4" t="n"/>
      <c r="E449" s="3" t="n"/>
      <c r="F449" s="3" t="n"/>
      <c r="G449" s="3" t="n"/>
      <c r="H449" s="3" t="n"/>
      <c r="I449" s="3" t="n"/>
      <c r="J449" s="3" t="n"/>
      <c r="K449" s="3" t="n"/>
      <c r="L449" s="3" t="n"/>
    </row>
    <row r="450">
      <c r="A450" s="3" t="n"/>
      <c r="B450" s="3" t="n"/>
      <c r="C450" s="3" t="n"/>
      <c r="D450" s="4" t="n"/>
      <c r="E450" s="3" t="n"/>
      <c r="F450" s="3" t="n"/>
      <c r="G450" s="3" t="n"/>
      <c r="H450" s="3" t="n"/>
      <c r="I450" s="3" t="n"/>
      <c r="J450" s="3" t="n"/>
      <c r="K450" s="3" t="n"/>
      <c r="L450" s="3" t="n"/>
    </row>
    <row r="451">
      <c r="A451" s="3" t="n"/>
      <c r="B451" s="3" t="n"/>
      <c r="C451" s="3" t="n"/>
      <c r="D451" s="4" t="n"/>
      <c r="E451" s="3" t="n"/>
      <c r="F451" s="3" t="n"/>
      <c r="G451" s="3" t="n"/>
      <c r="H451" s="3" t="n"/>
      <c r="I451" s="3" t="n"/>
      <c r="J451" s="3" t="n"/>
      <c r="K451" s="3" t="n"/>
      <c r="L451" s="3" t="n"/>
    </row>
    <row r="452">
      <c r="A452" s="3" t="n"/>
      <c r="B452" s="3" t="n"/>
      <c r="C452" s="3" t="n"/>
      <c r="D452" s="4" t="n"/>
      <c r="E452" s="3" t="n"/>
      <c r="F452" s="3" t="n"/>
      <c r="G452" s="3" t="n"/>
      <c r="H452" s="3" t="n"/>
      <c r="I452" s="3" t="n"/>
      <c r="J452" s="3" t="n"/>
      <c r="K452" s="3" t="n"/>
      <c r="L452" s="3" t="n"/>
    </row>
    <row r="453">
      <c r="A453" s="3" t="n"/>
      <c r="B453" s="3" t="n"/>
      <c r="C453" s="3" t="n"/>
      <c r="D453" s="4" t="n"/>
      <c r="E453" s="3" t="n"/>
      <c r="F453" s="3" t="n"/>
      <c r="G453" s="3" t="n"/>
      <c r="H453" s="3" t="n"/>
      <c r="I453" s="3" t="n"/>
      <c r="J453" s="3" t="n"/>
      <c r="K453" s="3" t="n"/>
      <c r="L453" s="3" t="n"/>
    </row>
    <row r="454">
      <c r="A454" s="3" t="n"/>
      <c r="B454" s="3" t="n"/>
      <c r="C454" s="3" t="n"/>
      <c r="D454" s="4" t="n"/>
      <c r="E454" s="3" t="n"/>
      <c r="F454" s="3" t="n"/>
      <c r="G454" s="3" t="n"/>
      <c r="H454" s="3" t="n"/>
      <c r="I454" s="3" t="n"/>
      <c r="J454" s="3" t="n"/>
      <c r="K454" s="3" t="n"/>
      <c r="L454" s="3" t="n"/>
    </row>
    <row r="455">
      <c r="A455" s="3" t="n"/>
      <c r="B455" s="3" t="n"/>
      <c r="C455" s="3" t="n"/>
      <c r="D455" s="4" t="n"/>
      <c r="E455" s="3" t="n"/>
      <c r="F455" s="3" t="n"/>
      <c r="G455" s="3" t="n"/>
      <c r="H455" s="3" t="n"/>
      <c r="I455" s="3" t="n"/>
      <c r="J455" s="3" t="n"/>
      <c r="K455" s="3" t="n"/>
      <c r="L455" s="3" t="n"/>
    </row>
    <row r="456">
      <c r="A456" s="3" t="n"/>
      <c r="B456" s="3" t="n"/>
      <c r="C456" s="3" t="n"/>
      <c r="D456" s="4" t="n"/>
      <c r="E456" s="3" t="n"/>
      <c r="F456" s="3" t="n"/>
      <c r="G456" s="3" t="n"/>
      <c r="H456" s="3" t="n"/>
      <c r="I456" s="3" t="n"/>
      <c r="J456" s="3" t="n"/>
      <c r="K456" s="3" t="n"/>
      <c r="L456" s="3" t="n"/>
    </row>
    <row r="457">
      <c r="A457" s="3" t="n"/>
      <c r="B457" s="3" t="n"/>
      <c r="C457" s="3" t="n"/>
      <c r="D457" s="4" t="n"/>
      <c r="E457" s="3" t="n"/>
      <c r="F457" s="3" t="n"/>
      <c r="G457" s="3" t="n"/>
      <c r="H457" s="3" t="n"/>
      <c r="I457" s="3" t="n"/>
      <c r="J457" s="3" t="n"/>
      <c r="K457" s="3" t="n"/>
      <c r="L457" s="3" t="n"/>
    </row>
    <row r="458">
      <c r="A458" s="3" t="n"/>
      <c r="B458" s="3" t="n"/>
      <c r="C458" s="3" t="n"/>
      <c r="D458" s="4" t="n"/>
      <c r="E458" s="3" t="n"/>
      <c r="F458" s="3" t="n"/>
      <c r="G458" s="3" t="n"/>
      <c r="H458" s="3" t="n"/>
      <c r="I458" s="3" t="n"/>
      <c r="J458" s="3" t="n"/>
      <c r="K458" s="3" t="n"/>
      <c r="L458" s="3" t="n"/>
    </row>
    <row r="459">
      <c r="A459" s="3" t="n"/>
      <c r="B459" s="3" t="n"/>
      <c r="C459" s="3" t="n"/>
      <c r="D459" s="4" t="n"/>
      <c r="E459" s="3" t="n"/>
      <c r="F459" s="3" t="n"/>
      <c r="G459" s="3" t="n"/>
      <c r="H459" s="3" t="n"/>
      <c r="I459" s="3" t="n"/>
      <c r="J459" s="3" t="n"/>
      <c r="K459" s="3" t="n"/>
      <c r="L459" s="3" t="n"/>
    </row>
    <row r="460">
      <c r="A460" s="3" t="n"/>
      <c r="B460" s="3" t="n"/>
      <c r="C460" s="3" t="n"/>
      <c r="D460" s="4" t="n"/>
      <c r="E460" s="3" t="n"/>
      <c r="F460" s="3" t="n"/>
      <c r="G460" s="3" t="n"/>
      <c r="H460" s="3" t="n"/>
      <c r="I460" s="3" t="n"/>
      <c r="J460" s="3" t="n"/>
      <c r="K460" s="3" t="n"/>
      <c r="L460" s="3" t="n"/>
    </row>
    <row r="461">
      <c r="A461" s="3" t="n"/>
      <c r="B461" s="3" t="n"/>
      <c r="C461" s="3" t="n"/>
      <c r="D461" s="4" t="n"/>
      <c r="E461" s="3" t="n"/>
      <c r="F461" s="3" t="n"/>
      <c r="G461" s="3" t="n"/>
      <c r="H461" s="3" t="n"/>
      <c r="I461" s="3" t="n"/>
      <c r="J461" s="3" t="n"/>
      <c r="K461" s="3" t="n"/>
      <c r="L461" s="3" t="n"/>
    </row>
    <row r="462">
      <c r="A462" s="3" t="n"/>
      <c r="B462" s="3" t="n"/>
      <c r="C462" s="3" t="n"/>
      <c r="D462" s="4" t="n"/>
      <c r="E462" s="3" t="n"/>
      <c r="F462" s="3" t="n"/>
      <c r="G462" s="3" t="n"/>
      <c r="H462" s="3" t="n"/>
      <c r="I462" s="3" t="n"/>
      <c r="J462" s="3" t="n"/>
      <c r="K462" s="3" t="n"/>
      <c r="L462" s="3" t="n"/>
    </row>
    <row r="463">
      <c r="A463" s="3" t="n"/>
      <c r="B463" s="3" t="n"/>
      <c r="C463" s="3" t="n"/>
      <c r="D463" s="4" t="n"/>
      <c r="E463" s="3" t="n"/>
      <c r="F463" s="3" t="n"/>
      <c r="G463" s="3" t="n"/>
      <c r="H463" s="3" t="n"/>
      <c r="I463" s="3" t="n"/>
      <c r="J463" s="3" t="n"/>
      <c r="K463" s="3" t="n"/>
      <c r="L463" s="3" t="n"/>
    </row>
    <row r="464">
      <c r="A464" s="3" t="n"/>
      <c r="B464" s="3" t="n"/>
      <c r="C464" s="3" t="n"/>
      <c r="D464" s="4" t="n"/>
      <c r="E464" s="3" t="n"/>
      <c r="F464" s="3" t="n"/>
      <c r="G464" s="3" t="n"/>
      <c r="H464" s="3" t="n"/>
      <c r="I464" s="3" t="n"/>
      <c r="J464" s="3" t="n"/>
      <c r="K464" s="3" t="n"/>
      <c r="L464" s="3" t="n"/>
    </row>
    <row r="465">
      <c r="A465" s="3" t="n"/>
      <c r="B465" s="3" t="n"/>
      <c r="C465" s="3" t="n"/>
      <c r="D465" s="4" t="n"/>
      <c r="E465" s="3" t="n"/>
      <c r="F465" s="3" t="n"/>
      <c r="G465" s="3" t="n"/>
      <c r="H465" s="3" t="n"/>
      <c r="I465" s="3" t="n"/>
      <c r="J465" s="3" t="n"/>
      <c r="K465" s="3" t="n"/>
      <c r="L465" s="3" t="n"/>
    </row>
    <row r="466">
      <c r="A466" s="3" t="n"/>
      <c r="B466" s="3" t="n"/>
      <c r="C466" s="3" t="n"/>
      <c r="D466" s="4" t="n"/>
      <c r="E466" s="3" t="n"/>
      <c r="F466" s="3" t="n"/>
      <c r="G466" s="3" t="n"/>
      <c r="H466" s="3" t="n"/>
      <c r="I466" s="3" t="n"/>
      <c r="J466" s="3" t="n"/>
      <c r="K466" s="3" t="n"/>
      <c r="L466" s="3" t="n"/>
    </row>
    <row r="467">
      <c r="A467" s="3" t="n"/>
      <c r="B467" s="3" t="n"/>
      <c r="C467" s="3" t="n"/>
      <c r="D467" s="4" t="n"/>
      <c r="E467" s="3" t="n"/>
      <c r="F467" s="3" t="n"/>
      <c r="G467" s="3" t="n"/>
      <c r="H467" s="3" t="n"/>
      <c r="I467" s="3" t="n"/>
      <c r="J467" s="3" t="n"/>
      <c r="K467" s="3" t="n"/>
      <c r="L467" s="3" t="n"/>
    </row>
    <row r="468">
      <c r="A468" s="3" t="n"/>
      <c r="B468" s="3" t="n"/>
      <c r="C468" s="3" t="n"/>
      <c r="D468" s="4" t="n"/>
      <c r="E468" s="3" t="n"/>
      <c r="F468" s="3" t="n"/>
      <c r="G468" s="3" t="n"/>
      <c r="H468" s="3" t="n"/>
      <c r="I468" s="3" t="n"/>
      <c r="J468" s="3" t="n"/>
      <c r="K468" s="3" t="n"/>
      <c r="L468" s="3" t="n"/>
    </row>
    <row r="469">
      <c r="A469" s="3" t="n"/>
      <c r="B469" s="3" t="n"/>
      <c r="C469" s="3" t="n"/>
      <c r="D469" s="4" t="n"/>
      <c r="E469" s="3" t="n"/>
      <c r="F469" s="3" t="n"/>
      <c r="G469" s="3" t="n"/>
      <c r="H469" s="3" t="n"/>
      <c r="I469" s="3" t="n"/>
      <c r="J469" s="3" t="n"/>
      <c r="K469" s="3" t="n"/>
      <c r="L469" s="3" t="n"/>
    </row>
    <row r="470">
      <c r="A470" s="3" t="n"/>
      <c r="B470" s="3" t="n"/>
      <c r="C470" s="3" t="n"/>
      <c r="D470" s="4" t="n"/>
      <c r="E470" s="3" t="n"/>
      <c r="F470" s="3" t="n"/>
      <c r="G470" s="3" t="n"/>
      <c r="H470" s="3" t="n"/>
      <c r="I470" s="3" t="n"/>
      <c r="J470" s="3" t="n"/>
      <c r="K470" s="3" t="n"/>
      <c r="L470" s="3" t="n"/>
    </row>
    <row r="471">
      <c r="A471" s="3" t="n"/>
      <c r="B471" s="3" t="n"/>
      <c r="C471" s="3" t="n"/>
      <c r="D471" s="4" t="n"/>
      <c r="E471" s="3" t="n"/>
      <c r="F471" s="3" t="n"/>
      <c r="G471" s="3" t="n"/>
      <c r="H471" s="3" t="n"/>
      <c r="I471" s="3" t="n"/>
      <c r="J471" s="3" t="n"/>
      <c r="K471" s="3" t="n"/>
      <c r="L471" s="3" t="n"/>
    </row>
    <row r="472">
      <c r="A472" s="3" t="n"/>
      <c r="B472" s="3" t="n"/>
      <c r="C472" s="3" t="n"/>
      <c r="D472" s="4" t="n"/>
      <c r="E472" s="3" t="n"/>
      <c r="F472" s="3" t="n"/>
      <c r="G472" s="3" t="n"/>
      <c r="H472" s="3" t="n"/>
      <c r="I472" s="3" t="n"/>
      <c r="J472" s="3" t="n"/>
      <c r="K472" s="3" t="n"/>
      <c r="L472" s="3" t="n"/>
    </row>
    <row r="473">
      <c r="A473" s="3" t="n"/>
      <c r="B473" s="3" t="n"/>
      <c r="C473" s="3" t="n"/>
      <c r="D473" s="4" t="n"/>
      <c r="E473" s="3" t="n"/>
      <c r="F473" s="3" t="n"/>
      <c r="G473" s="3" t="n"/>
      <c r="H473" s="3" t="n"/>
      <c r="I473" s="3" t="n"/>
      <c r="J473" s="3" t="n"/>
      <c r="K473" s="3" t="n"/>
      <c r="L473" s="3" t="n"/>
    </row>
    <row r="474">
      <c r="A474" s="3" t="n"/>
      <c r="B474" s="3" t="n"/>
      <c r="C474" s="3" t="n"/>
      <c r="D474" s="4" t="n"/>
      <c r="E474" s="3" t="n"/>
      <c r="F474" s="3" t="n"/>
      <c r="G474" s="3" t="n"/>
      <c r="H474" s="3" t="n"/>
      <c r="I474" s="3" t="n"/>
      <c r="J474" s="3" t="n"/>
      <c r="K474" s="3" t="n"/>
      <c r="L474" s="3" t="n"/>
    </row>
    <row r="475">
      <c r="A475" s="3" t="n"/>
      <c r="B475" s="3" t="n"/>
      <c r="C475" s="3" t="n"/>
      <c r="D475" s="4" t="n"/>
      <c r="E475" s="3" t="n"/>
      <c r="F475" s="3" t="n"/>
      <c r="G475" s="3" t="n"/>
      <c r="H475" s="3" t="n"/>
      <c r="I475" s="3" t="n"/>
      <c r="J475" s="3" t="n"/>
      <c r="K475" s="3" t="n"/>
      <c r="L475" s="3" t="n"/>
    </row>
    <row r="476">
      <c r="A476" s="3" t="n"/>
      <c r="B476" s="3" t="n"/>
      <c r="C476" s="3" t="n"/>
      <c r="D476" s="4" t="n"/>
      <c r="E476" s="3" t="n"/>
      <c r="F476" s="3" t="n"/>
      <c r="G476" s="3" t="n"/>
      <c r="H476" s="3" t="n"/>
      <c r="I476" s="3" t="n"/>
      <c r="J476" s="3" t="n"/>
      <c r="K476" s="3" t="n"/>
      <c r="L476" s="3" t="n"/>
    </row>
    <row r="477">
      <c r="A477" s="3" t="n"/>
      <c r="B477" s="3" t="n"/>
      <c r="C477" s="3" t="n"/>
      <c r="D477" s="4" t="n"/>
      <c r="E477" s="3" t="n"/>
      <c r="F477" s="3" t="n"/>
      <c r="G477" s="3" t="n"/>
      <c r="H477" s="3" t="n"/>
      <c r="I477" s="3" t="n"/>
      <c r="J477" s="3" t="n"/>
      <c r="K477" s="3" t="n"/>
      <c r="L477" s="3" t="n"/>
    </row>
    <row r="478">
      <c r="A478" s="3" t="n"/>
      <c r="B478" s="3" t="n"/>
      <c r="C478" s="3" t="n"/>
      <c r="D478" s="4" t="n"/>
      <c r="E478" s="3" t="n"/>
      <c r="F478" s="3" t="n"/>
      <c r="G478" s="3" t="n"/>
      <c r="H478" s="3" t="n"/>
      <c r="I478" s="3" t="n"/>
      <c r="J478" s="3" t="n"/>
      <c r="K478" s="3" t="n"/>
      <c r="L478" s="3" t="n"/>
    </row>
    <row r="479">
      <c r="A479" s="3" t="n"/>
      <c r="B479" s="3" t="n"/>
      <c r="C479" s="3" t="n"/>
      <c r="D479" s="4" t="n"/>
      <c r="E479" s="3" t="n"/>
      <c r="F479" s="3" t="n"/>
      <c r="G479" s="3" t="n"/>
      <c r="H479" s="3" t="n"/>
      <c r="I479" s="3" t="n"/>
      <c r="J479" s="3" t="n"/>
      <c r="K479" s="3" t="n"/>
      <c r="L479" s="3" t="n"/>
    </row>
    <row r="480">
      <c r="A480" s="3" t="n"/>
      <c r="B480" s="3" t="n"/>
      <c r="C480" s="3" t="n"/>
      <c r="D480" s="4" t="n"/>
      <c r="E480" s="3" t="n"/>
      <c r="F480" s="3" t="n"/>
      <c r="G480" s="3" t="n"/>
      <c r="H480" s="3" t="n"/>
      <c r="I480" s="3" t="n"/>
      <c r="J480" s="3" t="n"/>
      <c r="K480" s="3" t="n"/>
      <c r="L480" s="3" t="n"/>
    </row>
    <row r="481">
      <c r="A481" s="3" t="n"/>
      <c r="B481" s="3" t="n"/>
      <c r="C481" s="3" t="n"/>
      <c r="D481" s="4" t="n"/>
      <c r="E481" s="3" t="n"/>
      <c r="F481" s="3" t="n"/>
      <c r="G481" s="3" t="n"/>
      <c r="H481" s="3" t="n"/>
      <c r="I481" s="3" t="n"/>
      <c r="J481" s="3" t="n"/>
      <c r="K481" s="3" t="n"/>
      <c r="L481" s="3" t="n"/>
    </row>
    <row r="482">
      <c r="A482" s="3" t="n"/>
      <c r="B482" s="3" t="n"/>
      <c r="C482" s="3" t="n"/>
      <c r="D482" s="4" t="n"/>
      <c r="E482" s="3" t="n"/>
      <c r="F482" s="3" t="n"/>
      <c r="G482" s="3" t="n"/>
      <c r="H482" s="3" t="n"/>
      <c r="I482" s="3" t="n"/>
      <c r="J482" s="3" t="n"/>
      <c r="K482" s="3" t="n"/>
      <c r="L482" s="3" t="n"/>
    </row>
    <row r="483">
      <c r="A483" s="3" t="n"/>
      <c r="B483" s="3" t="n"/>
      <c r="C483" s="3" t="n"/>
      <c r="D483" s="4" t="n"/>
      <c r="E483" s="3" t="n"/>
      <c r="F483" s="3" t="n"/>
      <c r="G483" s="3" t="n"/>
      <c r="H483" s="3" t="n"/>
      <c r="I483" s="3" t="n"/>
      <c r="J483" s="3" t="n"/>
      <c r="K483" s="3" t="n"/>
      <c r="L483" s="3" t="n"/>
    </row>
    <row r="484">
      <c r="A484" s="3" t="n"/>
      <c r="B484" s="3" t="n"/>
      <c r="C484" s="3" t="n"/>
      <c r="D484" s="4" t="n"/>
      <c r="E484" s="3" t="n"/>
      <c r="F484" s="3" t="n"/>
      <c r="G484" s="3" t="n"/>
      <c r="H484" s="3" t="n"/>
      <c r="I484" s="3" t="n"/>
      <c r="J484" s="3" t="n"/>
      <c r="K484" s="3" t="n"/>
      <c r="L484" s="3" t="n"/>
    </row>
    <row r="485">
      <c r="A485" s="3" t="n"/>
      <c r="B485" s="3" t="n"/>
      <c r="C485" s="3" t="n"/>
      <c r="D485" s="4" t="n"/>
      <c r="E485" s="3" t="n"/>
      <c r="F485" s="3" t="n"/>
      <c r="G485" s="3" t="n"/>
      <c r="H485" s="3" t="n"/>
      <c r="I485" s="3" t="n"/>
      <c r="J485" s="3" t="n"/>
      <c r="K485" s="3" t="n"/>
      <c r="L485" s="3" t="n"/>
    </row>
    <row r="486">
      <c r="A486" s="3" t="n"/>
      <c r="B486" s="3" t="n"/>
      <c r="C486" s="3" t="n"/>
      <c r="D486" s="4" t="n"/>
      <c r="E486" s="3" t="n"/>
      <c r="F486" s="3" t="n"/>
      <c r="G486" s="3" t="n"/>
      <c r="H486" s="3" t="n"/>
      <c r="I486" s="3" t="n"/>
      <c r="J486" s="3" t="n"/>
      <c r="K486" s="3" t="n"/>
      <c r="L486" s="3" t="n"/>
    </row>
    <row r="487">
      <c r="A487" s="3" t="n"/>
      <c r="B487" s="3" t="n"/>
      <c r="C487" s="3" t="n"/>
      <c r="D487" s="4" t="n"/>
      <c r="E487" s="3" t="n"/>
      <c r="F487" s="3" t="n"/>
      <c r="G487" s="3" t="n"/>
      <c r="H487" s="3" t="n"/>
      <c r="I487" s="3" t="n"/>
      <c r="J487" s="3" t="n"/>
      <c r="K487" s="3" t="n"/>
      <c r="L487" s="3" t="n"/>
    </row>
    <row r="488">
      <c r="A488" s="3" t="n"/>
      <c r="B488" s="3" t="n"/>
      <c r="C488" s="3" t="n"/>
      <c r="D488" s="4" t="n"/>
      <c r="E488" s="3" t="n"/>
      <c r="F488" s="3" t="n"/>
      <c r="G488" s="3" t="n"/>
      <c r="H488" s="3" t="n"/>
      <c r="I488" s="3" t="n"/>
      <c r="J488" s="3" t="n"/>
      <c r="K488" s="3" t="n"/>
      <c r="L488" s="3" t="n"/>
    </row>
    <row r="489">
      <c r="A489" s="3" t="n"/>
      <c r="B489" s="3" t="n"/>
      <c r="C489" s="3" t="n"/>
      <c r="D489" s="4" t="n"/>
      <c r="E489" s="3" t="n"/>
      <c r="F489" s="3" t="n"/>
      <c r="G489" s="3" t="n"/>
      <c r="H489" s="3" t="n"/>
      <c r="I489" s="3" t="n"/>
      <c r="J489" s="3" t="n"/>
      <c r="K489" s="3" t="n"/>
      <c r="L489" s="3" t="n"/>
    </row>
    <row r="490">
      <c r="A490" s="3" t="n"/>
      <c r="B490" s="3" t="n"/>
      <c r="C490" s="3" t="n"/>
      <c r="D490" s="4" t="n"/>
      <c r="E490" s="3" t="n"/>
      <c r="F490" s="3" t="n"/>
      <c r="G490" s="3" t="n"/>
      <c r="H490" s="3" t="n"/>
      <c r="I490" s="3" t="n"/>
      <c r="J490" s="3" t="n"/>
      <c r="K490" s="3" t="n"/>
      <c r="L490" s="3" t="n"/>
    </row>
    <row r="491">
      <c r="A491" s="3" t="n"/>
      <c r="B491" s="3" t="n"/>
      <c r="C491" s="3" t="n"/>
      <c r="D491" s="4" t="n"/>
      <c r="E491" s="3" t="n"/>
      <c r="F491" s="3" t="n"/>
      <c r="G491" s="3" t="n"/>
      <c r="H491" s="3" t="n"/>
      <c r="I491" s="3" t="n"/>
      <c r="J491" s="3" t="n"/>
      <c r="K491" s="3" t="n"/>
      <c r="L491" s="3" t="n"/>
    </row>
    <row r="492">
      <c r="A492" s="3" t="n"/>
      <c r="B492" s="3" t="n"/>
      <c r="C492" s="3" t="n"/>
      <c r="D492" s="4" t="n"/>
      <c r="E492" s="3" t="n"/>
      <c r="F492" s="3" t="n"/>
      <c r="G492" s="3" t="n"/>
      <c r="H492" s="3" t="n"/>
      <c r="I492" s="3" t="n"/>
      <c r="J492" s="3" t="n"/>
      <c r="K492" s="3" t="n"/>
      <c r="L492" s="3" t="n"/>
    </row>
    <row r="493">
      <c r="A493" s="3" t="n"/>
      <c r="B493" s="3" t="n"/>
      <c r="C493" s="3" t="n"/>
      <c r="D493" s="4" t="n"/>
      <c r="E493" s="3" t="n"/>
      <c r="F493" s="3" t="n"/>
      <c r="G493" s="3" t="n"/>
      <c r="H493" s="3" t="n"/>
      <c r="I493" s="3" t="n"/>
      <c r="J493" s="3" t="n"/>
      <c r="K493" s="3" t="n"/>
      <c r="L493" s="3" t="n"/>
    </row>
    <row r="494">
      <c r="A494" s="3" t="n"/>
      <c r="B494" s="3" t="n"/>
      <c r="C494" s="3" t="n"/>
      <c r="D494" s="4" t="n"/>
      <c r="E494" s="3" t="n"/>
      <c r="F494" s="3" t="n"/>
      <c r="G494" s="3" t="n"/>
      <c r="H494" s="3" t="n"/>
      <c r="I494" s="3" t="n"/>
      <c r="J494" s="3" t="n"/>
      <c r="K494" s="3" t="n"/>
      <c r="L494" s="3" t="n"/>
    </row>
    <row r="495">
      <c r="A495" s="3" t="n"/>
      <c r="B495" s="3" t="n"/>
      <c r="C495" s="3" t="n"/>
      <c r="D495" s="4" t="n"/>
      <c r="E495" s="3" t="n"/>
      <c r="F495" s="3" t="n"/>
      <c r="G495" s="3" t="n"/>
      <c r="H495" s="3" t="n"/>
      <c r="I495" s="3" t="n"/>
      <c r="J495" s="3" t="n"/>
      <c r="K495" s="3" t="n"/>
      <c r="L495" s="3" t="n"/>
    </row>
    <row r="496">
      <c r="A496" s="3" t="n"/>
      <c r="B496" s="3" t="n"/>
      <c r="C496" s="3" t="n"/>
      <c r="D496" s="4" t="n"/>
      <c r="E496" s="3" t="n"/>
      <c r="F496" s="3" t="n"/>
      <c r="G496" s="3" t="n"/>
      <c r="H496" s="3" t="n"/>
      <c r="I496" s="3" t="n"/>
      <c r="J496" s="3" t="n"/>
      <c r="K496" s="3" t="n"/>
      <c r="L496" s="3" t="n"/>
    </row>
    <row r="497">
      <c r="A497" s="3" t="n"/>
      <c r="B497" s="3" t="n"/>
      <c r="C497" s="3" t="n"/>
      <c r="D497" s="4" t="n"/>
      <c r="E497" s="3" t="n"/>
      <c r="F497" s="3" t="n"/>
      <c r="G497" s="3" t="n"/>
      <c r="H497" s="3" t="n"/>
      <c r="I497" s="3" t="n"/>
      <c r="J497" s="3" t="n"/>
      <c r="K497" s="3" t="n"/>
      <c r="L497" s="3" t="n"/>
    </row>
    <row r="498">
      <c r="A498" s="3" t="n"/>
      <c r="B498" s="3" t="n"/>
      <c r="C498" s="3" t="n"/>
      <c r="D498" s="4" t="n"/>
      <c r="E498" s="3" t="n"/>
      <c r="F498" s="3" t="n"/>
      <c r="G498" s="3" t="n"/>
      <c r="H498" s="3" t="n"/>
      <c r="I498" s="3" t="n"/>
      <c r="J498" s="3" t="n"/>
      <c r="K498" s="3" t="n"/>
      <c r="L498" s="3" t="n"/>
    </row>
    <row r="499">
      <c r="A499" s="3" t="n"/>
      <c r="B499" s="3" t="n"/>
      <c r="C499" s="3" t="n"/>
      <c r="D499" s="4" t="n"/>
      <c r="E499" s="3" t="n"/>
      <c r="F499" s="3" t="n"/>
      <c r="G499" s="3" t="n"/>
      <c r="H499" s="3" t="n"/>
      <c r="I499" s="3" t="n"/>
      <c r="J499" s="3" t="n"/>
      <c r="K499" s="3" t="n"/>
      <c r="L499" s="3" t="n"/>
    </row>
    <row r="500">
      <c r="A500" s="3" t="n"/>
      <c r="B500" s="3" t="n"/>
      <c r="C500" s="3" t="n"/>
      <c r="D500" s="4" t="n"/>
      <c r="E500" s="3" t="n"/>
      <c r="F500" s="3" t="n"/>
      <c r="G500" s="3" t="n"/>
      <c r="H500" s="3" t="n"/>
      <c r="I500" s="3" t="n"/>
      <c r="J500" s="3" t="n"/>
      <c r="K500" s="3" t="n"/>
      <c r="L500" s="3" t="n"/>
    </row>
    <row r="501">
      <c r="A501" s="3" t="n"/>
      <c r="B501" s="3" t="n"/>
      <c r="C501" s="3" t="n"/>
      <c r="D501" s="4" t="n"/>
      <c r="E501" s="3" t="n"/>
      <c r="F501" s="3" t="n"/>
      <c r="G501" s="3" t="n"/>
      <c r="H501" s="3" t="n"/>
      <c r="I501" s="3" t="n"/>
      <c r="J501" s="3" t="n"/>
      <c r="K501" s="3" t="n"/>
      <c r="L501" s="3" t="n"/>
    </row>
    <row r="502">
      <c r="A502" s="3" t="n"/>
      <c r="B502" s="3" t="n"/>
      <c r="C502" s="3" t="n"/>
      <c r="D502" s="4" t="n"/>
      <c r="E502" s="3" t="n"/>
      <c r="F502" s="3" t="n"/>
      <c r="G502" s="3" t="n"/>
      <c r="H502" s="3" t="n"/>
      <c r="I502" s="3" t="n"/>
      <c r="J502" s="3" t="n"/>
      <c r="K502" s="3" t="n"/>
      <c r="L502" s="3" t="n"/>
    </row>
    <row r="503">
      <c r="A503" s="3" t="n"/>
      <c r="B503" s="3" t="n"/>
      <c r="C503" s="3" t="n"/>
      <c r="D503" s="4" t="n"/>
      <c r="E503" s="3" t="n"/>
      <c r="F503" s="3" t="n"/>
      <c r="G503" s="3" t="n"/>
      <c r="H503" s="3" t="n"/>
      <c r="I503" s="3" t="n"/>
      <c r="J503" s="3" t="n"/>
      <c r="K503" s="3" t="n"/>
      <c r="L503" s="3" t="n"/>
    </row>
    <row r="504">
      <c r="A504" s="3" t="n"/>
      <c r="B504" s="3" t="n"/>
      <c r="C504" s="3" t="n"/>
      <c r="D504" s="4" t="n"/>
      <c r="E504" s="3" t="n"/>
      <c r="F504" s="3" t="n"/>
      <c r="G504" s="3" t="n"/>
      <c r="H504" s="3" t="n"/>
      <c r="I504" s="3" t="n"/>
      <c r="J504" s="3" t="n"/>
      <c r="K504" s="3" t="n"/>
      <c r="L504" s="3" t="n"/>
    </row>
    <row r="505">
      <c r="A505" s="3" t="n"/>
      <c r="B505" s="3" t="n"/>
      <c r="C505" s="3" t="n"/>
      <c r="D505" s="4" t="n"/>
      <c r="E505" s="3" t="n"/>
      <c r="F505" s="3" t="n"/>
      <c r="G505" s="3" t="n"/>
      <c r="H505" s="3" t="n"/>
      <c r="I505" s="3" t="n"/>
      <c r="J505" s="3" t="n"/>
      <c r="K505" s="3" t="n"/>
      <c r="L505" s="3" t="n"/>
    </row>
    <row r="506">
      <c r="A506" s="3" t="n"/>
      <c r="B506" s="3" t="n"/>
      <c r="C506" s="3" t="n"/>
      <c r="D506" s="4" t="n"/>
      <c r="E506" s="3" t="n"/>
      <c r="F506" s="3" t="n"/>
      <c r="G506" s="3" t="n"/>
      <c r="H506" s="3" t="n"/>
      <c r="I506" s="3" t="n"/>
      <c r="J506" s="3" t="n"/>
      <c r="K506" s="3" t="n"/>
      <c r="L506" s="3" t="n"/>
    </row>
    <row r="507">
      <c r="A507" s="3" t="n"/>
      <c r="B507" s="3" t="n"/>
      <c r="C507" s="3" t="n"/>
      <c r="D507" s="4" t="n"/>
      <c r="E507" s="3" t="n"/>
      <c r="F507" s="3" t="n"/>
      <c r="G507" s="3" t="n"/>
      <c r="H507" s="3" t="n"/>
      <c r="I507" s="3" t="n"/>
      <c r="J507" s="3" t="n"/>
      <c r="K507" s="3" t="n"/>
      <c r="L507" s="3" t="n"/>
    </row>
    <row r="508">
      <c r="A508" s="3" t="n"/>
      <c r="B508" s="3" t="n"/>
      <c r="C508" s="3" t="n"/>
      <c r="D508" s="4" t="n"/>
      <c r="E508" s="3" t="n"/>
      <c r="F508" s="3" t="n"/>
      <c r="G508" s="3" t="n"/>
      <c r="H508" s="3" t="n"/>
      <c r="I508" s="3" t="n"/>
      <c r="J508" s="3" t="n"/>
      <c r="K508" s="3" t="n"/>
      <c r="L508" s="3" t="n"/>
    </row>
    <row r="509">
      <c r="A509" s="3" t="n"/>
      <c r="B509" s="3" t="n"/>
      <c r="C509" s="3" t="n"/>
      <c r="D509" s="4" t="n"/>
      <c r="E509" s="3" t="n"/>
      <c r="F509" s="3" t="n"/>
      <c r="G509" s="3" t="n"/>
      <c r="H509" s="3" t="n"/>
      <c r="I509" s="3" t="n"/>
      <c r="J509" s="3" t="n"/>
      <c r="K509" s="3" t="n"/>
      <c r="L509" s="3" t="n"/>
    </row>
    <row r="510">
      <c r="A510" s="3" t="n"/>
      <c r="B510" s="3" t="n"/>
      <c r="C510" s="3" t="n"/>
      <c r="D510" s="4" t="n"/>
      <c r="E510" s="3" t="n"/>
      <c r="F510" s="3" t="n"/>
      <c r="G510" s="3" t="n"/>
      <c r="H510" s="3" t="n"/>
      <c r="I510" s="3" t="n"/>
      <c r="J510" s="3" t="n"/>
      <c r="K510" s="3" t="n"/>
      <c r="L510" s="3" t="n"/>
    </row>
  </sheetData>
  <mergeCells count="2">
    <mergeCell ref="A2:L2"/>
    <mergeCell ref="A1:L1"/>
  </mergeCells>
  <conditionalFormatting sqref="H5:H407">
    <cfRule type="expression" priority="1" dxfId="3">
      <formula>$H5="INCLUDE"</formula>
    </cfRule>
    <cfRule type="expression" priority="2" dxfId="2">
      <formula>$H5="EXCLUDE"</formula>
    </cfRule>
  </conditionalFormatting>
  <dataValidations count="8">
    <dataValidation sqref="B365:B510" showDropDown="0" showInputMessage="0" showErrorMessage="0" allowBlank="0" type="list">
      <formula1>"A,B-i,B-ii"</formula1>
    </dataValidation>
    <dataValidation sqref="F365:F510" showDropDown="0" showInputMessage="0" showErrorMessage="0" allowBlank="0" type="list">
      <formula1>"Yes,No,Preprint,Unclear"</formula1>
    </dataValidation>
    <dataValidation sqref="H5:H407" showDropDown="0" showInputMessage="0" showErrorMessage="1" allowBlank="1" errorTitle="Not in the list" error="Use INCLUDE or EXCLUDE." type="list">
      <formula1>"INCLUDE,EXCLUDE"</formula1>
    </dataValidation>
    <dataValidation sqref="I5:I407" showDropDown="0" showInputMessage="0" showErrorMessage="1" allowBlank="1" errorTitle="Not in the list" error="Use one code, E1 to E8. See the Codes tab." type="list">
      <formula1>"E1,E2,E3,E4,E5,E6,E7,E8"</formula1>
    </dataValidation>
    <dataValidation sqref="Q5:Q407" showDropDown="0" showInputMessage="0" showErrorMessage="0" allowBlank="1" errorTitle="Not in the list" type="list">
      <formula1>"A-evidence,A-outcome,Bi-language,Bi-text,Bi-modality,Bi-zeroshot,Bi-finetuned,Bi-direct,Bi-task,Bii-estimand,Bii-calibration,Bii-adaptation,Bii-othersense"</formula1>
    </dataValidation>
    <dataValidation sqref="S5:S407" showDropDown="0" showInputMessage="0" showErrorMessage="1" allowBlank="1" errorTitle="Not in the list" error="Y or N; for Strand B-i: FT, ZS or Mixed." type="list">
      <formula1>"Y,N,FT,ZS,Mixed"</formula1>
    </dataValidation>
    <dataValidation sqref="T5:U407" showDropDown="0" showInputMessage="0" showErrorMessage="1" allowBlank="1" errorTitle="Not in the list" error="Y or N." type="list">
      <formula1>"Y,N"</formula1>
    </dataValidation>
    <dataValidation sqref="O5:O268 O270:O406 P269" showDropDown="0" showInputMessage="0" showErrorMessage="1" allowBlank="1" errorTitle="Not in the list" error="Use one of the listed versions." type="list">
      <formula1>"Published,Accepted manuscript,Preprint,Thesis,Not retrieved"</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187"/>
  <sheetViews>
    <sheetView topLeftCell="A30" workbookViewId="0">
      <selection activeCell="B3" sqref="B3"/>
    </sheetView>
  </sheetViews>
  <sheetFormatPr baseColWidth="8" defaultRowHeight="14.25"/>
  <cols>
    <col width="30.5" bestFit="1" customWidth="1" style="18" min="1" max="1"/>
    <col width="27.375" customWidth="1" style="18" min="2" max="2"/>
    <col width="30" customWidth="1" style="18" min="3" max="3"/>
    <col width="9" customWidth="1" style="18" min="4" max="4"/>
    <col width="45" customWidth="1" style="18" min="5" max="5"/>
    <col width="70" customWidth="1" style="18" min="6" max="6"/>
    <col width="20" customWidth="1" style="18" min="7" max="7"/>
    <col width="24" customWidth="1" style="18" min="8" max="8"/>
    <col width="18" customWidth="1" style="18" min="9" max="9"/>
    <col width="36" customWidth="1" style="18" min="10" max="10"/>
  </cols>
  <sheetData>
    <row r="1">
      <c r="A1" t="inlineStr">
        <is>
          <t>Stage 2 Abstract Screening</t>
        </is>
      </c>
    </row>
    <row r="2" ht="85.5" customHeight="1" s="18">
      <c r="A2" t="inlineStr">
        <is>
          <t>LOCKED STRAND B-i CRITERION</t>
        </is>
      </c>
      <c r="B2" s="2" t="inlineStr">
        <is>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is>
      </c>
    </row>
    <row r="3">
      <c r="A3" t="inlineStr">
        <is>
          <t>OPERATIVE QUESTION</t>
        </is>
      </c>
      <c r="B3" t="inlineStr">
        <is>
          <t>Is the comparison in this paper between zero-shot and fine-tuned, or between languages?</t>
        </is>
      </c>
    </row>
    <row r="4">
      <c r="A4" t="inlineStr">
        <is>
          <t>Stage 2 population</t>
        </is>
      </c>
      <c r="B4" t="n">
        <v>1181</v>
      </c>
    </row>
    <row r="6">
      <c r="A6" t="inlineStr">
        <is>
          <t>ID</t>
        </is>
      </c>
      <c r="B6" t="inlineStr">
        <is>
          <t>Strand</t>
        </is>
      </c>
      <c r="C6" t="inlineStr">
        <is>
          <t>Authors</t>
        </is>
      </c>
      <c r="D6" t="inlineStr">
        <is>
          <t>Year</t>
        </is>
      </c>
      <c r="E6" t="inlineStr">
        <is>
          <t>Title</t>
        </is>
      </c>
      <c r="F6" t="inlineStr">
        <is>
          <t>Abstract</t>
        </is>
      </c>
      <c r="G6" t="inlineStr">
        <is>
          <t>Publication status</t>
        </is>
      </c>
      <c r="H6" t="inlineStr">
        <is>
          <t>DOI</t>
        </is>
      </c>
      <c r="I6" t="inlineStr">
        <is>
          <t>Stage 2 decision</t>
        </is>
      </c>
      <c r="J6" t="inlineStr">
        <is>
          <t>Screening note</t>
        </is>
      </c>
    </row>
    <row r="7" ht="409.5" customHeight="1" s="18">
      <c r="A7" s="5" t="inlineStr">
        <is>
          <t>S2-0001</t>
        </is>
      </c>
      <c r="B7" s="5" t="inlineStr">
        <is>
          <t>A</t>
        </is>
      </c>
      <c r="C7" s="3" t="inlineStr">
        <is>
          <t>A. Matin; H. Dia</t>
        </is>
      </c>
      <c r="D7" s="6" t="n">
        <v>2024</v>
      </c>
      <c r="E7" s="3" t="inlineStr">
        <is>
          <t>Public Perception of Connected and Automated Vehicles: Benefits, Concerns, and Barriers from an Australian Perspective</t>
        </is>
      </c>
      <c r="F7" s="3" t="inlineStr">
        <is>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is>
      </c>
      <c r="G7" s="5" t="inlineStr">
        <is>
          <t>Journal article</t>
        </is>
      </c>
      <c r="H7" s="5" t="inlineStr">
        <is>
          <t>10.26599/jicv.2023.9210028</t>
        </is>
      </c>
      <c r="I7" s="5" t="n"/>
      <c r="J7" s="3" t="n"/>
    </row>
    <row r="8" ht="285" customHeight="1" s="18">
      <c r="A8" s="5" t="inlineStr">
        <is>
          <t>S2-0002</t>
        </is>
      </c>
      <c r="B8" s="5" t="inlineStr">
        <is>
          <t>A</t>
        </is>
      </c>
      <c r="C8" s="3" t="inlineStr">
        <is>
          <t>A. Alahmadi; S. Elhag; M. Meccawy</t>
        </is>
      </c>
      <c r="D8" s="6" t="n">
        <v>2025</v>
      </c>
      <c r="E8" s="3" t="inlineStr">
        <is>
          <t>Assessing Public Acceptance of Autonomous Vehicles in Saudi Arabia</t>
        </is>
      </c>
      <c r="F8" s="3" t="inlineStr">
        <is>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is>
      </c>
      <c r="G8" s="5" t="inlineStr">
        <is>
          <t>Conference paper</t>
        </is>
      </c>
      <c r="H8" s="5" t="inlineStr">
        <is>
          <t>10.1109/aiccsa66935.2025.11315380</t>
        </is>
      </c>
      <c r="I8" s="5" t="n"/>
      <c r="J8" s="3" t="n"/>
    </row>
    <row r="9" ht="185.25" customHeight="1" s="18">
      <c r="A9" s="5" t="inlineStr">
        <is>
          <t>S2-0003</t>
        </is>
      </c>
      <c r="B9" s="5" t="inlineStr">
        <is>
          <t>A</t>
        </is>
      </c>
      <c r="C9" s="3" t="inlineStr">
        <is>
          <t>O. Alharasees; H. A. Al Hasanat; D. Alothman</t>
        </is>
      </c>
      <c r="D9" s="6" t="n">
        <v>2024</v>
      </c>
      <c r="E9" s="3" t="inlineStr">
        <is>
          <t>Public Perception of Autonomous and Shared Autonomous Vehicles: Case Study of Amman</t>
        </is>
      </c>
      <c r="F9" s="3" t="inlineStr">
        <is>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is>
      </c>
      <c r="G9" s="5" t="inlineStr">
        <is>
          <t>Conference paper</t>
        </is>
      </c>
      <c r="H9" s="5" t="inlineStr">
        <is>
          <t>10.1109/ictiia61827.2024.10761581</t>
        </is>
      </c>
      <c r="I9" s="5" t="n"/>
      <c r="J9" s="3" t="n"/>
    </row>
    <row r="10" ht="142.5" customHeight="1" s="18">
      <c r="A10" s="5" t="inlineStr">
        <is>
          <t>S2-0004</t>
        </is>
      </c>
      <c r="B10" s="5" t="inlineStr">
        <is>
          <t>A</t>
        </is>
      </c>
      <c r="C10" s="3" t="inlineStr">
        <is>
          <t>S. Pal; L. Sharma; M. Jangid</t>
        </is>
      </c>
      <c r="D10" s="6" t="n">
        <v>2022</v>
      </c>
      <c r="E10" s="3" t="inlineStr">
        <is>
          <t>Trust and Technology Acceptance in Crossing-Decision of Pedestrian in Automated Vehicles</t>
        </is>
      </c>
      <c r="F10" s="3" t="inlineStr">
        <is>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is>
      </c>
      <c r="G10" s="5" t="inlineStr">
        <is>
          <t>Conference paper</t>
        </is>
      </c>
      <c r="H10" s="5" t="inlineStr">
        <is>
          <t>10.1109/icaccs54159.2022.9785157</t>
        </is>
      </c>
      <c r="I10" s="5" t="n"/>
      <c r="J10" s="3" t="n"/>
    </row>
    <row r="11" ht="228" customHeight="1" s="18">
      <c r="A11" s="5" t="inlineStr">
        <is>
          <t>S2-0005</t>
        </is>
      </c>
      <c r="B11" s="5" t="inlineStr">
        <is>
          <t>A</t>
        </is>
      </c>
      <c r="C11" s="3" t="inlineStr">
        <is>
          <t>D. Hafiz</t>
        </is>
      </c>
      <c r="D11" s="6" t="n">
        <v>2024</v>
      </c>
      <c r="E11" s="3" t="inlineStr">
        <is>
          <t>Human Acceptance of Autonomous Mobility: A Literature Review</t>
        </is>
      </c>
      <c r="F11" s="3" t="inlineStr">
        <is>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is>
      </c>
      <c r="G11" s="5" t="inlineStr">
        <is>
          <t>Conference paper</t>
        </is>
      </c>
      <c r="H11" s="5" t="inlineStr">
        <is>
          <t>10.1109/uvs59630.2024.10467165</t>
        </is>
      </c>
      <c r="I11" s="5" t="n"/>
      <c r="J11" s="3" t="n"/>
    </row>
    <row r="12" ht="171" customHeight="1" s="18">
      <c r="A12" s="5" t="inlineStr">
        <is>
          <t>S2-0006</t>
        </is>
      </c>
      <c r="B12" s="5" t="inlineStr">
        <is>
          <t>A</t>
        </is>
      </c>
      <c r="C12" s="3" t="inlineStr">
        <is>
          <t>T. Schmidt; R. Philipsen; P. Themann; M. Ziefle</t>
        </is>
      </c>
      <c r="D12" s="6" t="n">
        <v>2016</v>
      </c>
      <c r="E12" s="3" t="inlineStr">
        <is>
          <t>Public perception of V2X-technology - evaluation of general advantages, disadvantages and reasons for data sharing with connected vehicles</t>
        </is>
      </c>
      <c r="F12" s="3" t="inlineStr">
        <is>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is>
      </c>
      <c r="G12" s="5" t="inlineStr">
        <is>
          <t>Conference paper</t>
        </is>
      </c>
      <c r="H12" s="5" t="inlineStr">
        <is>
          <t>10.1109/ivs.2016.7535565</t>
        </is>
      </c>
      <c r="I12" s="5" t="n"/>
      <c r="J12" s="3" t="n"/>
    </row>
    <row r="13" ht="327.75" customHeight="1" s="18">
      <c r="A13" s="5" t="inlineStr">
        <is>
          <t>S2-0007</t>
        </is>
      </c>
      <c r="B13" s="5" t="inlineStr">
        <is>
          <t>A</t>
        </is>
      </c>
      <c r="C13" s="3" t="inlineStr">
        <is>
          <t>N. B. Al Barghuthi; H. Said</t>
        </is>
      </c>
      <c r="D13" s="6" t="n">
        <v>2019</v>
      </c>
      <c r="E13" s="3" t="inlineStr">
        <is>
          <t>Readiness, Safety, and Privacy on Adopting Autonomous Vehicle Technology: UAE Case Study</t>
        </is>
      </c>
      <c r="F13" s="3" t="inlineStr">
        <is>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is>
      </c>
      <c r="G13" s="5" t="inlineStr">
        <is>
          <t>Conference paper</t>
        </is>
      </c>
      <c r="H13" s="5" t="inlineStr">
        <is>
          <t>10.1109/itt48889.2019.9075090</t>
        </is>
      </c>
      <c r="I13" s="5" t="n"/>
      <c r="J13" s="3" t="n"/>
    </row>
    <row r="14" ht="185.25" customHeight="1" s="18">
      <c r="A14" s="5" t="inlineStr">
        <is>
          <t>S2-0008</t>
        </is>
      </c>
      <c r="B14" s="5" t="inlineStr">
        <is>
          <t>A</t>
        </is>
      </c>
      <c r="C14" s="3" t="inlineStr">
        <is>
          <t>R. Du; H. Du; J. Wu</t>
        </is>
      </c>
      <c r="D14" s="6" t="n">
        <v>2022</v>
      </c>
      <c r="E14" s="3" t="inlineStr">
        <is>
          <t>Media and Trust Influence Consumers' Acceptance of Self-driving Cars</t>
        </is>
      </c>
      <c r="F14" s="3" t="inlineStr">
        <is>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is>
      </c>
      <c r="G14" s="5" t="inlineStr">
        <is>
          <t>Conference paper</t>
        </is>
      </c>
      <c r="H14" s="5" t="inlineStr">
        <is>
          <t>10.1109/ictle55577.2022.9901584</t>
        </is>
      </c>
      <c r="I14" s="5" t="n"/>
      <c r="J14" s="3" t="n"/>
    </row>
    <row r="15" ht="256.5" customHeight="1" s="18">
      <c r="A15" s="5" t="inlineStr">
        <is>
          <t>S2-0009</t>
        </is>
      </c>
      <c r="B15" s="5" t="inlineStr">
        <is>
          <t>A</t>
        </is>
      </c>
      <c r="C15" s="3" t="inlineStr">
        <is>
          <t>N. Sohaee</t>
        </is>
      </c>
      <c r="D15" s="6" t="n">
        <v>2024</v>
      </c>
      <c r="E15" s="3" t="inlineStr">
        <is>
          <t>Public Perception Toward Tesla Fatal Accidents: Neural Network Approach</t>
        </is>
      </c>
      <c r="F15" s="3" t="inlineStr">
        <is>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is>
      </c>
      <c r="G15" s="5" t="inlineStr">
        <is>
          <t>Conference paper</t>
        </is>
      </c>
      <c r="H15" s="5" t="inlineStr">
        <is>
          <t>10.1109/qrs-c63300.2024.00144</t>
        </is>
      </c>
      <c r="I15" s="5" t="n"/>
      <c r="J15" s="3" t="n"/>
    </row>
    <row r="16" ht="185.25" customHeight="1" s="18">
      <c r="A16" s="5" t="inlineStr">
        <is>
          <t>S2-0010</t>
        </is>
      </c>
      <c r="B16" s="5" t="inlineStr">
        <is>
          <t>A</t>
        </is>
      </c>
      <c r="C16" s="3" t="inlineStr">
        <is>
          <t>K. Sudharson; K. Selvi; C. T. C; L. Anitha; A. SureshKumar; V. Subhashini</t>
        </is>
      </c>
      <c r="D16" s="6" t="n">
        <v>2025</v>
      </c>
      <c r="E16" s="3" t="inlineStr">
        <is>
          <t>Strategic Leadership in Autonomous Vehicle Integration for Enhanced Urban Mobility</t>
        </is>
      </c>
      <c r="F16" s="3" t="inlineStr">
        <is>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is>
      </c>
      <c r="G16" s="5" t="inlineStr">
        <is>
          <t>Conference paper</t>
        </is>
      </c>
      <c r="H16" s="5" t="inlineStr">
        <is>
          <t>10.1109/iccds64403.2025.11209717</t>
        </is>
      </c>
      <c r="I16" s="5" t="n"/>
      <c r="J16" s="3" t="n"/>
    </row>
    <row r="17" ht="256.5" customHeight="1" s="18">
      <c r="A17" s="5" t="inlineStr">
        <is>
          <t>S2-0011</t>
        </is>
      </c>
      <c r="B17" s="5" t="inlineStr">
        <is>
          <t>A</t>
        </is>
      </c>
      <c r="C17" s="3" t="inlineStr">
        <is>
          <t>T. -H. Nguyen; T. G. Vu; H. -L. Tran; K. -S. Wong</t>
        </is>
      </c>
      <c r="D17" s="6" t="n">
        <v>2022</v>
      </c>
      <c r="E17" s="3" t="inlineStr">
        <is>
          <t>Emerging Privacy and Trust Issues for Autonomous Vehicle Systems</t>
        </is>
      </c>
      <c r="F17" s="3" t="inlineStr">
        <is>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is>
      </c>
      <c r="G17" s="5" t="inlineStr">
        <is>
          <t>Conference paper</t>
        </is>
      </c>
      <c r="H17" s="5" t="inlineStr">
        <is>
          <t>10.1109/icoin53446.2022.9687196</t>
        </is>
      </c>
      <c r="I17" s="5" t="n"/>
      <c r="J17" s="3" t="n"/>
    </row>
    <row r="18" ht="185.25" customHeight="1" s="18">
      <c r="A18" s="5" t="inlineStr">
        <is>
          <t>S2-0012</t>
        </is>
      </c>
      <c r="B18" s="5" t="inlineStr">
        <is>
          <t>A</t>
        </is>
      </c>
      <c r="C18" s="3" t="inlineStr">
        <is>
          <t>J. S. Brar; B. Caulfield</t>
        </is>
      </c>
      <c r="D18" s="6" t="n">
        <v>2017</v>
      </c>
      <c r="E18" s="3" t="inlineStr">
        <is>
          <t>Impact of autonomous vehicles on pedestrians' safety</t>
        </is>
      </c>
      <c r="F18" s="3" t="inlineStr">
        <is>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is>
      </c>
      <c r="G18" s="5" t="inlineStr">
        <is>
          <t>Conference paper</t>
        </is>
      </c>
      <c r="H18" s="5" t="inlineStr">
        <is>
          <t>10.1109/itsc.2017.8317963</t>
        </is>
      </c>
      <c r="I18" s="5" t="n"/>
      <c r="J18" s="3" t="n"/>
    </row>
    <row r="19" ht="270.75" customHeight="1" s="18">
      <c r="A19" s="5" t="inlineStr">
        <is>
          <t>S2-0013</t>
        </is>
      </c>
      <c r="B19" s="5" t="inlineStr">
        <is>
          <t>A</t>
        </is>
      </c>
      <c r="C19" s="3" t="inlineStr">
        <is>
          <t>F. Znidi; M. Morsy; H. Rathore</t>
        </is>
      </c>
      <c r="D19" s="6" t="n">
        <v>2024</v>
      </c>
      <c r="E19" s="3" t="inlineStr">
        <is>
          <t>Future on Wheels: Safeguarding Privacy in Tomorrow’s Connected Vehicles-FUTURE-SP</t>
        </is>
      </c>
      <c r="F19" s="3" t="inlineStr">
        <is>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is>
      </c>
      <c r="G19" s="5" t="inlineStr">
        <is>
          <t>Journal article</t>
        </is>
      </c>
      <c r="H19" s="5" t="inlineStr">
        <is>
          <t>10.1109/access.2024.3505158</t>
        </is>
      </c>
      <c r="I19" s="5" t="n"/>
      <c r="J19" s="3" t="n"/>
    </row>
    <row r="20" ht="213.75" customHeight="1" s="18">
      <c r="A20" s="5" t="inlineStr">
        <is>
          <t>S2-0014</t>
        </is>
      </c>
      <c r="B20" s="5" t="inlineStr">
        <is>
          <t>A</t>
        </is>
      </c>
      <c r="C20" s="3" t="inlineStr">
        <is>
          <t>L. M. Cysneiros; M. Raffi; J. C. Sampaio do Prado Leite</t>
        </is>
      </c>
      <c r="D20" s="6" t="n">
        <v>2018</v>
      </c>
      <c r="E20" s="3" t="inlineStr">
        <is>
          <t>Software Transparency as a Key Requirement for Self-Driving Cars</t>
        </is>
      </c>
      <c r="F20" s="3" t="inlineStr">
        <is>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is>
      </c>
      <c r="G20" s="5" t="inlineStr">
        <is>
          <t>Conference paper</t>
        </is>
      </c>
      <c r="H20" s="5" t="inlineStr">
        <is>
          <t>10.1109/re.2018.00-21</t>
        </is>
      </c>
      <c r="I20" s="5" t="n"/>
      <c r="J20" s="3" t="n"/>
    </row>
    <row r="21" ht="285" customHeight="1" s="18">
      <c r="A21" s="5" t="inlineStr">
        <is>
          <t>S2-0015</t>
        </is>
      </c>
      <c r="B21" s="5" t="inlineStr">
        <is>
          <t>A</t>
        </is>
      </c>
      <c r="C21" s="3" t="inlineStr">
        <is>
          <t>A. Mushtaq; S. Riaz; H. Mohd; A. Saleh</t>
        </is>
      </c>
      <c r="D21" s="6" t="n">
        <v>2018</v>
      </c>
      <c r="E21" s="3" t="inlineStr">
        <is>
          <t>Perception and technology adoption trends for autonomous vehicles: Educational case study</t>
        </is>
      </c>
      <c r="F21" s="3" t="inlineStr">
        <is>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is>
      </c>
      <c r="G21" s="5" t="inlineStr">
        <is>
          <t>Conference paper</t>
        </is>
      </c>
      <c r="H21" s="5" t="inlineStr">
        <is>
          <t>10.1109/icaset.2018.8376923</t>
        </is>
      </c>
      <c r="I21" s="5" t="n"/>
      <c r="J21" s="3" t="n"/>
    </row>
    <row r="22" ht="228" customHeight="1" s="18">
      <c r="A22" s="5" t="inlineStr">
        <is>
          <t>S2-0016</t>
        </is>
      </c>
      <c r="B22" s="5" t="inlineStr">
        <is>
          <t>A</t>
        </is>
      </c>
      <c r="C22" s="3" t="inlineStr">
        <is>
          <t>I. Zajc; R. Sernec; G. Lenart; A. Pucihar</t>
        </is>
      </c>
      <c r="D22" s="6" t="n">
        <v>2020</v>
      </c>
      <c r="E22" s="3" t="inlineStr">
        <is>
          <t>Autonomous mobility and user perception: A Case of City as a Lab in Slovenia</t>
        </is>
      </c>
      <c r="F22" s="3" t="inlineStr">
        <is>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is>
      </c>
      <c r="G22" s="5" t="inlineStr">
        <is>
          <t>Conference paper</t>
        </is>
      </c>
      <c r="H22" s="5" t="inlineStr">
        <is>
          <t>10.23919/mipro48935.2020.9245147</t>
        </is>
      </c>
      <c r="I22" s="5" t="n"/>
      <c r="J22" s="3" t="n"/>
    </row>
    <row r="23" ht="285" customHeight="1" s="18">
      <c r="A23" s="5" t="inlineStr">
        <is>
          <t>S2-0017</t>
        </is>
      </c>
      <c r="B23" s="5" t="inlineStr">
        <is>
          <t>A</t>
        </is>
      </c>
      <c r="C23" s="3" t="inlineStr">
        <is>
          <t>C. Mutzenich; F. McVey; C. Martin; C. Harding</t>
        </is>
      </c>
      <c r="D23" s="6" t="n">
        <v>2024</v>
      </c>
      <c r="E23" s="3" t="inlineStr">
        <is>
          <t>Driving the Future: Addressing Generational Trust and Ownership Barriers in the Adoption of Connected and Autonomous Vehicles</t>
        </is>
      </c>
      <c r="F23" s="3" t="inlineStr">
        <is>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is>
      </c>
      <c r="G23" s="5" t="inlineStr">
        <is>
          <t>Conference paper</t>
        </is>
      </c>
      <c r="H23" s="5" t="inlineStr">
        <is>
          <t>10.1109/iv55156.2024.10588833</t>
        </is>
      </c>
      <c r="I23" s="5" t="n"/>
      <c r="J23" s="3" t="n"/>
    </row>
    <row r="24" ht="171" customHeight="1" s="18">
      <c r="A24" s="5" t="inlineStr">
        <is>
          <t>S2-0018</t>
        </is>
      </c>
      <c r="B24" s="5" t="inlineStr">
        <is>
          <t>A</t>
        </is>
      </c>
      <c r="C24" s="3" t="inlineStr">
        <is>
          <t>A. A. A. Alshaafee; N. A. Iahad</t>
        </is>
      </c>
      <c r="D24" s="6" t="n">
        <v>2019</v>
      </c>
      <c r="E24" s="3" t="inlineStr">
        <is>
          <t>Enhanced Net Valence Model (NVM) for the Adoption of Autonomous Vehicles (AVs) by Novice Drivers</t>
        </is>
      </c>
      <c r="F24" s="3" t="inlineStr">
        <is>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is>
      </c>
      <c r="G24" s="5" t="inlineStr">
        <is>
          <t>Conference paper</t>
        </is>
      </c>
      <c r="H24" s="5" t="inlineStr">
        <is>
          <t>10.1109/icriis48246.2019.9073281</t>
        </is>
      </c>
      <c r="I24" s="5" t="n"/>
      <c r="J24" s="3" t="n"/>
    </row>
    <row r="25" ht="399" customHeight="1" s="18">
      <c r="A25" s="5" t="inlineStr">
        <is>
          <t>S2-0019</t>
        </is>
      </c>
      <c r="B25" s="5" t="inlineStr">
        <is>
          <t>A</t>
        </is>
      </c>
      <c r="C25" s="3" t="inlineStr">
        <is>
          <t>T. Myklebust; T. Stålhane; G. D. Jenssen</t>
        </is>
      </c>
      <c r="D25" s="6" t="n">
        <v>2023</v>
      </c>
      <c r="E25" s="3" t="inlineStr">
        <is>
          <t>Autonomous Vehicles - Trust, Safety and Security Cases: The Complete Picture</t>
        </is>
      </c>
      <c r="F25" s="3" t="inlineStr">
        <is>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is>
      </c>
      <c r="G25" s="5" t="inlineStr">
        <is>
          <t>Conference paper</t>
        </is>
      </c>
      <c r="H25" s="5" t="inlineStr">
        <is>
          <t>10.1109/rams51473.2023.10088202</t>
        </is>
      </c>
      <c r="I25" s="5" t="n"/>
      <c r="J25" s="3" t="n"/>
    </row>
    <row r="26" ht="242.25" customHeight="1" s="18">
      <c r="A26" s="5" t="inlineStr">
        <is>
          <t>S2-0020</t>
        </is>
      </c>
      <c r="B26" s="5" t="inlineStr">
        <is>
          <t>A</t>
        </is>
      </c>
      <c r="C26" s="3" t="inlineStr">
        <is>
          <t>N. Z. AlRais; S. M. AlHajeri; H. Almansoori; A. AlAwadhi; A. Panthakkan; S. A. Amin</t>
        </is>
      </c>
      <c r="D26" s="6" t="n">
        <v>2025</v>
      </c>
      <c r="E26" s="3" t="inlineStr">
        <is>
          <t>Privacy on Autopilot: Exploring User Attitudes Toward Data Use in Autonomous Vehicles</t>
        </is>
      </c>
      <c r="F26" s="3" t="inlineStr">
        <is>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is>
      </c>
      <c r="G26" s="5" t="inlineStr">
        <is>
          <t>Conference paper</t>
        </is>
      </c>
      <c r="H26" s="5" t="inlineStr">
        <is>
          <t>10.1109/aset66891.2025.11427971</t>
        </is>
      </c>
      <c r="I26" s="5" t="n"/>
      <c r="J26" s="3" t="n"/>
    </row>
    <row r="27" ht="228" customHeight="1" s="18">
      <c r="A27" s="5" t="inlineStr">
        <is>
          <t>S2-0021</t>
        </is>
      </c>
      <c r="B27" s="5" t="inlineStr">
        <is>
          <t>A</t>
        </is>
      </c>
      <c r="C27" s="3" t="inlineStr">
        <is>
          <t>S. Majumdar; A. Awasthi; S. E. Kirkley</t>
        </is>
      </c>
      <c r="D27" s="6" t="n">
        <v>2025</v>
      </c>
      <c r="E27" s="3" t="inlineStr">
        <is>
          <t>Navigating the Future: Predictive Modeling of Safety Perceptions and Adoption Readiness of Autonomous Vehicles for Public Safety Enhancement</t>
        </is>
      </c>
      <c r="F27" s="3" t="inlineStr">
        <is>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is>
      </c>
      <c r="G27" s="5" t="inlineStr">
        <is>
          <t>Conference paper</t>
        </is>
      </c>
      <c r="H27" s="5" t="inlineStr">
        <is>
          <t>10.1109/ccwc62904.2025.10903793</t>
        </is>
      </c>
      <c r="I27" s="5" t="n"/>
      <c r="J27" s="3" t="n"/>
    </row>
    <row r="28" ht="242.25" customHeight="1" s="18">
      <c r="A28" s="5" t="inlineStr">
        <is>
          <t>S2-0022</t>
        </is>
      </c>
      <c r="B28" s="5" t="inlineStr">
        <is>
          <t>A</t>
        </is>
      </c>
      <c r="C28" s="3" t="inlineStr">
        <is>
          <t>W. Titov; T. Schlegel</t>
        </is>
      </c>
      <c r="D28" s="6" t="n">
        <v>2022</v>
      </c>
      <c r="E28" s="3" t="inlineStr">
        <is>
          <t>Promoting User Acceptance in Autonomous Driving</t>
        </is>
      </c>
      <c r="F28" s="3" t="inlineStr">
        <is>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is>
      </c>
      <c r="G28" s="5" t="inlineStr">
        <is>
          <t>Conference paper</t>
        </is>
      </c>
      <c r="H28" s="5" t="inlineStr">
        <is>
          <t>10.23919/splitech55088.2022.9854288</t>
        </is>
      </c>
      <c r="I28" s="5" t="n"/>
      <c r="J28" s="3" t="n"/>
    </row>
    <row r="29" ht="313.5" customHeight="1" s="18">
      <c r="A29" s="5" t="inlineStr">
        <is>
          <t>S2-0023</t>
        </is>
      </c>
      <c r="B29" s="5" t="inlineStr">
        <is>
          <t>A</t>
        </is>
      </c>
      <c r="C29" s="3" t="inlineStr">
        <is>
          <t>N. Nedunchezhian; A. Anbuchezian; R. Subramanian; C. Arivazhagan; G. Chakkravarthy</t>
        </is>
      </c>
      <c r="D29" s="6" t="n">
        <v>2025</v>
      </c>
      <c r="E29" s="3" t="inlineStr">
        <is>
          <t>Ethical Issues in Autonomous Vehicle Programming- An Indian Perspective</t>
        </is>
      </c>
      <c r="F29" s="3" t="inlineStr">
        <is>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is>
      </c>
      <c r="G29" s="5" t="inlineStr">
        <is>
          <t>Conference paper</t>
        </is>
      </c>
      <c r="H29" s="5" t="inlineStr">
        <is>
          <t>10.1109/ethics65148.2025.11098210</t>
        </is>
      </c>
      <c r="I29" s="5" t="n"/>
      <c r="J29" s="3" t="n"/>
    </row>
    <row r="30" ht="142.5" customHeight="1" s="18">
      <c r="A30" s="5" t="inlineStr">
        <is>
          <t>S2-0024</t>
        </is>
      </c>
      <c r="B30" s="5" t="inlineStr">
        <is>
          <t>A</t>
        </is>
      </c>
      <c r="C30" s="3" t="inlineStr">
        <is>
          <t>L. Chen; L. Yang; X. Luan; L. Yang; Y. Song; S. Qin</t>
        </is>
      </c>
      <c r="D30" s="6" t="n">
        <v>2024</v>
      </c>
      <c r="E30" s="3" t="inlineStr">
        <is>
          <t>Advanced Autonomous Vehicle Acceptance Model (AAVAM) for Promoting Accessible Travel</t>
        </is>
      </c>
      <c r="F30" s="3" t="inlineStr">
        <is>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is>
      </c>
      <c r="G30" s="5" t="inlineStr">
        <is>
          <t>Conference paper</t>
        </is>
      </c>
      <c r="H30" s="5" t="inlineStr">
        <is>
          <t>10.1109/icac61394.2024.10718798</t>
        </is>
      </c>
      <c r="I30" s="5" t="n"/>
      <c r="J30" s="3" t="n"/>
    </row>
    <row r="31" ht="71.25" customHeight="1" s="18">
      <c r="A31" s="5" t="inlineStr">
        <is>
          <t>S2-0025</t>
        </is>
      </c>
      <c r="B31" s="5" t="inlineStr">
        <is>
          <t>A</t>
        </is>
      </c>
      <c r="C31" s="3" t="inlineStr">
        <is>
          <t>S. Farmer; E. F. Judge</t>
        </is>
      </c>
      <c r="D31" s="6" t="n">
        <v>2024</v>
      </c>
      <c r="E31" s="3" t="inlineStr">
        <is>
          <t>Legal considerations for the transportation of unaccompanied minors in autonomous vehicles</t>
        </is>
      </c>
      <c r="F31" s="3" t="inlineStr">
        <is>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is>
      </c>
      <c r="G31" s="5" t="inlineStr">
        <is>
          <t>Conference paper</t>
        </is>
      </c>
      <c r="H31" s="5" t="inlineStr">
        <is>
          <t>10.1109/wf-iot62078.2024.10811331</t>
        </is>
      </c>
      <c r="I31" s="5" t="n"/>
      <c r="J31" s="3" t="n"/>
    </row>
    <row r="32" ht="313.5" customHeight="1" s="18">
      <c r="A32" s="5" t="inlineStr">
        <is>
          <t>S2-0026</t>
        </is>
      </c>
      <c r="B32" s="5" t="inlineStr">
        <is>
          <t>A</t>
        </is>
      </c>
      <c r="C32" s="3" t="inlineStr">
        <is>
          <t>S. Schwartz; L. G. Guntrum; C. Reuter</t>
        </is>
      </c>
      <c r="D32" s="6" t="n">
        <v>2022</v>
      </c>
      <c r="E32" s="3" t="inlineStr">
        <is>
          <t>Vision or Threat—Awareness for Dual-Use in the Development of Autonomous Driving</t>
        </is>
      </c>
      <c r="F32" s="3" t="inlineStr">
        <is>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is>
      </c>
      <c r="G32" s="5" t="inlineStr">
        <is>
          <t>Journal article</t>
        </is>
      </c>
      <c r="H32" s="5" t="inlineStr">
        <is>
          <t>10.1109/tts.2022.3182310</t>
        </is>
      </c>
      <c r="I32" s="5" t="n"/>
      <c r="J32" s="3" t="n"/>
    </row>
    <row r="33" ht="228" customHeight="1" s="18">
      <c r="A33" s="5" t="inlineStr">
        <is>
          <t>S2-0027</t>
        </is>
      </c>
      <c r="B33" s="5" t="inlineStr">
        <is>
          <t>A</t>
        </is>
      </c>
      <c r="C33" s="3" t="inlineStr">
        <is>
          <t>A. Bhardwaj; Y. Kumar; N. Hasteer</t>
        </is>
      </c>
      <c r="D33" s="6" t="n">
        <v>2021</v>
      </c>
      <c r="E33" s="3" t="inlineStr">
        <is>
          <t>A Hybrid Model to Investigate Perception Towards Adoption of Autonomous Vehicles in India</t>
        </is>
      </c>
      <c r="F33" s="3" t="inlineStr">
        <is>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is>
      </c>
      <c r="G33" s="5" t="inlineStr">
        <is>
          <t>Conference paper</t>
        </is>
      </c>
      <c r="H33" s="5" t="inlineStr">
        <is>
          <t>10.1109/gucon50781.2021.9573588</t>
        </is>
      </c>
      <c r="I33" s="5" t="n"/>
      <c r="J33" s="3" t="n"/>
    </row>
    <row r="34" ht="185.25" customHeight="1" s="18">
      <c r="A34" s="5" t="inlineStr">
        <is>
          <t>S2-0028</t>
        </is>
      </c>
      <c r="B34" s="5" t="inlineStr">
        <is>
          <t>A</t>
        </is>
      </c>
      <c r="C34" s="3" t="inlineStr">
        <is>
          <t>W. Z. Khan; M. Khurram Khan; Q. -u. -A. Arshad; H. Malik; J. Almuhtadi</t>
        </is>
      </c>
      <c r="D34" s="6" t="n">
        <v>2021</v>
      </c>
      <c r="E34" s="3" t="inlineStr">
        <is>
          <t>Digital Labels: Influencing Consumers Trust and Raising Cybersecurity Awareness for Adopting Autonomous Vehicles</t>
        </is>
      </c>
      <c r="F34" s="3" t="inlineStr">
        <is>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is>
      </c>
      <c r="G34" s="5" t="inlineStr">
        <is>
          <t>Conference paper</t>
        </is>
      </c>
      <c r="H34" s="5" t="inlineStr">
        <is>
          <t>10.1109/icce50685.2021.9427684</t>
        </is>
      </c>
      <c r="I34" s="5" t="n"/>
      <c r="J34" s="3" t="n"/>
    </row>
    <row r="35" ht="342" customHeight="1" s="18">
      <c r="A35" s="5" t="inlineStr">
        <is>
          <t>S2-0029</t>
        </is>
      </c>
      <c r="B35" s="5" t="inlineStr">
        <is>
          <t>A</t>
        </is>
      </c>
      <c r="C35" s="3" t="inlineStr">
        <is>
          <t>D. Omeiza; H. Webb; M. Jirotka; L. Kunze</t>
        </is>
      </c>
      <c r="D35" s="6" t="n">
        <v>2022</v>
      </c>
      <c r="E35" s="3" t="inlineStr">
        <is>
          <t>Explanations in Autonomous Driving: A Survey</t>
        </is>
      </c>
      <c r="F35" s="3" t="inlineStr">
        <is>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is>
      </c>
      <c r="G35" s="5" t="inlineStr">
        <is>
          <t>Journal article</t>
        </is>
      </c>
      <c r="H35" s="5" t="inlineStr">
        <is>
          <t>10.1109/tits.2021.3122865</t>
        </is>
      </c>
      <c r="I35" s="5" t="n"/>
      <c r="J35" s="3" t="n"/>
    </row>
    <row r="36" ht="256.5" customHeight="1" s="18">
      <c r="A36" s="5" t="inlineStr">
        <is>
          <t>S2-0030</t>
        </is>
      </c>
      <c r="B36" s="5" t="inlineStr">
        <is>
          <t>A</t>
        </is>
      </c>
      <c r="C36" s="3" t="inlineStr">
        <is>
          <t>K. Hamarsheh</t>
        </is>
      </c>
      <c r="D36" s="6" t="n">
        <v>2024</v>
      </c>
      <c r="E36" s="3" t="inlineStr">
        <is>
          <t>Public Acceptance to utilize Autonomous Vehicles AV’s in the United Arab Emirates, An Empirical Study</t>
        </is>
      </c>
      <c r="F36" s="3" t="inlineStr">
        <is>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is>
      </c>
      <c r="G36" s="5" t="inlineStr">
        <is>
          <t>Conference paper</t>
        </is>
      </c>
      <c r="H36" s="5" t="inlineStr">
        <is>
          <t>10.1109/ictmod63116.2024.10959127</t>
        </is>
      </c>
      <c r="I36" s="5" t="n"/>
      <c r="J36" s="3" t="n"/>
    </row>
    <row r="37" ht="171" customHeight="1" s="18">
      <c r="A37" s="5" t="inlineStr">
        <is>
          <t>S2-0031</t>
        </is>
      </c>
      <c r="B37" s="5" t="inlineStr">
        <is>
          <t>A</t>
        </is>
      </c>
      <c r="C37" s="3" t="inlineStr">
        <is>
          <t>T. E. Kim; J. -U. Schröder-Hinrichs</t>
        </is>
      </c>
      <c r="D37" s="6" t="n">
        <v>2025</v>
      </c>
      <c r="E37" s="3" t="inlineStr">
        <is>
          <t>Comparative Analysis of Regulatory Focus in Autonomous Vehicles (AVs) and Maritime Autonomous Surface Ships (MASS)</t>
        </is>
      </c>
      <c r="F37" s="3" t="inlineStr">
        <is>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is>
      </c>
      <c r="G37" s="5" t="inlineStr">
        <is>
          <t>Conference paper</t>
        </is>
      </c>
      <c r="H37" s="5" t="inlineStr">
        <is>
          <t>10.1109/ieem63636.2025.11357611</t>
        </is>
      </c>
      <c r="I37" s="5" t="n"/>
      <c r="J37" s="3" t="n"/>
    </row>
    <row r="38" ht="285" customHeight="1" s="18">
      <c r="A38" s="5" t="inlineStr">
        <is>
          <t>S2-0032</t>
        </is>
      </c>
      <c r="B38" s="5" t="inlineStr">
        <is>
          <t>A</t>
        </is>
      </c>
      <c r="C38" s="3" t="inlineStr">
        <is>
          <t>S. S. Man; W. Xiong; F. Chang; A. H. S. Chan</t>
        </is>
      </c>
      <c r="D38" s="6" t="n">
        <v>2020</v>
      </c>
      <c r="E38" s="3" t="inlineStr">
        <is>
          <t>Critical Factors Influencing Acceptance of Automated Vehicles by Hong Kong Drivers</t>
        </is>
      </c>
      <c r="F38" s="3" t="inlineStr">
        <is>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is>
      </c>
      <c r="G38" s="5" t="inlineStr">
        <is>
          <t>Journal article</t>
        </is>
      </c>
      <c r="H38" s="5" t="inlineStr">
        <is>
          <t>10.1109/access.2020.3001929</t>
        </is>
      </c>
      <c r="I38" s="5" t="n"/>
      <c r="J38" s="3" t="n"/>
    </row>
    <row r="39" ht="342" customHeight="1" s="18">
      <c r="A39" s="5" t="inlineStr">
        <is>
          <t>S2-0033</t>
        </is>
      </c>
      <c r="B39" s="5" t="inlineStr">
        <is>
          <t>A</t>
        </is>
      </c>
      <c r="C39" s="3" t="inlineStr">
        <is>
          <t>M. Khoyudia; L. Iskandar; M. Mariani</t>
        </is>
      </c>
      <c r="D39" s="6" t="n">
        <v>2024</v>
      </c>
      <c r="E39" s="3" t="inlineStr">
        <is>
          <t>Self-Driving Vehicles: Exploring Preferred Adoption Scenarios - A Preliminary Study</t>
        </is>
      </c>
      <c r="F39" s="3" t="inlineStr">
        <is>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is>
      </c>
      <c r="G39" s="5" t="inlineStr">
        <is>
          <t>Conference paper</t>
        </is>
      </c>
      <c r="H39" s="5" t="inlineStr">
        <is>
          <t>10.1109/icicyta64807.2024.10912905</t>
        </is>
      </c>
      <c r="I39" s="5" t="n"/>
      <c r="J39" s="3" t="n"/>
    </row>
    <row r="40" ht="270.75" customHeight="1" s="18">
      <c r="A40" s="5" t="inlineStr">
        <is>
          <t>S2-0034</t>
        </is>
      </c>
      <c r="B40" s="5" t="inlineStr">
        <is>
          <t>A</t>
        </is>
      </c>
      <c r="C40" s="3" t="inlineStr">
        <is>
          <t>B. Stingelová; C. T. Thrakl; L. Wrońska; S. Jedrej-Szymankiewicz; S. Khan; D. Svetinovic</t>
        </is>
      </c>
      <c r="D40" s="6" t="n">
        <v>2023</v>
      </c>
      <c r="E40" s="3" t="inlineStr">
        <is>
          <t>User-Centric Security and Privacy Threats in Connected Vehicles: A Threat Modeling Analysis Using STRIDE and LINDDUN</t>
        </is>
      </c>
      <c r="F40" s="3" t="inlineStr">
        <is>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is>
      </c>
      <c r="G40" s="5" t="inlineStr">
        <is>
          <t>Conference paper</t>
        </is>
      </c>
      <c r="H40" s="5" t="inlineStr">
        <is>
          <t>10.1109/dasc/picom/cbdcom/cy59711.2023.10361381</t>
        </is>
      </c>
      <c r="I40" s="5" t="n"/>
      <c r="J40" s="3" t="n"/>
    </row>
    <row r="41" ht="270.75" customHeight="1" s="18">
      <c r="A41" s="5" t="inlineStr">
        <is>
          <t>S2-0035</t>
        </is>
      </c>
      <c r="B41" s="5" t="inlineStr">
        <is>
          <t>A</t>
        </is>
      </c>
      <c r="C41" s="3" t="inlineStr">
        <is>
          <t>N. Vikas Babu; M. Damle</t>
        </is>
      </c>
      <c r="D41" s="6" t="n">
        <v>2022</v>
      </c>
      <c r="E41" s="3" t="inlineStr">
        <is>
          <t>Performance evaluation of Autonomous and Connected Electric Vehicles (ACEVs) towards buying intention in India: Forward trend in energy efficiency</t>
        </is>
      </c>
      <c r="F41" s="3" t="inlineStr">
        <is>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is>
      </c>
      <c r="G41" s="5" t="inlineStr">
        <is>
          <t>Conference paper</t>
        </is>
      </c>
      <c r="H41" s="5" t="inlineStr">
        <is>
          <t>10.1109/iihc55949.2022.10060349</t>
        </is>
      </c>
      <c r="I41" s="5" t="n"/>
      <c r="J41" s="3" t="n"/>
    </row>
    <row r="42" ht="256.5" customHeight="1" s="18">
      <c r="A42" s="5" t="inlineStr">
        <is>
          <t>S2-0036</t>
        </is>
      </c>
      <c r="B42" s="5" t="inlineStr">
        <is>
          <t>A</t>
        </is>
      </c>
      <c r="C42" s="3" t="inlineStr">
        <is>
          <t>M. S. Seet; A. Dragomir; I. Mathialagan; L. Y. Ann; Z. b. Zaid; S. L. Ramapatna; N. V. Thakor; A. Bezerianos</t>
        </is>
      </c>
      <c r="D42" s="6" t="n">
        <v>2020</v>
      </c>
      <c r="E42" s="3" t="inlineStr">
        <is>
          <t>Subtype Divergences of Trust in Autonomous Vehicles: Towards Optimisation of Driver–Vehicle Trust Management</t>
        </is>
      </c>
      <c r="F42" s="3" t="inlineStr">
        <is>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is>
      </c>
      <c r="G42" s="5" t="inlineStr">
        <is>
          <t>Conference paper</t>
        </is>
      </c>
      <c r="H42" s="5" t="inlineStr">
        <is>
          <t>10.1109/itsc45102.2020.9294495</t>
        </is>
      </c>
      <c r="I42" s="5" t="n"/>
      <c r="J42" s="3" t="n"/>
    </row>
    <row r="43" ht="185.25" customHeight="1" s="18">
      <c r="A43" s="5" t="inlineStr">
        <is>
          <t>S2-0037</t>
        </is>
      </c>
      <c r="B43" s="5" t="inlineStr">
        <is>
          <t>A</t>
        </is>
      </c>
      <c r="C43" s="3" t="inlineStr">
        <is>
          <t>J. Echterhoff; A. Yan; K. Han; A. Abdelraouf; R. Gupta; J. McAuley</t>
        </is>
      </c>
      <c r="D43" s="6" t="n">
        <v>2024</v>
      </c>
      <c r="E43" s="3" t="inlineStr">
        <is>
          <t>Driving through the Concept Gridlock: Unraveling Explainability Bottlenecks in Automated Driving</t>
        </is>
      </c>
      <c r="F43" s="3" t="inlineStr">
        <is>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is>
      </c>
      <c r="G43" s="5" t="inlineStr">
        <is>
          <t>Conference paper</t>
        </is>
      </c>
      <c r="H43" s="5" t="inlineStr">
        <is>
          <t>10.1109/wacv57701.2024.00718</t>
        </is>
      </c>
      <c r="I43" s="5" t="n"/>
      <c r="J43" s="3" t="n"/>
    </row>
    <row r="44" ht="313.5" customHeight="1" s="18">
      <c r="A44" s="5" t="inlineStr">
        <is>
          <t>S2-0038</t>
        </is>
      </c>
      <c r="B44" s="5" t="inlineStr">
        <is>
          <t>A</t>
        </is>
      </c>
      <c r="C44" s="3" t="inlineStr">
        <is>
          <t>M. Ahmed; R. Iqbal; S. Amin; O. Alhabshneh; A. Garba</t>
        </is>
      </c>
      <c r="D44" s="6" t="n">
        <v>2022</v>
      </c>
      <c r="E44" s="3" t="inlineStr">
        <is>
          <t>Autonomous Vehicle and its Adoption: Challenges, Opportunities, and Future Implications</t>
        </is>
      </c>
      <c r="F44" s="3" t="inlineStr">
        <is>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is>
      </c>
      <c r="G44" s="5" t="inlineStr">
        <is>
          <t>Conference paper</t>
        </is>
      </c>
      <c r="H44" s="5" t="inlineStr">
        <is>
          <t>10.1109/etcea57049.2022.10009804</t>
        </is>
      </c>
      <c r="I44" s="5" t="n"/>
      <c r="J44" s="3" t="n"/>
    </row>
    <row r="45" ht="327.75" customHeight="1" s="18">
      <c r="A45" s="5" t="inlineStr">
        <is>
          <t>S2-0039</t>
        </is>
      </c>
      <c r="B45" s="5" t="inlineStr">
        <is>
          <t>A</t>
        </is>
      </c>
      <c r="C45" s="3" t="inlineStr">
        <is>
          <t>S. Fu; H. Zhou; Y. Li; W. Wang</t>
        </is>
      </c>
      <c r="D45" s="6" t="n">
        <v>2023</v>
      </c>
      <c r="E45" s="3" t="inlineStr">
        <is>
          <t>A study on cyclists’ risk-taking behavior intention on shared roads with autonomous vehicles</t>
        </is>
      </c>
      <c r="F45" s="3" t="inlineStr">
        <is>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is>
      </c>
      <c r="G45" s="5" t="inlineStr">
        <is>
          <t>Conference paper</t>
        </is>
      </c>
      <c r="H45" s="5" t="inlineStr">
        <is>
          <t>10.1109/ictis60134.2023.10243988</t>
        </is>
      </c>
      <c r="I45" s="5" t="n"/>
      <c r="J45" s="3" t="n"/>
    </row>
    <row r="46" ht="228" customHeight="1" s="18">
      <c r="A46" s="5" t="inlineStr">
        <is>
          <t>S2-0040</t>
        </is>
      </c>
      <c r="B46" s="5" t="inlineStr">
        <is>
          <t>A</t>
        </is>
      </c>
      <c r="C46" s="3" t="inlineStr">
        <is>
          <t>T. Sithanant; W. Chaiyasoonthorn; S. Chaveesuk</t>
        </is>
      </c>
      <c r="D46" s="6" t="n">
        <v>2023</v>
      </c>
      <c r="E46" s="3" t="inlineStr">
        <is>
          <t>Interview Guide Development for Qualitative Research on Exploring Acceptance of Autonomous Vehicles in Thailand</t>
        </is>
      </c>
      <c r="F46" s="3" t="inlineStr">
        <is>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is>
      </c>
      <c r="G46" s="5" t="inlineStr">
        <is>
          <t>Conference paper</t>
        </is>
      </c>
      <c r="H46" s="5" t="inlineStr">
        <is>
          <t>10.1109/icitee59582.2023.10317695</t>
        </is>
      </c>
      <c r="I46" s="5" t="n"/>
      <c r="J46" s="3" t="n"/>
    </row>
    <row r="47" ht="213.75" customHeight="1" s="18">
      <c r="A47" s="5" t="inlineStr">
        <is>
          <t>S2-0041</t>
        </is>
      </c>
      <c r="B47" s="5" t="inlineStr">
        <is>
          <t>A</t>
        </is>
      </c>
      <c r="C47" s="3" t="inlineStr">
        <is>
          <t>H. Blache; P. -A. Laharotte; N. -E. E. Faouzi</t>
        </is>
      </c>
      <c r="D47" s="6" t="n">
        <v>2023</v>
      </c>
      <c r="E47" s="3" t="inlineStr">
        <is>
          <t>How to Rationalise the Sampling of Test-Scenarios in Automated Driving Based on Criticality Metrics?</t>
        </is>
      </c>
      <c r="F47" s="3" t="inlineStr">
        <is>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is>
      </c>
      <c r="G47" s="5" t="inlineStr">
        <is>
          <t>Conference paper</t>
        </is>
      </c>
      <c r="H47" s="5" t="inlineStr">
        <is>
          <t>10.1109/mt-its56129.2023.10241560</t>
        </is>
      </c>
      <c r="I47" s="5" t="n"/>
      <c r="J47" s="3" t="n"/>
    </row>
    <row r="48" ht="327.75" customHeight="1" s="18">
      <c r="A48" s="5" t="inlineStr">
        <is>
          <t>S2-0042</t>
        </is>
      </c>
      <c r="B48" s="5" t="inlineStr">
        <is>
          <t>A</t>
        </is>
      </c>
      <c r="C48" s="3" t="inlineStr">
        <is>
          <t>P. S. Putra; A. H. Lubis; R. Muliono; N. Khairina; Muhathir; M. R. Darmansyah</t>
        </is>
      </c>
      <c r="D48" s="6" t="n">
        <v>2024</v>
      </c>
      <c r="E48" s="3" t="inlineStr">
        <is>
          <t>Investigating ChatGPT on Reddit by Using Lexicon-Based Sentiment Analysis</t>
        </is>
      </c>
      <c r="F48" s="3" t="inlineStr">
        <is>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is>
      </c>
      <c r="G48" s="5" t="inlineStr">
        <is>
          <t>Conference paper</t>
        </is>
      </c>
      <c r="H48" s="5" t="inlineStr">
        <is>
          <t>10.1109/icitri62858.2024.10699128</t>
        </is>
      </c>
      <c r="I48" s="5" t="n"/>
      <c r="J48" s="3" t="n"/>
    </row>
    <row r="49" ht="327.75" customHeight="1" s="18">
      <c r="A49" s="5" t="inlineStr">
        <is>
          <t>S2-0043</t>
        </is>
      </c>
      <c r="B49" s="5" t="inlineStr">
        <is>
          <t>A</t>
        </is>
      </c>
      <c r="C49" s="3" t="inlineStr">
        <is>
          <t>J. C. Sekhar; J. Ramu; V. K. Pratap</t>
        </is>
      </c>
      <c r="D49" s="6" t="n">
        <v>2023</v>
      </c>
      <c r="E49" s="3" t="inlineStr">
        <is>
          <t>Investigating the Efficacy of In-Process Feedback in Improving Human-Machine Interaction in Autonomous Vehicles</t>
        </is>
      </c>
      <c r="F49" s="3" t="inlineStr">
        <is>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is>
      </c>
      <c r="G49" s="5" t="inlineStr">
        <is>
          <t>Conference paper</t>
        </is>
      </c>
      <c r="H49" s="5" t="inlineStr">
        <is>
          <t>10.1109/aic57670.2023.10263851</t>
        </is>
      </c>
      <c r="I49" s="5" t="n"/>
      <c r="J49" s="3" t="n"/>
    </row>
    <row r="50" ht="313.5" customHeight="1" s="18">
      <c r="A50" s="5" t="inlineStr">
        <is>
          <t>S2-0044</t>
        </is>
      </c>
      <c r="B50" s="5" t="inlineStr">
        <is>
          <t>A</t>
        </is>
      </c>
      <c r="C50" s="3" t="inlineStr">
        <is>
          <t>Y. Ma; S. Li; S. Qin; Y. Qi</t>
        </is>
      </c>
      <c r="D50" s="6" t="n">
        <v>2021</v>
      </c>
      <c r="E50" s="3" t="inlineStr">
        <is>
          <t>Factors Affecting Trust in the Autonomous Vehicle: A Survey of Primary School Students and Parent Perceptions</t>
        </is>
      </c>
      <c r="F50" s="3" t="inlineStr">
        <is>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is>
      </c>
      <c r="G50" s="5" t="inlineStr">
        <is>
          <t>Conference paper</t>
        </is>
      </c>
      <c r="H50" s="5" t="inlineStr">
        <is>
          <t>10.1109/trustcom50675.2020.00277</t>
        </is>
      </c>
      <c r="I50" s="5" t="n"/>
      <c r="J50" s="3" t="n"/>
    </row>
    <row r="51" ht="99.75" customHeight="1" s="18">
      <c r="A51" s="5" t="inlineStr">
        <is>
          <t>S2-0045</t>
        </is>
      </c>
      <c r="B51" s="5" t="inlineStr">
        <is>
          <t>A</t>
        </is>
      </c>
      <c r="C51" s="3" t="inlineStr">
        <is>
          <t>P. Maxwell; M. Nowatkowski</t>
        </is>
      </c>
      <c r="D51" s="6" t="n">
        <v>2018</v>
      </c>
      <c r="E51" s="3" t="inlineStr">
        <is>
          <t>The Unforeseen in Unmanned Vehicles</t>
        </is>
      </c>
      <c r="F51" s="3" t="inlineStr">
        <is>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is>
      </c>
      <c r="G51" s="5" t="inlineStr">
        <is>
          <t>Conference paper</t>
        </is>
      </c>
      <c r="H51" s="5" t="inlineStr">
        <is>
          <t>10.1109/istas.2018.8638276</t>
        </is>
      </c>
      <c r="I51" s="5" t="n"/>
      <c r="J51" s="3" t="n"/>
    </row>
    <row r="52" ht="256.5" customHeight="1" s="18">
      <c r="A52" s="5" t="inlineStr">
        <is>
          <t>S2-0046</t>
        </is>
      </c>
      <c r="B52" s="5" t="inlineStr">
        <is>
          <t>A</t>
        </is>
      </c>
      <c r="C52" s="3" t="inlineStr">
        <is>
          <t>W. Y. Ayele; G. Juell-Skielse</t>
        </is>
      </c>
      <c r="D52" s="6" t="n">
        <v>2018</v>
      </c>
      <c r="E52" s="3" t="inlineStr">
        <is>
          <t>Unveiling Topics from Scientific Literature on the Subject of Self-driving Cars using Latent Dirichlet Allocation</t>
        </is>
      </c>
      <c r="F52" s="3" t="inlineStr">
        <is>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is>
      </c>
      <c r="G52" s="5" t="inlineStr">
        <is>
          <t>Conference paper</t>
        </is>
      </c>
      <c r="H52" s="5" t="inlineStr">
        <is>
          <t>10.1109/iemcon.2018.8615056</t>
        </is>
      </c>
      <c r="I52" s="5" t="n"/>
      <c r="J52" s="3" t="n"/>
    </row>
    <row r="53" ht="228" customHeight="1" s="18">
      <c r="A53" s="5" t="inlineStr">
        <is>
          <t>S2-0047</t>
        </is>
      </c>
      <c r="B53" s="5" t="inlineStr">
        <is>
          <t>A</t>
        </is>
      </c>
      <c r="C53" s="3" t="inlineStr">
        <is>
          <t>L. Tang; M. Bashir</t>
        </is>
      </c>
      <c r="D53" s="6" t="n">
        <v>2024</v>
      </c>
      <c r="E53" s="3" t="inlineStr">
        <is>
          <t>Examining Trust’s Influence on Autonomous Vehicle Perceptions</t>
        </is>
      </c>
      <c r="F53" s="3" t="inlineStr">
        <is>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is>
      </c>
      <c r="G53" s="5" t="inlineStr">
        <is>
          <t>Conference paper</t>
        </is>
      </c>
      <c r="H53" s="5" t="inlineStr">
        <is>
          <t>10.1109/iv55156.2024.10588643</t>
        </is>
      </c>
      <c r="I53" s="5" t="n"/>
      <c r="J53" s="3" t="n"/>
    </row>
    <row r="54" ht="171" customHeight="1" s="18">
      <c r="A54" s="5" t="inlineStr">
        <is>
          <t>S2-0048</t>
        </is>
      </c>
      <c r="B54" s="5" t="inlineStr">
        <is>
          <t>A</t>
        </is>
      </c>
      <c r="C54" s="3" t="inlineStr">
        <is>
          <t>E. Portouli; G. Karaseitanidis; P. Lytrivis; A. Amditis; O. Raptis; C. Karaberi</t>
        </is>
      </c>
      <c r="D54" s="6" t="n">
        <v>2017</v>
      </c>
      <c r="E54" s="3" t="inlineStr">
        <is>
          <t>Public attitudes towards autonomous mini buses operating in real conditions in a Hellenic city</t>
        </is>
      </c>
      <c r="F54" s="3" t="inlineStr">
        <is>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is>
      </c>
      <c r="G54" s="5" t="inlineStr">
        <is>
          <t>Conference paper</t>
        </is>
      </c>
      <c r="H54" s="5" t="inlineStr">
        <is>
          <t>10.1109/ivs.2017.7995779</t>
        </is>
      </c>
      <c r="I54" s="5" t="n"/>
      <c r="J54" s="3" t="n"/>
    </row>
    <row r="55" ht="256.5" customHeight="1" s="18">
      <c r="A55" s="5" t="inlineStr">
        <is>
          <t>S2-0049</t>
        </is>
      </c>
      <c r="B55" s="5" t="inlineStr">
        <is>
          <t>A</t>
        </is>
      </c>
      <c r="C55" s="3" t="inlineStr">
        <is>
          <t>F. Gabriel; J. Cornelis; G. S. Handaja; A. Gui</t>
        </is>
      </c>
      <c r="D55" s="6" t="n">
        <v>2024</v>
      </c>
      <c r="E55" s="3" t="inlineStr">
        <is>
          <t>Public Perceptions Regarding Data Privacy in Use of Smart Speaker</t>
        </is>
      </c>
      <c r="F55" s="3" t="inlineStr">
        <is>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is>
      </c>
      <c r="G55" s="5" t="inlineStr">
        <is>
          <t>Conference paper</t>
        </is>
      </c>
      <c r="H55" s="5" t="inlineStr">
        <is>
          <t>10.1109/icicyta64807.2024.10913028</t>
        </is>
      </c>
      <c r="I55" s="5" t="n"/>
      <c r="J55" s="3" t="n"/>
    </row>
    <row r="56" ht="327.75" customHeight="1" s="18">
      <c r="A56" s="5" t="inlineStr">
        <is>
          <t>S2-0050</t>
        </is>
      </c>
      <c r="B56" s="5" t="inlineStr">
        <is>
          <t>A</t>
        </is>
      </c>
      <c r="C56" s="3" t="inlineStr">
        <is>
          <t>J. Chen; Q. Zhang</t>
        </is>
      </c>
      <c r="D56" s="6" t="n">
        <v>2025</v>
      </c>
      <c r="E56" s="3" t="inlineStr">
        <is>
          <t>Voice Design and Trust in Automated Vehicles: Findings and a Research Agenda</t>
        </is>
      </c>
      <c r="F56" s="3" t="inlineStr">
        <is>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is>
      </c>
      <c r="G56" s="5" t="inlineStr">
        <is>
          <t>Conference paper</t>
        </is>
      </c>
      <c r="H56" s="5" t="inlineStr">
        <is>
          <t>10.1109/tps-isa67132.2025.00085</t>
        </is>
      </c>
      <c r="I56" s="5" t="n"/>
      <c r="J56" s="3" t="n"/>
    </row>
    <row r="57" ht="185.25" customHeight="1" s="18">
      <c r="A57" s="5" t="inlineStr">
        <is>
          <t>S2-0051</t>
        </is>
      </c>
      <c r="B57" s="5" t="inlineStr">
        <is>
          <t>A</t>
        </is>
      </c>
      <c r="C57" s="3" t="inlineStr">
        <is>
          <t>C. Mylonas; E. Mitsakis; A. Dolianitis; C. Chalkiadakis</t>
        </is>
      </c>
      <c r="D57" s="6" t="n">
        <v>2020</v>
      </c>
      <c r="E57" s="3" t="inlineStr">
        <is>
          <t>Is Greece Ready for Autonomous Vehicles? A Methodological Approach</t>
        </is>
      </c>
      <c r="F57" s="3" t="inlineStr">
        <is>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is>
      </c>
      <c r="G57" s="5" t="inlineStr">
        <is>
          <t>Conference paper</t>
        </is>
      </c>
      <c r="H57" s="5" t="inlineStr">
        <is>
          <t>10.1109/itsc45102.2020.9294428</t>
        </is>
      </c>
      <c r="I57" s="5" t="n"/>
      <c r="J57" s="3" t="n"/>
    </row>
    <row r="58" ht="270.75" customHeight="1" s="18">
      <c r="A58" s="5" t="inlineStr">
        <is>
          <t>S2-0052</t>
        </is>
      </c>
      <c r="B58" s="5" t="inlineStr">
        <is>
          <t>A</t>
        </is>
      </c>
      <c r="C58" s="3" t="inlineStr">
        <is>
          <t>B. Richardson; D. Prioleau; K. Alikhademi; J. E. Gilbert</t>
        </is>
      </c>
      <c r="D58" s="6" t="n">
        <v>2020</v>
      </c>
      <c r="E58" s="3" t="inlineStr">
        <is>
          <t>Public Accountability: Understanding Sentiments towards Artificial Intelligence across Dispositional Identities</t>
        </is>
      </c>
      <c r="F58" s="3" t="inlineStr">
        <is>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is>
      </c>
      <c r="G58" s="5" t="inlineStr">
        <is>
          <t>Conference paper</t>
        </is>
      </c>
      <c r="H58" s="5" t="inlineStr">
        <is>
          <t>10.1109/istas50296.2020.9462184</t>
        </is>
      </c>
      <c r="I58" s="5" t="n"/>
      <c r="J58" s="3" t="n"/>
    </row>
    <row r="59" ht="384.75" customHeight="1" s="18">
      <c r="A59" s="5" t="inlineStr">
        <is>
          <t>S2-0053</t>
        </is>
      </c>
      <c r="B59" s="5" t="inlineStr">
        <is>
          <t>A</t>
        </is>
      </c>
      <c r="C59" s="3" t="inlineStr">
        <is>
          <t>K. Shah; E. Guven</t>
        </is>
      </c>
      <c r="D59" s="6" t="n">
        <v>2025</v>
      </c>
      <c r="E59" s="3" t="inlineStr">
        <is>
          <t>Exploring Ethical Issues and Challenges of Autonomous Vehicles in Different Countries and Cultures</t>
        </is>
      </c>
      <c r="F59" s="3" t="inlineStr">
        <is>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is>
      </c>
      <c r="G59" s="5" t="inlineStr">
        <is>
          <t>Conference paper</t>
        </is>
      </c>
      <c r="H59" s="5" t="inlineStr">
        <is>
          <t>10.1109/ciss64860.2025.10944682</t>
        </is>
      </c>
      <c r="I59" s="5" t="n"/>
      <c r="J59" s="3" t="n"/>
    </row>
    <row r="60" ht="270.75" customHeight="1" s="18">
      <c r="A60" s="5" t="inlineStr">
        <is>
          <t>S2-0054</t>
        </is>
      </c>
      <c r="B60" s="5" t="inlineStr">
        <is>
          <t>A</t>
        </is>
      </c>
      <c r="C60" s="3" t="inlineStr">
        <is>
          <t>M. Picone; F. Viti; A. Cartenì</t>
        </is>
      </c>
      <c r="D60" s="6" t="n">
        <v>2025</v>
      </c>
      <c r="E60" s="3" t="inlineStr">
        <is>
          <t>Bridging Innovation and Inclusivity: User Perceptions of Autonomous Shuttles in Luxembourg</t>
        </is>
      </c>
      <c r="F60" s="3" t="inlineStr">
        <is>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is>
      </c>
      <c r="G60" s="5" t="inlineStr">
        <is>
          <t>Conference paper</t>
        </is>
      </c>
      <c r="H60" s="5" t="inlineStr">
        <is>
          <t>10.1109/mt-its68460.2025.11223564</t>
        </is>
      </c>
      <c r="I60" s="5" t="n"/>
      <c r="J60" s="3" t="n"/>
    </row>
    <row r="61" ht="199.5" customHeight="1" s="18">
      <c r="A61" s="5" t="inlineStr">
        <is>
          <t>S2-0055</t>
        </is>
      </c>
      <c r="B61" s="5" t="inlineStr">
        <is>
          <t>A</t>
        </is>
      </c>
      <c r="C61" s="3" t="inlineStr">
        <is>
          <t>M. S. Dildar Awan; S. Menon; S. R. Shah</t>
        </is>
      </c>
      <c r="D61" s="6" t="n">
        <v>2025</v>
      </c>
      <c r="E61" s="3" t="inlineStr">
        <is>
          <t>Digital Disruption at the Edge: A Review of Barriers to Drone Technology in Last-Mile Delivery</t>
        </is>
      </c>
      <c r="F61" s="3" t="inlineStr">
        <is>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is>
      </c>
      <c r="G61" s="5" t="inlineStr">
        <is>
          <t>Conference paper</t>
        </is>
      </c>
      <c r="H61" s="5" t="inlineStr">
        <is>
          <t>10.1109/ictmod66732.2025.11372024</t>
        </is>
      </c>
      <c r="I61" s="5" t="n"/>
      <c r="J61" s="3" t="n"/>
    </row>
    <row r="62" ht="142.5" customHeight="1" s="18">
      <c r="A62" s="5" t="inlineStr">
        <is>
          <t>S2-0056</t>
        </is>
      </c>
      <c r="B62" s="5" t="inlineStr">
        <is>
          <t>A</t>
        </is>
      </c>
      <c r="C62" s="3" t="inlineStr">
        <is>
          <t>N. Scarano; L. Mannella; A. Savino; S. D. Carlo; P. D. Torino</t>
        </is>
      </c>
      <c r="D62" s="6" t="n">
        <v>2024</v>
      </c>
      <c r="E62" s="3" t="inlineStr">
        <is>
          <t>Can social media shape the security of next-generation connected vehicles?</t>
        </is>
      </c>
      <c r="F62" s="3" t="inlineStr">
        <is>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is>
      </c>
      <c r="G62" s="5" t="inlineStr">
        <is>
          <t>Conference paper</t>
        </is>
      </c>
      <c r="H62" s="5" t="inlineStr">
        <is>
          <t>10.1109/iolts60994.2024.10616053</t>
        </is>
      </c>
      <c r="I62" s="5" t="n"/>
      <c r="J62" s="3" t="n"/>
    </row>
    <row r="63" ht="327.75" customHeight="1" s="18">
      <c r="A63" s="5" t="inlineStr">
        <is>
          <t>S2-0057</t>
        </is>
      </c>
      <c r="B63" s="5" t="inlineStr">
        <is>
          <t>A</t>
        </is>
      </c>
      <c r="C63" s="3" t="inlineStr">
        <is>
          <t>W. Li-Yun Chang; S. -Y. Liu; Y. -K. Liao; T. S. -H. Lee</t>
        </is>
      </c>
      <c r="D63" s="6" t="n">
        <v>2024</v>
      </c>
      <c r="E63" s="3" t="inlineStr">
        <is>
          <t>Ethical Concerns With Regards to Artificial Intelligence: A National Public Poll in Taiwan</t>
        </is>
      </c>
      <c r="F63" s="3" t="inlineStr">
        <is>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is>
      </c>
      <c r="G63" s="5" t="inlineStr">
        <is>
          <t>Journal article</t>
        </is>
      </c>
      <c r="H63" s="5" t="inlineStr">
        <is>
          <t>10.1109/access.2024.3458893</t>
        </is>
      </c>
      <c r="I63" s="5" t="n"/>
      <c r="J63" s="3" t="n"/>
    </row>
    <row r="64" ht="213.75" customHeight="1" s="18">
      <c r="A64" s="5" t="inlineStr">
        <is>
          <t>S2-0058</t>
        </is>
      </c>
      <c r="B64" s="5" t="inlineStr">
        <is>
          <t>A</t>
        </is>
      </c>
      <c r="C64" s="3" t="inlineStr">
        <is>
          <t>A. Schneider; A. Robinson; C. Grimm; N. T. Fitter</t>
        </is>
      </c>
      <c r="D64" s="6" t="n">
        <v>2024</v>
      </c>
      <c r="E64" s="3" t="inlineStr">
        <is>
          <t>How Do Starship Robots Affect Everyday Campus Life? An Exploratory Posting Board Analysis and Interview-Based Study</t>
        </is>
      </c>
      <c r="F64" s="3" t="inlineStr">
        <is>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is>
      </c>
      <c r="G64" s="5" t="inlineStr">
        <is>
          <t>Conference paper</t>
        </is>
      </c>
      <c r="H64" s="5" t="inlineStr">
        <is>
          <t>10.1109/ro-man60168.2024.10731287</t>
        </is>
      </c>
      <c r="I64" s="5" t="n"/>
      <c r="J64" s="3" t="n"/>
    </row>
    <row r="65" ht="285" customHeight="1" s="18">
      <c r="A65" s="5" t="inlineStr">
        <is>
          <t>S2-0059</t>
        </is>
      </c>
      <c r="B65" s="5" t="inlineStr">
        <is>
          <t>A</t>
        </is>
      </c>
      <c r="C65" s="3" t="inlineStr">
        <is>
          <t>A. U. Rehman; A. Ghaffarianhoseini; N. Naismith; J. Tookey; A. Ghaffarianhoseini; S. Urréhman</t>
        </is>
      </c>
      <c r="D65" s="6" t="n">
        <v>2021</v>
      </c>
      <c r="E65" s="3" t="inlineStr">
        <is>
          <t>Ascertaining Factors Affecting Autonomous Driving in New Zealand - A Framework for HMI Design</t>
        </is>
      </c>
      <c r="F65" s="3" t="inlineStr">
        <is>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is>
      </c>
      <c r="G65" s="5" t="inlineStr">
        <is>
          <t>Conference paper</t>
        </is>
      </c>
      <c r="H65" s="5" t="inlineStr">
        <is>
          <t>10.1109/icvisp54630.2021.00011</t>
        </is>
      </c>
      <c r="I65" s="5" t="n"/>
      <c r="J65" s="3" t="n"/>
    </row>
    <row r="66" ht="228" customHeight="1" s="18">
      <c r="A66" s="5" t="inlineStr">
        <is>
          <t>S2-0060</t>
        </is>
      </c>
      <c r="B66" s="5" t="inlineStr">
        <is>
          <t>A</t>
        </is>
      </c>
      <c r="C66" s="3" t="inlineStr">
        <is>
          <t>H. He; J. Gray; A. Cangelosi; Q. Meng; T. M. McGinnity; J. Mehnen</t>
        </is>
      </c>
      <c r="D66" s="6" t="n">
        <v>2022</v>
      </c>
      <c r="E66" s="3" t="inlineStr">
        <is>
          <t>The Challenges and Opportunities of Human-Centered AI for Trustworthy Robots and Autonomous Systems</t>
        </is>
      </c>
      <c r="F66" s="3" t="inlineStr">
        <is>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is>
      </c>
      <c r="G66" s="5" t="inlineStr">
        <is>
          <t>Journal article</t>
        </is>
      </c>
      <c r="H66" s="5" t="inlineStr">
        <is>
          <t>10.1109/tcds.2021.3132282</t>
        </is>
      </c>
      <c r="I66" s="5" t="n"/>
      <c r="J66" s="3" t="n"/>
    </row>
    <row r="67" ht="256.5" customHeight="1" s="18">
      <c r="A67" s="5" t="inlineStr">
        <is>
          <t>S2-0061</t>
        </is>
      </c>
      <c r="B67" s="5" t="inlineStr">
        <is>
          <t>A</t>
        </is>
      </c>
      <c r="C67" s="3" t="inlineStr">
        <is>
          <t>G. B. Jagnade; K. Kumbhare; R. Agrawal; C. Dhule</t>
        </is>
      </c>
      <c r="D67" s="6" t="n">
        <v>2024</v>
      </c>
      <c r="E67" s="3" t="inlineStr">
        <is>
          <t>Understanding User Perspectives: Exploring Product Services, Development, and Sentiment Analysis</t>
        </is>
      </c>
      <c r="F67" s="3" t="inlineStr">
        <is>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is>
      </c>
      <c r="G67" s="5" t="inlineStr">
        <is>
          <t>Conference paper</t>
        </is>
      </c>
      <c r="H67" s="5" t="inlineStr">
        <is>
          <t>10.1109/icicet59348.2024.10616345</t>
        </is>
      </c>
      <c r="I67" s="5" t="n"/>
      <c r="J67" s="3" t="n"/>
    </row>
    <row r="68" ht="228" customHeight="1" s="18">
      <c r="A68" s="5" t="inlineStr">
        <is>
          <t>S2-0062</t>
        </is>
      </c>
      <c r="B68" s="5" t="inlineStr">
        <is>
          <t>A</t>
        </is>
      </c>
      <c r="C68" s="3" t="inlineStr">
        <is>
          <t>A. Adikari; D. Alahakoon</t>
        </is>
      </c>
      <c r="D68" s="6" t="n">
        <v>2021</v>
      </c>
      <c r="E68" s="3" t="inlineStr">
        <is>
          <t>Understanding Citizens’ Emotional Pulse in a Smart City Using Artificial Intelligence</t>
        </is>
      </c>
      <c r="F68" s="3" t="inlineStr">
        <is>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is>
      </c>
      <c r="G68" s="5" t="inlineStr">
        <is>
          <t>Journal article</t>
        </is>
      </c>
      <c r="H68" s="5" t="inlineStr">
        <is>
          <t>10.1109/tii.2020.3009277</t>
        </is>
      </c>
      <c r="I68" s="5" t="n"/>
      <c r="J68" s="3" t="n"/>
    </row>
    <row r="69" ht="213.75" customHeight="1" s="18">
      <c r="A69" s="5" t="inlineStr">
        <is>
          <t>S2-0063</t>
        </is>
      </c>
      <c r="B69" s="5" t="inlineStr">
        <is>
          <t>A</t>
        </is>
      </c>
      <c r="C69" s="3" t="inlineStr">
        <is>
          <t>E. Vuka; Y. Wu</t>
        </is>
      </c>
      <c r="D69" s="6" t="n">
        <v>2024</v>
      </c>
      <c r="E69" s="3" t="inlineStr">
        <is>
          <t>What is Stopping Digital Agricultural Production Technologies from Farmers</t>
        </is>
      </c>
      <c r="F69" s="3" t="inlineStr">
        <is>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is>
      </c>
      <c r="G69" s="5" t="inlineStr">
        <is>
          <t>Conference paper</t>
        </is>
      </c>
      <c r="H69" s="5" t="inlineStr">
        <is>
          <t>10.1109/cinti63048.2024.10830897</t>
        </is>
      </c>
      <c r="I69" s="5" t="n"/>
      <c r="J69" s="3" t="n"/>
    </row>
    <row r="70" ht="356.25" customHeight="1" s="18">
      <c r="A70" s="5" t="inlineStr">
        <is>
          <t>S2-0064</t>
        </is>
      </c>
      <c r="B70" s="5" t="inlineStr">
        <is>
          <t>A</t>
        </is>
      </c>
      <c r="C70" s="3" t="inlineStr">
        <is>
          <t>I. Park; B. Yoon; S. Kim; H. Seol</t>
        </is>
      </c>
      <c r="D70" s="6" t="n">
        <v>2021</v>
      </c>
      <c r="E70" s="3" t="inlineStr">
        <is>
          <t>Technological Opportunities Discovery for Safety Through Topic Modeling and Opinion Mining in the Fourth Industrial Revolution: The Case of Artificial Intelligence</t>
        </is>
      </c>
      <c r="F70" s="3" t="inlineStr">
        <is>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is>
      </c>
      <c r="G70" s="5" t="inlineStr">
        <is>
          <t>Journal article</t>
        </is>
      </c>
      <c r="H70" s="5" t="inlineStr">
        <is>
          <t>10.1109/tem.2019.2928366</t>
        </is>
      </c>
      <c r="I70" s="5" t="n"/>
      <c r="J70" s="3" t="n"/>
    </row>
    <row r="71" ht="242.25" customHeight="1" s="18">
      <c r="A71" s="5" t="inlineStr">
        <is>
          <t>S2-0065</t>
        </is>
      </c>
      <c r="B71" s="5" t="inlineStr">
        <is>
          <t>A</t>
        </is>
      </c>
      <c r="C71" s="3" t="inlineStr">
        <is>
          <t>S. Bai; D. D. Legge; A. Young; S. Bao; F. Zhou</t>
        </is>
      </c>
      <c r="D71" s="6" t="n">
        <v>2021</v>
      </c>
      <c r="E71" s="3" t="inlineStr">
        <is>
          <t>Investigating External Interaction Modality and Design Between Automated Vehicles and Pedestrians at Crossings</t>
        </is>
      </c>
      <c r="F71" s="3" t="inlineStr">
        <is>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is>
      </c>
      <c r="G71" s="5" t="inlineStr">
        <is>
          <t>Conference paper</t>
        </is>
      </c>
      <c r="H71" s="5" t="inlineStr">
        <is>
          <t>10.1109/itsc48978.2021.9564867</t>
        </is>
      </c>
      <c r="I71" s="5" t="n"/>
      <c r="J71" s="3" t="n"/>
    </row>
    <row r="72" ht="299.25" customHeight="1" s="18">
      <c r="A72" s="5" t="inlineStr">
        <is>
          <t>S2-0066</t>
        </is>
      </c>
      <c r="B72" s="5" t="inlineStr">
        <is>
          <t>A</t>
        </is>
      </c>
      <c r="C72" s="3" t="inlineStr">
        <is>
          <t>A. Kovačević; E. Demić</t>
        </is>
      </c>
      <c r="D72" s="6" t="n">
        <v>2024</v>
      </c>
      <c r="E72" s="3" t="inlineStr">
        <is>
          <t>The Impact of Gender, Seniority, Knowledge, and Interest on Attitudes to Artificial Intelligence</t>
        </is>
      </c>
      <c r="F72" s="3" t="inlineStr">
        <is>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is>
      </c>
      <c r="G72" s="5" t="inlineStr">
        <is>
          <t>Journal article</t>
        </is>
      </c>
      <c r="H72" s="5" t="inlineStr">
        <is>
          <t>10.1109/access.2024.3454801</t>
        </is>
      </c>
      <c r="I72" s="5" t="n"/>
      <c r="J72" s="3" t="n"/>
    </row>
    <row r="73" ht="99.75" customHeight="1" s="18">
      <c r="A73" s="5" t="inlineStr">
        <is>
          <t>S2-0067</t>
        </is>
      </c>
      <c r="B73" s="5" t="inlineStr">
        <is>
          <t>A</t>
        </is>
      </c>
      <c r="C73" s="3" t="inlineStr">
        <is>
          <t>Y. Strigina; O. Singler-Hack; R. M. Kramm; J. Ehlers; F. Schrödel</t>
        </is>
      </c>
      <c r="D73" s="6" t="n">
        <v>2025</v>
      </c>
      <c r="E73" s="3" t="inlineStr">
        <is>
          <t>Keep Your Distance: A Cognitive Approach to Mobile Robot-Cyclist Interaction</t>
        </is>
      </c>
      <c r="F73" s="3" t="inlineStr">
        <is>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is>
      </c>
      <c r="G73" s="5" t="inlineStr">
        <is>
          <t>Conference paper</t>
        </is>
      </c>
      <c r="H73" s="5" t="inlineStr">
        <is>
          <t>10.1109/icves65691.2025.11376576</t>
        </is>
      </c>
      <c r="I73" s="5" t="n"/>
      <c r="J73" s="3" t="n"/>
    </row>
    <row r="74" ht="299.25" customHeight="1" s="18">
      <c r="A74" s="5" t="inlineStr">
        <is>
          <t>S2-0068</t>
        </is>
      </c>
      <c r="B74" s="5" t="inlineStr">
        <is>
          <t>A</t>
        </is>
      </c>
      <c r="C74" s="3" t="inlineStr">
        <is>
          <t>X. Wu; J. Chen; P. Wang; S. Chen; H. Meng; Y. Shen</t>
        </is>
      </c>
      <c r="D74" s="6" t="n">
        <v>2025</v>
      </c>
      <c r="E74" s="3" t="inlineStr">
        <is>
          <t>RISEE: A Highly Interactive Naturalistic Driving Trajectories Dataset with Human Subjective Risk Perception and Eye-tracking Information</t>
        </is>
      </c>
      <c r="F74" s="3" t="inlineStr">
        <is>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is>
      </c>
      <c r="G74" s="5" t="inlineStr">
        <is>
          <t>Conference paper</t>
        </is>
      </c>
      <c r="H74" s="5" t="inlineStr">
        <is>
          <t>10.1109/itsc60802.2025.11423845</t>
        </is>
      </c>
      <c r="I74" s="5" t="n"/>
      <c r="J74" s="3" t="n"/>
    </row>
    <row r="75" ht="313.5" customHeight="1" s="18">
      <c r="A75" s="5" t="inlineStr">
        <is>
          <t>S2-0069</t>
        </is>
      </c>
      <c r="B75" s="5" t="inlineStr">
        <is>
          <t>A</t>
        </is>
      </c>
      <c r="C75" s="3" t="inlineStr">
        <is>
          <t>A. Hussain; S. Ali; U. E. Farwa; M. A. I. Mozumder; H. -C. Kim</t>
        </is>
      </c>
      <c r="D75" s="6" t="n">
        <v>2025</v>
      </c>
      <c r="E75" s="3" t="inlineStr">
        <is>
          <t>Foundation Models: From Current Developments, Challenges, and Risks to Future Opportunities</t>
        </is>
      </c>
      <c r="F75" s="3" t="inlineStr">
        <is>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is>
      </c>
      <c r="G75" s="5" t="inlineStr">
        <is>
          <t>Conference paper</t>
        </is>
      </c>
      <c r="H75" s="5" t="inlineStr">
        <is>
          <t>10.23919/icact63878.2025.10936649</t>
        </is>
      </c>
      <c r="I75" s="5" t="n"/>
      <c r="J75" s="3" t="n"/>
    </row>
    <row r="76" ht="213.75" customHeight="1" s="18">
      <c r="A76" s="5" t="inlineStr">
        <is>
          <t>S2-0070</t>
        </is>
      </c>
      <c r="B76" s="5" t="inlineStr">
        <is>
          <t>A</t>
        </is>
      </c>
      <c r="C76" s="3" t="inlineStr">
        <is>
          <t>X. Luo; F. Ding; R. Chen; R. Panda; J. Loo; S. Zhang</t>
        </is>
      </c>
      <c r="D76" s="6" t="n">
        <v>2025</v>
      </c>
      <c r="E76" s="3" t="inlineStr">
        <is>
          <t>“What's Happening”- A Human-centered Multimodal Interpreter Explaining the Actions of Autonomous Vehicles</t>
        </is>
      </c>
      <c r="F76" s="3" t="inlineStr">
        <is>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is>
      </c>
      <c r="G76" s="5" t="inlineStr">
        <is>
          <t>Conference paper</t>
        </is>
      </c>
      <c r="H76" s="5" t="inlineStr">
        <is>
          <t>10.1109/wacvw65960.2025.00129</t>
        </is>
      </c>
      <c r="I76" s="5" t="n"/>
      <c r="J76" s="3" t="n"/>
    </row>
    <row r="77" ht="185.25" customHeight="1" s="18">
      <c r="A77" s="5" t="inlineStr">
        <is>
          <t>S2-0071</t>
        </is>
      </c>
      <c r="B77" s="5" t="inlineStr">
        <is>
          <t>A</t>
        </is>
      </c>
      <c r="C77" s="3" t="inlineStr">
        <is>
          <t>V. Fietta; F. Zecchinato; B. D. Stasi; M. Polato; M. Monaro</t>
        </is>
      </c>
      <c r="D77" s="6" t="n">
        <v>2022</v>
      </c>
      <c r="E77" s="3" t="inlineStr">
        <is>
          <t>Dissociation Between Users’ Explicit and Implicit Attitudes Toward Artificial Intelligence: An Experimental Study</t>
        </is>
      </c>
      <c r="F77" s="3" t="inlineStr">
        <is>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is>
      </c>
      <c r="G77" s="5" t="inlineStr">
        <is>
          <t>Journal article</t>
        </is>
      </c>
      <c r="H77" s="5" t="inlineStr">
        <is>
          <t>10.1109/thms.2021.3125280</t>
        </is>
      </c>
      <c r="I77" s="5" t="n"/>
      <c r="J77" s="3" t="n"/>
    </row>
    <row r="78" ht="213.75" customHeight="1" s="18">
      <c r="A78" s="5" t="inlineStr">
        <is>
          <t>S2-0072</t>
        </is>
      </c>
      <c r="B78" s="5" t="inlineStr">
        <is>
          <t>A</t>
        </is>
      </c>
      <c r="C78" s="3" t="inlineStr">
        <is>
          <t>O. Hans; K. Radlak; J. Adamy</t>
        </is>
      </c>
      <c r="D78" s="6" t="n">
        <v>2024</v>
      </c>
      <c r="E78" s="3" t="inlineStr">
        <is>
          <t>Human-Factor focused Application of STPA to Remotely driven Vehicles</t>
        </is>
      </c>
      <c r="F78" s="3" t="inlineStr">
        <is>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is>
      </c>
      <c r="G78" s="5" t="inlineStr">
        <is>
          <t>Conference paper</t>
        </is>
      </c>
      <c r="H78" s="5" t="inlineStr">
        <is>
          <t>10.1109/wfpst58552.2024.00026</t>
        </is>
      </c>
      <c r="I78" s="5" t="n"/>
      <c r="J78" s="3" t="n"/>
    </row>
    <row r="79" ht="228" customHeight="1" s="18">
      <c r="A79" s="5" t="inlineStr">
        <is>
          <t>S2-0073</t>
        </is>
      </c>
      <c r="B79" s="5" t="inlineStr">
        <is>
          <t>A</t>
        </is>
      </c>
      <c r="C79" s="3" t="inlineStr">
        <is>
          <t>T. Roy; A. Tariq; S. Dey</t>
        </is>
      </c>
      <c r="D79" s="6" t="n">
        <v>2022</v>
      </c>
      <c r="E79" s="3" t="inlineStr">
        <is>
          <t>A Socio-Technical Approach for Resilient Connected Transportation Systems in Smart Cities</t>
        </is>
      </c>
      <c r="F79" s="3" t="inlineStr">
        <is>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is>
      </c>
      <c r="G79" s="5" t="inlineStr">
        <is>
          <t>Journal article</t>
        </is>
      </c>
      <c r="H79" s="5" t="inlineStr">
        <is>
          <t>10.1109/tits.2020.3045854</t>
        </is>
      </c>
      <c r="I79" s="5" t="n"/>
      <c r="J79" s="3" t="n"/>
    </row>
    <row r="80" ht="213.75" customHeight="1" s="18">
      <c r="A80" s="5" t="inlineStr">
        <is>
          <t>S2-0074</t>
        </is>
      </c>
      <c r="B80" s="5" t="inlineStr">
        <is>
          <t>A</t>
        </is>
      </c>
      <c r="C80" s="3" t="inlineStr">
        <is>
          <t>P. B. Appel; Y. Eun Song; A. Riener</t>
        </is>
      </c>
      <c r="D80" s="6" t="n">
        <v>2024</v>
      </c>
      <c r="E80" s="3" t="inlineStr">
        <is>
          <t>Investigating eVTOL Passenger Preferences in South Korea: Safety, Vertiport Location, and Weight</t>
        </is>
      </c>
      <c r="F80" s="3" t="inlineStr">
        <is>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is>
      </c>
      <c r="G80" s="5" t="inlineStr">
        <is>
          <t>Conference paper</t>
        </is>
      </c>
      <c r="H80" s="5" t="inlineStr">
        <is>
          <t>10.1109/iv55156.2024.10588875</t>
        </is>
      </c>
      <c r="I80" s="5" t="n"/>
      <c r="J80" s="3" t="n"/>
    </row>
    <row r="81" ht="270.75" customHeight="1" s="18">
      <c r="A81" s="5" t="inlineStr">
        <is>
          <t>S2-0075</t>
        </is>
      </c>
      <c r="B81" s="5" t="inlineStr">
        <is>
          <t>A</t>
        </is>
      </c>
      <c r="C81" s="3" t="inlineStr">
        <is>
          <t>Y. Shrivastava; A. K. Sethi; O. Vikash</t>
        </is>
      </c>
      <c r="D81" s="6" t="n">
        <v>2024</v>
      </c>
      <c r="E81" s="3" t="inlineStr">
        <is>
          <t>The Use of Machine Learning in the Automotive Industry</t>
        </is>
      </c>
      <c r="F81" s="3" t="inlineStr">
        <is>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is>
      </c>
      <c r="G81" s="5" t="inlineStr">
        <is>
          <t>Conference paper</t>
        </is>
      </c>
      <c r="H81" s="5" t="inlineStr">
        <is>
          <t>10.1109/i3ceet61722.2024.10994036</t>
        </is>
      </c>
      <c r="I81" s="5" t="n"/>
      <c r="J81" s="3" t="n"/>
    </row>
    <row r="82" ht="313.5" customHeight="1" s="18">
      <c r="A82" s="5" t="inlineStr">
        <is>
          <t>S2-0076</t>
        </is>
      </c>
      <c r="B82" s="5" t="inlineStr">
        <is>
          <t>A</t>
        </is>
      </c>
      <c r="C82" s="3" t="inlineStr">
        <is>
          <t>A. Mohan; D. Singh; A. Kataria; H. Kumar Meena; R. Singh</t>
        </is>
      </c>
      <c r="D82" s="6" t="n">
        <v>2025</v>
      </c>
      <c r="E82" s="3" t="inlineStr">
        <is>
          <t>The Impact of AI on Human Psychology: A User Perspective</t>
        </is>
      </c>
      <c r="F82" s="3" t="inlineStr">
        <is>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is>
      </c>
      <c r="G82" s="5" t="inlineStr">
        <is>
          <t>Conference paper</t>
        </is>
      </c>
      <c r="H82" s="5" t="inlineStr">
        <is>
          <t>10.1109/ic3ecsbhi63591.2025.10990736</t>
        </is>
      </c>
      <c r="I82" s="5" t="n"/>
      <c r="J82" s="3" t="n"/>
    </row>
    <row r="83" ht="242.25" customHeight="1" s="18">
      <c r="A83" s="5" t="inlineStr">
        <is>
          <t>S2-0077</t>
        </is>
      </c>
      <c r="B83" s="5" t="inlineStr">
        <is>
          <t>A</t>
        </is>
      </c>
      <c r="C83" s="3" t="inlineStr">
        <is>
          <t>A. R. Patel; R. Ahuja; M. Roscia</t>
        </is>
      </c>
      <c r="D83" s="6" t="n">
        <v>2024</v>
      </c>
      <c r="E83" s="3" t="inlineStr">
        <is>
          <t>Facilitating Citizen Engagement in Smart City Mobility</t>
        </is>
      </c>
      <c r="F83" s="3" t="inlineStr">
        <is>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is>
      </c>
      <c r="G83" s="5" t="inlineStr">
        <is>
          <t>Conference paper</t>
        </is>
      </c>
      <c r="H83" s="5" t="inlineStr">
        <is>
          <t>10.1109/sefet61574.2024.10717973</t>
        </is>
      </c>
      <c r="I83" s="5" t="n"/>
      <c r="J83" s="3" t="n"/>
    </row>
    <row r="84" ht="199.5" customHeight="1" s="18">
      <c r="A84" s="5" t="inlineStr">
        <is>
          <t>S2-0078</t>
        </is>
      </c>
      <c r="B84" s="5" t="inlineStr">
        <is>
          <t>A</t>
        </is>
      </c>
      <c r="C84" s="3" t="inlineStr">
        <is>
          <t>P. Laplante; R. Kuhn</t>
        </is>
      </c>
      <c r="D84" s="6" t="n">
        <v>2022</v>
      </c>
      <c r="E84" s="3" t="inlineStr">
        <is>
          <t>AI Assurance for the Public – Trust but Verify, Continuously</t>
        </is>
      </c>
      <c r="F84" s="3" t="inlineStr">
        <is>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is>
      </c>
      <c r="G84" s="5" t="inlineStr">
        <is>
          <t>Conference paper</t>
        </is>
      </c>
      <c r="H84" s="5" t="inlineStr">
        <is>
          <t>10.1109/stc55697.2022.00032</t>
        </is>
      </c>
      <c r="I84" s="5" t="n"/>
      <c r="J84" s="3" t="n"/>
    </row>
    <row r="85" ht="199.5" customHeight="1" s="18">
      <c r="A85" s="5" t="inlineStr">
        <is>
          <t>S2-0079</t>
        </is>
      </c>
      <c r="B85" s="5" t="inlineStr">
        <is>
          <t>A</t>
        </is>
      </c>
      <c r="C85" s="3" t="inlineStr">
        <is>
          <t>Q. Sun; S. Hou; J. Yao; P. Cheng</t>
        </is>
      </c>
      <c r="D85" s="6" t="n">
        <v>2022</v>
      </c>
      <c r="E85" s="3" t="inlineStr">
        <is>
          <t>Trust-oriented HMI Design for Conditional Autonomous Driving Takeover Systems</t>
        </is>
      </c>
      <c r="F85" s="3" t="inlineStr">
        <is>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is>
      </c>
      <c r="G85" s="5" t="inlineStr">
        <is>
          <t>Conference paper</t>
        </is>
      </c>
      <c r="H85" s="5" t="inlineStr">
        <is>
          <t>10.1109/icid57362.2022.9969690</t>
        </is>
      </c>
      <c r="I85" s="5" t="n"/>
      <c r="J85" s="3" t="n"/>
    </row>
    <row r="86" ht="171" customHeight="1" s="18">
      <c r="A86" s="5" t="inlineStr">
        <is>
          <t>S2-0080</t>
        </is>
      </c>
      <c r="B86" s="5" t="inlineStr">
        <is>
          <t>A</t>
        </is>
      </c>
      <c r="C86" s="3" t="inlineStr">
        <is>
          <t>P. Clement; H. Danzinger; O. Veledar; C. Könczöl; G. Macher; A. Eichberger</t>
        </is>
      </c>
      <c r="D86" s="6" t="n">
        <v>2021</v>
      </c>
      <c r="E86" s="3" t="inlineStr">
        <is>
          <t>Measuring trust in automated driving using a multi-level approach to human factors</t>
        </is>
      </c>
      <c r="F86" s="3" t="inlineStr">
        <is>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is>
      </c>
      <c r="G86" s="5" t="inlineStr">
        <is>
          <t>Conference paper</t>
        </is>
      </c>
      <c r="H86" s="5" t="inlineStr">
        <is>
          <t>10.1109/dsd53832.2021.00069</t>
        </is>
      </c>
      <c r="I86" s="5" t="n"/>
      <c r="J86" s="3" t="n"/>
    </row>
    <row r="87" ht="270.75" customHeight="1" s="18">
      <c r="A87" s="5" t="inlineStr">
        <is>
          <t>S2-0081</t>
        </is>
      </c>
      <c r="B87" s="5" t="inlineStr">
        <is>
          <t>A</t>
        </is>
      </c>
      <c r="C87" s="3" t="inlineStr">
        <is>
          <t>Z. Yang; H. Yu; J. Tang; H. Liu</t>
        </is>
      </c>
      <c r="D87" s="6" t="n">
        <v>2019</v>
      </c>
      <c r="E87" s="3" t="inlineStr">
        <is>
          <t>Toward Keyword Extraction in Constrained Information Retrieval in Vehicle Social Network</t>
        </is>
      </c>
      <c r="F87" s="3" t="inlineStr">
        <is>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is>
      </c>
      <c r="G87" s="5" t="inlineStr">
        <is>
          <t>Journal article</t>
        </is>
      </c>
      <c r="H87" s="5" t="inlineStr">
        <is>
          <t>10.1109/tvt.2019.2906799</t>
        </is>
      </c>
      <c r="I87" s="5" t="n"/>
      <c r="J87" s="3" t="n"/>
    </row>
    <row r="88" ht="242.25" customHeight="1" s="18">
      <c r="A88" s="5" t="inlineStr">
        <is>
          <t>S2-0082</t>
        </is>
      </c>
      <c r="B88" s="5" t="inlineStr">
        <is>
          <t>A</t>
        </is>
      </c>
      <c r="C88" s="3" t="inlineStr">
        <is>
          <t>L. Ismail; D. Niyato; S. Sun; D. I. Kim; M. Erol-Kantarci; C. Miao</t>
        </is>
      </c>
      <c r="D88" s="6" t="n">
        <v>2022</v>
      </c>
      <c r="E88" s="3" t="inlineStr">
        <is>
          <t>Semantic Information Market For The Metaverse: An Auction Based Approach</t>
        </is>
      </c>
      <c r="F88" s="3" t="inlineStr">
        <is>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is>
      </c>
      <c r="G88" s="5" t="inlineStr">
        <is>
          <t>Conference paper</t>
        </is>
      </c>
      <c r="H88" s="5" t="inlineStr">
        <is>
          <t>10.1109/fnwf55208.2022.00115</t>
        </is>
      </c>
      <c r="I88" s="5" t="n"/>
      <c r="J88" s="3" t="n"/>
    </row>
    <row r="89" ht="299.25" customHeight="1" s="18">
      <c r="A89" s="5" t="inlineStr">
        <is>
          <t>S2-0083</t>
        </is>
      </c>
      <c r="B89" s="5" t="inlineStr">
        <is>
          <t>A</t>
        </is>
      </c>
      <c r="C89" s="3" t="inlineStr">
        <is>
          <t>S. Balali; J. Parham-Mocello; B. Steel; M. D. Jones; W. Billah</t>
        </is>
      </c>
      <c r="D89" s="6" t="n">
        <v>2025</v>
      </c>
      <c r="E89" s="3" t="inlineStr">
        <is>
          <t>Exploring Graduate Student Views on Robotics Policy Relevant Information</t>
        </is>
      </c>
      <c r="F89" s="3" t="inlineStr">
        <is>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is>
      </c>
      <c r="G89" s="5" t="inlineStr">
        <is>
          <t>Conference paper</t>
        </is>
      </c>
      <c r="H89" s="5" t="inlineStr">
        <is>
          <t>10.1109/fie63693.2025.11328351</t>
        </is>
      </c>
      <c r="I89" s="5" t="n"/>
      <c r="J89" s="3" t="n"/>
    </row>
    <row r="90" ht="213.75" customHeight="1" s="18">
      <c r="A90" s="5" t="inlineStr">
        <is>
          <t>S2-0084</t>
        </is>
      </c>
      <c r="B90" s="5" t="inlineStr">
        <is>
          <t>A</t>
        </is>
      </c>
      <c r="C90" s="3" t="inlineStr">
        <is>
          <t>L. Brandimarte</t>
        </is>
      </c>
      <c r="D90" s="6" t="n">
        <v>2023</v>
      </c>
      <c r="E90" s="3" t="inlineStr">
        <is>
          <t>Parental Trust in Automated Detection of Cyberpredators</t>
        </is>
      </c>
      <c r="F90" s="3" t="inlineStr">
        <is>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is>
      </c>
      <c r="G90" s="5" t="inlineStr">
        <is>
          <t>Conference paper</t>
        </is>
      </c>
      <c r="H90" s="5" t="inlineStr">
        <is>
          <t>10.23919/mipro57284.2023.10159713</t>
        </is>
      </c>
      <c r="I90" s="5" t="n"/>
      <c r="J90" s="3" t="n"/>
    </row>
    <row r="91" ht="242.25" customHeight="1" s="18">
      <c r="A91" s="5" t="inlineStr">
        <is>
          <t>S2-0085</t>
        </is>
      </c>
      <c r="B91" s="5" t="inlineStr">
        <is>
          <t>A</t>
        </is>
      </c>
      <c r="C91" s="3" t="inlineStr">
        <is>
          <t>R. C. Arkin</t>
        </is>
      </c>
      <c r="D91" s="6" t="n">
        <v>2016</v>
      </c>
      <c r="E91" s="3" t="inlineStr">
        <is>
          <t>Ethics and Autonomous Systems: Perils and Promises [Point of View]</t>
        </is>
      </c>
      <c r="F91" s="3" t="inlineStr">
        <is>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is>
      </c>
      <c r="G91" s="5" t="inlineStr">
        <is>
          <t>Journal article</t>
        </is>
      </c>
      <c r="H91" s="5" t="inlineStr">
        <is>
          <t>10.1109/jproc.2016.2601162</t>
        </is>
      </c>
      <c r="I91" s="5" t="n"/>
      <c r="J91" s="3" t="n"/>
    </row>
    <row r="92" ht="42.75" customHeight="1" s="18">
      <c r="A92" s="5" t="inlineStr">
        <is>
          <t>S2-0086</t>
        </is>
      </c>
      <c r="B92" s="5" t="inlineStr">
        <is>
          <t>A</t>
        </is>
      </c>
      <c r="C92" s="3" t="inlineStr">
        <is>
          <t>Weiss, E.; Fisher Thiel, M.; Sultana, N.; Hannan, C.; Seacrist, T.</t>
        </is>
      </c>
      <c r="D92" s="6" t="n">
        <v>2018</v>
      </c>
      <c r="E92" s="3" t="inlineStr">
        <is>
          <t>Advanced driver assistance systems for teen drivers: Teen and parent impressions, perceived need, and intervention preferences</t>
        </is>
      </c>
      <c r="F92" s="3" t="n"/>
      <c r="G92" s="5" t="inlineStr">
        <is>
          <t>Journal article</t>
        </is>
      </c>
      <c r="H92" s="5" t="inlineStr">
        <is>
          <t>10.1080/15389588.2017.1401220</t>
        </is>
      </c>
      <c r="I92" s="5" t="n"/>
      <c r="J92" s="3" t="n"/>
    </row>
    <row r="93" ht="42.75" customHeight="1" s="18">
      <c r="A93" s="5" t="inlineStr">
        <is>
          <t>S2-0087</t>
        </is>
      </c>
      <c r="B93" s="5" t="inlineStr">
        <is>
          <t>A</t>
        </is>
      </c>
      <c r="C93" s="3" t="inlineStr">
        <is>
          <t>Kyriakidis, M.; Sodnik, J.; Stojmenova, K.; Elvarsson, A.B.; Pronello, C.; Thomopoulos, N.</t>
        </is>
      </c>
      <c r="D93" s="6" t="n">
        <v>2020</v>
      </c>
      <c r="E93" s="3" t="inlineStr">
        <is>
          <t>The role of human operators in safety perception of av deployment—insights from a large european survey</t>
        </is>
      </c>
      <c r="F93" s="3" t="n"/>
      <c r="G93" s="5" t="inlineStr">
        <is>
          <t>Journal article</t>
        </is>
      </c>
      <c r="H93" s="5" t="inlineStr">
        <is>
          <t>10.3390/su12219166</t>
        </is>
      </c>
      <c r="I93" s="5" t="n"/>
      <c r="J93" s="3" t="n"/>
    </row>
    <row r="94" ht="57" customHeight="1" s="18">
      <c r="A94" s="5" t="inlineStr">
        <is>
          <t>S2-0088</t>
        </is>
      </c>
      <c r="B94" s="5" t="inlineStr">
        <is>
          <t>A</t>
        </is>
      </c>
      <c r="C94" s="3" t="inlineStr">
        <is>
          <t>Chen, S.-Y.; Kuo, H.-Y.; Lee, C.</t>
        </is>
      </c>
      <c r="D94" s="6" t="n">
        <v>2020</v>
      </c>
      <c r="E94" s="3" t="inlineStr">
        <is>
          <t>Preparing society for automated vehicles: Perceptions of the importance and urgency of emerging issues of governance, regulations, and wider impacts</t>
        </is>
      </c>
      <c r="F94" s="3" t="n"/>
      <c r="G94" s="5" t="inlineStr">
        <is>
          <t>Journal article</t>
        </is>
      </c>
      <c r="H94" s="5" t="inlineStr">
        <is>
          <t>10.3390/su12197844</t>
        </is>
      </c>
      <c r="I94" s="5" t="n"/>
      <c r="J94" s="3" t="n"/>
    </row>
    <row r="95" ht="28.5" customHeight="1" s="18">
      <c r="A95" s="5" t="inlineStr">
        <is>
          <t>S2-0089</t>
        </is>
      </c>
      <c r="B95" s="5" t="inlineStr">
        <is>
          <t>A</t>
        </is>
      </c>
      <c r="C95" s="3" t="inlineStr">
        <is>
          <t>Clayton, W.; Paddeu, D.; Parkhurst, G.; Parkin, J.</t>
        </is>
      </c>
      <c r="D95" s="6" t="n">
        <v>2020</v>
      </c>
      <c r="E95" s="3" t="inlineStr">
        <is>
          <t>Autonomous vehicles: who will use them, and will they share?</t>
        </is>
      </c>
      <c r="F95" s="3" t="n"/>
      <c r="G95" s="5" t="inlineStr">
        <is>
          <t>Journal article</t>
        </is>
      </c>
      <c r="H95" s="5" t="inlineStr">
        <is>
          <t>10.1080/03081060.2020.1747200</t>
        </is>
      </c>
      <c r="I95" s="5" t="n"/>
      <c r="J95" s="3" t="n"/>
    </row>
    <row r="96" ht="199.5" customHeight="1" s="18">
      <c r="A96" s="5" t="inlineStr">
        <is>
          <t>S2-0090</t>
        </is>
      </c>
      <c r="B96" s="5" t="inlineStr">
        <is>
          <t>A</t>
        </is>
      </c>
      <c r="C96" s="3" t="inlineStr">
        <is>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is>
      </c>
      <c r="D96" s="6" t="n">
        <v>2025</v>
      </c>
      <c r="E96" s="3" t="inlineStr">
        <is>
          <t>Can Urban Air Mobility become reality? Opportunities and challenges of UAM as innovative mode of transport and DLR contribution to ongoing research</t>
        </is>
      </c>
      <c r="F96" s="3" t="n"/>
      <c r="G96" s="5" t="inlineStr">
        <is>
          <t>Journal article</t>
        </is>
      </c>
      <c r="H96" s="5" t="inlineStr">
        <is>
          <t>10.1007/s13272-024-00733-x</t>
        </is>
      </c>
      <c r="I96" s="5" t="n"/>
      <c r="J96" s="3" t="n"/>
    </row>
    <row r="97" ht="28.5" customHeight="1" s="18">
      <c r="A97" s="5" t="inlineStr">
        <is>
          <t>S2-0091</t>
        </is>
      </c>
      <c r="B97" s="5" t="inlineStr">
        <is>
          <t>A</t>
        </is>
      </c>
      <c r="C97" s="3" t="inlineStr">
        <is>
          <t>Harrison, T.M.</t>
        </is>
      </c>
      <c r="D97" s="6" t="n">
        <v>2015</v>
      </c>
      <c r="E97" s="3" t="inlineStr">
        <is>
          <t>New approaches to textual analysis in e-government research</t>
        </is>
      </c>
      <c r="F97" s="3" t="n"/>
      <c r="G97" s="5" t="inlineStr">
        <is>
          <t>Conference paper</t>
        </is>
      </c>
      <c r="H97" s="5" t="inlineStr">
        <is>
          <t>10.1145/2757401.2757443</t>
        </is>
      </c>
      <c r="I97" s="5" t="n"/>
      <c r="J97" s="3" t="n"/>
    </row>
    <row r="98" ht="42.75" customHeight="1" s="18">
      <c r="A98" s="5" t="inlineStr">
        <is>
          <t>S2-0092</t>
        </is>
      </c>
      <c r="B98" s="5" t="inlineStr">
        <is>
          <t>A</t>
        </is>
      </c>
      <c r="C98" s="3" t="inlineStr">
        <is>
          <t>Abudayyeh, D.; Almomani, M.; Almomani, O.; Alsoud, H.; Alsalman, F.</t>
        </is>
      </c>
      <c r="D98" s="6" t="n">
        <v>2023</v>
      </c>
      <c r="E98" s="3" t="inlineStr">
        <is>
          <t>Perceptions of Autonomous Vehicles: A Case Study of Jordan</t>
        </is>
      </c>
      <c r="F98" s="3" t="n"/>
      <c r="G98" s="5" t="inlineStr">
        <is>
          <t>Journal article</t>
        </is>
      </c>
      <c r="H98" s="5" t="inlineStr">
        <is>
          <t>10.3390/wevj14050133</t>
        </is>
      </c>
      <c r="I98" s="5" t="n"/>
      <c r="J98" s="3" t="n"/>
    </row>
    <row r="99" ht="42.75" customHeight="1" s="18">
      <c r="A99" s="5" t="inlineStr">
        <is>
          <t>S2-0093</t>
        </is>
      </c>
      <c r="B99" s="5" t="inlineStr">
        <is>
          <t>A</t>
        </is>
      </c>
      <c r="C99" s="3" t="inlineStr">
        <is>
          <t>Lee, D.; Nguyen Long, L.A.</t>
        </is>
      </c>
      <c r="D99" s="6" t="n">
        <v>2025</v>
      </c>
      <c r="E99" s="3" t="inlineStr">
        <is>
          <t>Privacy challenges of automated vehicles: Merging contextual integrity and responsible innovation frameworks</t>
        </is>
      </c>
      <c r="F99" s="3" t="n"/>
      <c r="G99" s="5" t="inlineStr">
        <is>
          <t>Journal article</t>
        </is>
      </c>
      <c r="H99" s="5" t="inlineStr">
        <is>
          <t>10.1016/j.trip.2025.101536</t>
        </is>
      </c>
      <c r="I99" s="5" t="n"/>
      <c r="J99" s="3" t="n"/>
    </row>
    <row r="100" ht="28.5" customHeight="1" s="18">
      <c r="A100" s="5" t="inlineStr">
        <is>
          <t>S2-0094</t>
        </is>
      </c>
      <c r="B100" s="5" t="inlineStr">
        <is>
          <t>A</t>
        </is>
      </c>
      <c r="C100" s="3" t="inlineStr">
        <is>
          <t>Lee, J.; Mao, R.; Pervez, A.</t>
        </is>
      </c>
      <c r="D100" s="6" t="n">
        <v>2024</v>
      </c>
      <c r="E100" s="3" t="inlineStr">
        <is>
          <t>Perceived risk of crime on driverless public bus and ride-pooling services in China</t>
        </is>
      </c>
      <c r="F100" s="3" t="n"/>
      <c r="G100" s="5" t="inlineStr">
        <is>
          <t>Journal article</t>
        </is>
      </c>
      <c r="H100" s="5" t="inlineStr">
        <is>
          <t>10.1016/j.tbs.2023.100730</t>
        </is>
      </c>
      <c r="I100" s="5" t="n"/>
      <c r="J100" s="3" t="n"/>
    </row>
    <row r="101" ht="71.25" customHeight="1" s="18">
      <c r="A101" s="5" t="inlineStr">
        <is>
          <t>S2-0095</t>
        </is>
      </c>
      <c r="B101" s="5" t="inlineStr">
        <is>
          <t>A</t>
        </is>
      </c>
      <c r="C101" s="3" t="inlineStr">
        <is>
          <t>Rao, V.; Joshi, A.; Kang, S.M.; Lin, S.; Song, J.; Miller, D.; Goucher-Lambert, K.; Agogino, A.</t>
        </is>
      </c>
      <c r="D101" s="6" t="n">
        <v>2022</v>
      </c>
      <c r="E101" s="3" t="inlineStr">
        <is>
          <t>DESIGNING PRIVACY RISK FRAMEWORKS FOR EVOLVING CYBER-PHYSICAL SOCIAL SYSTEMS: KNOWLEDGE GAPS ILLUMINATED BY THE CASE OF AUTONOMOUS VEHICLES AND BYSTANDER PRIVACY</t>
        </is>
      </c>
      <c r="F101" s="3" t="n"/>
      <c r="G101" s="5" t="inlineStr">
        <is>
          <t>Conference paper</t>
        </is>
      </c>
      <c r="H101" s="5" t="inlineStr">
        <is>
          <t>10.1115/detc2022-90958</t>
        </is>
      </c>
      <c r="I101" s="5" t="n"/>
      <c r="J101" s="3" t="n"/>
    </row>
    <row r="102" ht="28.5" customHeight="1" s="18">
      <c r="A102" s="5" t="inlineStr">
        <is>
          <t>S2-0096</t>
        </is>
      </c>
      <c r="B102" s="5" t="inlineStr">
        <is>
          <t>A</t>
        </is>
      </c>
      <c r="C102" s="3" t="inlineStr">
        <is>
          <t>Wang, Z.; Wang, Y.; Lin, Y.; Dong, B.; Tao, H.; Khan, L.</t>
        </is>
      </c>
      <c r="D102" s="6" t="n">
        <v>2020</v>
      </c>
      <c r="E102" s="3" t="inlineStr">
        <is>
          <t>Few sample learning without data storage for lifelong stream mining (student abstract)</t>
        </is>
      </c>
      <c r="F102" s="3" t="n"/>
      <c r="G102" s="5" t="inlineStr">
        <is>
          <t>Conference paper</t>
        </is>
      </c>
      <c r="H102" s="5" t="n"/>
      <c r="I102" s="5" t="n"/>
      <c r="J102" s="3" t="n"/>
    </row>
    <row r="103" ht="57" customHeight="1" s="18">
      <c r="A103" s="5" t="inlineStr">
        <is>
          <t>S2-0097</t>
        </is>
      </c>
      <c r="B103" s="5" t="inlineStr">
        <is>
          <t>A</t>
        </is>
      </c>
      <c r="C103" s="3" t="inlineStr">
        <is>
          <t>Niavis, S.; Gavanas, N.; Anastasiadou, K.; Arvanitidis, P.</t>
        </is>
      </c>
      <c r="D103" s="6" t="n">
        <v>2025</v>
      </c>
      <c r="E103" s="3" t="inlineStr">
        <is>
          <t>Investigating Users’ Acceptance of Autonomous Buses by Examining Their Willingness to Use and Willingness to Pay: The Case of the City of Trikala, Greece</t>
        </is>
      </c>
      <c r="F103" s="3" t="n"/>
      <c r="G103" s="5" t="inlineStr">
        <is>
          <t>Journal article</t>
        </is>
      </c>
      <c r="H103" s="5" t="inlineStr">
        <is>
          <t>10.3390/urbansci9080298</t>
        </is>
      </c>
      <c r="I103" s="5" t="n"/>
      <c r="J103" s="3" t="n"/>
    </row>
    <row r="104" ht="42.75" customHeight="1" s="18">
      <c r="A104" s="5" t="inlineStr">
        <is>
          <t>S2-0098</t>
        </is>
      </c>
      <c r="B104" s="5" t="inlineStr">
        <is>
          <t>A</t>
        </is>
      </c>
      <c r="C104" s="3" t="inlineStr">
        <is>
          <t>Acharya, S.; Mekker, M.</t>
        </is>
      </c>
      <c r="D104" s="6" t="n">
        <v>2024</v>
      </c>
      <c r="E104" s="3" t="inlineStr">
        <is>
          <t>Acceptance and demand of autonomous vehicles for long-distance recreational travel: An investigation based on a survey of visitors to US national parks</t>
        </is>
      </c>
      <c r="F104" s="3" t="n"/>
      <c r="G104" s="5" t="inlineStr">
        <is>
          <t>Journal article</t>
        </is>
      </c>
      <c r="H104" s="5" t="inlineStr">
        <is>
          <t>10.1016/j.tra.2024.104157</t>
        </is>
      </c>
      <c r="I104" s="5" t="n"/>
      <c r="J104" s="3" t="n"/>
    </row>
    <row r="105" ht="42.75" customHeight="1" s="18">
      <c r="A105" s="5" t="inlineStr">
        <is>
          <t>S2-0099</t>
        </is>
      </c>
      <c r="B105" s="5" t="inlineStr">
        <is>
          <t>A</t>
        </is>
      </c>
      <c r="C105" s="3" t="inlineStr">
        <is>
          <t>Walter, J.; Abendroth, B.</t>
        </is>
      </c>
      <c r="D105" s="6" t="n">
        <v>2020</v>
      </c>
      <c r="E105" s="3" t="inlineStr">
        <is>
          <t>On the role of informational privacy in connected vehicles: A privacy-aware acceptance modelling approach for connected vehicular services</t>
        </is>
      </c>
      <c r="F105" s="3" t="n"/>
      <c r="G105" s="5" t="inlineStr">
        <is>
          <t>Journal article</t>
        </is>
      </c>
      <c r="H105" s="5" t="inlineStr">
        <is>
          <t>10.1016/j.tele.2020.101361</t>
        </is>
      </c>
      <c r="I105" s="5" t="n"/>
      <c r="J105" s="3" t="n"/>
    </row>
    <row r="106" ht="28.5" customHeight="1" s="18">
      <c r="A106" s="5" t="inlineStr">
        <is>
          <t>S2-0100</t>
        </is>
      </c>
      <c r="B106" s="5" t="inlineStr">
        <is>
          <t>A</t>
        </is>
      </c>
      <c r="C106" s="3" t="inlineStr">
        <is>
          <t>Horowitz, M.C.; Kahn, L.; Macdonald, J.; Schneider, J.</t>
        </is>
      </c>
      <c r="D106" s="6" t="n">
        <v>2024</v>
      </c>
      <c r="E106" s="3" t="inlineStr">
        <is>
          <t>Adopting AI: how familiarity breeds both trust and contempt</t>
        </is>
      </c>
      <c r="F106" s="3" t="n"/>
      <c r="G106" s="5" t="inlineStr">
        <is>
          <t>Journal article</t>
        </is>
      </c>
      <c r="H106" s="5" t="inlineStr">
        <is>
          <t>10.1007/s00146-023-01666-5</t>
        </is>
      </c>
      <c r="I106" s="5" t="n"/>
      <c r="J106" s="3" t="n"/>
    </row>
    <row r="107" ht="57" customHeight="1" s="18">
      <c r="A107" s="5" t="inlineStr">
        <is>
          <t>S2-0101</t>
        </is>
      </c>
      <c r="B107" s="5" t="inlineStr">
        <is>
          <t>A</t>
        </is>
      </c>
      <c r="C107" s="3" t="inlineStr">
        <is>
          <t>Singh, A.; Pachamuthu, R.; Pawar, D.S.</t>
        </is>
      </c>
      <c r="D107" s="6" t="n">
        <v>2023</v>
      </c>
      <c r="E107" s="3" t="inlineStr">
        <is>
          <t>GOVERNING AUTONOMOUS VEHICLES INCLUSION IN INDIA: DEVELOPING REGULATORY FRAMEWORK, NECESSARY INFRASTRUCTURE, AND TEST SCENARIOS</t>
        </is>
      </c>
      <c r="F107" s="3" t="n"/>
      <c r="G107" s="5" t="inlineStr">
        <is>
          <t>Conference paper</t>
        </is>
      </c>
      <c r="H107" s="5" t="n"/>
      <c r="I107" s="5" t="n"/>
      <c r="J107" s="3" t="n"/>
    </row>
    <row r="108" ht="42.75" customHeight="1" s="18">
      <c r="A108" s="5" t="inlineStr">
        <is>
          <t>S2-0102</t>
        </is>
      </c>
      <c r="B108" s="5" t="inlineStr">
        <is>
          <t>A</t>
        </is>
      </c>
      <c r="C108" s="3" t="inlineStr">
        <is>
          <t>Zhou, W.; Espahbod, S.; Shi, V.; Nketiah, E.</t>
        </is>
      </c>
      <c r="D108" s="6" t="n">
        <v>2025</v>
      </c>
      <c r="E108" s="3" t="inlineStr">
        <is>
          <t>Understanding Consumers’ Adoption Behavior of Driverless Delivery Vehicles: Insights from the Combined Use of NCA and PLS-SEM</t>
        </is>
      </c>
      <c r="F108" s="3" t="n"/>
      <c r="G108" s="5" t="inlineStr">
        <is>
          <t>Journal article</t>
        </is>
      </c>
      <c r="H108" s="5" t="inlineStr">
        <is>
          <t>10.3390/su17135730</t>
        </is>
      </c>
      <c r="I108" s="5" t="n"/>
      <c r="J108" s="3" t="n"/>
    </row>
    <row r="109" ht="28.5" customHeight="1" s="18">
      <c r="A109" s="5" t="inlineStr">
        <is>
          <t>S2-0103</t>
        </is>
      </c>
      <c r="B109" s="5" t="inlineStr">
        <is>
          <t>A</t>
        </is>
      </c>
      <c r="C109" s="3" t="inlineStr">
        <is>
          <t>Barber, F.; Furnell, S.</t>
        </is>
      </c>
      <c r="D109" s="6" t="n">
        <v>2023</v>
      </c>
      <c r="E109" s="3" t="inlineStr">
        <is>
          <t>Evaluating Consumer Understanding and Awareness of Connected and Autonomous Vehicle Data Privacy</t>
        </is>
      </c>
      <c r="F109" s="3" t="n"/>
      <c r="G109" s="5" t="inlineStr">
        <is>
          <t>Conference paper</t>
        </is>
      </c>
      <c r="H109" s="5" t="inlineStr">
        <is>
          <t>10.1007/978-3-031-37807-2_3</t>
        </is>
      </c>
      <c r="I109" s="5" t="n"/>
      <c r="J109" s="3" t="n"/>
    </row>
    <row r="110" ht="28.5" customHeight="1" s="18">
      <c r="A110" s="5" t="inlineStr">
        <is>
          <t>S2-0104</t>
        </is>
      </c>
      <c r="B110" s="5" t="inlineStr">
        <is>
          <t>A</t>
        </is>
      </c>
      <c r="C110" s="3" t="inlineStr">
        <is>
          <t>Banner, O.; Adelman, D.</t>
        </is>
      </c>
      <c r="D110" s="6" t="n">
        <v>2023</v>
      </c>
      <c r="E110" s="3" t="inlineStr">
        <is>
          <t>Sidewalks are for people? Futuristic fantasies, disabled lives, and crip sitveillance</t>
        </is>
      </c>
      <c r="F110" s="3" t="n"/>
      <c r="G110" s="5" t="inlineStr">
        <is>
          <t>Journal article</t>
        </is>
      </c>
      <c r="H110" s="5" t="inlineStr">
        <is>
          <t>10.5210/fm.v28i1.12929</t>
        </is>
      </c>
      <c r="I110" s="5" t="n"/>
      <c r="J110" s="3" t="n"/>
    </row>
    <row r="111" ht="28.5" customHeight="1" s="18">
      <c r="A111" s="5" t="inlineStr">
        <is>
          <t>S2-0105</t>
        </is>
      </c>
      <c r="B111" s="5" t="inlineStr">
        <is>
          <t>A</t>
        </is>
      </c>
      <c r="C111" s="3" t="inlineStr">
        <is>
          <t>Viktor, P.; Kiss, G.</t>
        </is>
      </c>
      <c r="D111" s="6" t="n">
        <v>2025</v>
      </c>
      <c r="E111" s="3" t="inlineStr">
        <is>
          <t>Generational Differences Among Users of Self-Driving Vehicles</t>
        </is>
      </c>
      <c r="F111" s="3" t="n"/>
      <c r="G111" s="5" t="inlineStr">
        <is>
          <t>Journal article</t>
        </is>
      </c>
      <c r="H111" s="5" t="inlineStr">
        <is>
          <t>10.3390/wevj16120645</t>
        </is>
      </c>
      <c r="I111" s="5" t="n"/>
      <c r="J111" s="3" t="n"/>
    </row>
    <row r="112" ht="28.5" customHeight="1" s="18">
      <c r="A112" s="5" t="inlineStr">
        <is>
          <t>S2-0106</t>
        </is>
      </c>
      <c r="B112" s="5" t="inlineStr">
        <is>
          <t>A</t>
        </is>
      </c>
      <c r="C112" s="3" t="inlineStr">
        <is>
          <t>Prasetio, E.A.; Novizayanti, D.; Putri, A.N.A.</t>
        </is>
      </c>
      <c r="D112" s="6" t="n">
        <v>2025</v>
      </c>
      <c r="E112" s="3" t="inlineStr">
        <is>
          <t>Cluster analysis of potential autonomous vehicle (AV) adopters in Indonesia's new capital</t>
        </is>
      </c>
      <c r="F112" s="3" t="n"/>
      <c r="G112" s="5" t="inlineStr">
        <is>
          <t>Journal article</t>
        </is>
      </c>
      <c r="H112" s="5" t="inlineStr">
        <is>
          <t>10.1016/j.trip.2024.101318</t>
        </is>
      </c>
      <c r="I112" s="5" t="n"/>
      <c r="J112" s="3" t="n"/>
    </row>
    <row r="113" ht="28.5" customHeight="1" s="18">
      <c r="A113" s="5" t="inlineStr">
        <is>
          <t>S2-0107</t>
        </is>
      </c>
      <c r="B113" s="5" t="inlineStr">
        <is>
          <t>A</t>
        </is>
      </c>
      <c r="C113" s="3" t="inlineStr">
        <is>
          <t>Rahman, M.T.; Dey, K.; Ashraf, M.T.</t>
        </is>
      </c>
      <c r="D113" s="6" t="n">
        <v>2024</v>
      </c>
      <c r="E113" s="3" t="inlineStr">
        <is>
          <t>Perceptions of vulnerable roadway users on autonomous vehicle regulations</t>
        </is>
      </c>
      <c r="F113" s="3" t="n"/>
      <c r="G113" s="5" t="inlineStr">
        <is>
          <t>Journal article</t>
        </is>
      </c>
      <c r="H113" s="5" t="inlineStr">
        <is>
          <t>10.1016/j.jsr.2024.02.005</t>
        </is>
      </c>
      <c r="I113" s="5" t="n"/>
      <c r="J113" s="3" t="n"/>
    </row>
    <row r="114" ht="57" customHeight="1" s="18">
      <c r="A114" s="5" t="inlineStr">
        <is>
          <t>S2-0108</t>
        </is>
      </c>
      <c r="B114" s="5" t="inlineStr">
        <is>
          <t>A</t>
        </is>
      </c>
      <c r="C114" s="3" t="inlineStr">
        <is>
          <t>Feng, Z.; Gao, Y.; Zhu, D.; Chan, H.-Y.; Zhao, M.; Xue, R.</t>
        </is>
      </c>
      <c r="D114" s="6" t="n">
        <v>2024</v>
      </c>
      <c r="E114" s="3" t="inlineStr">
        <is>
          <t>Impact of risk perception and trust in autonomous vehicles on pedestrian crossing decision: Navigating the social-technological intersection with the ICLV model</t>
        </is>
      </c>
      <c r="F114" s="3" t="n"/>
      <c r="G114" s="5" t="inlineStr">
        <is>
          <t>Journal article</t>
        </is>
      </c>
      <c r="H114" s="5" t="inlineStr">
        <is>
          <t>10.1016/j.tranpol.2024.05.001</t>
        </is>
      </c>
      <c r="I114" s="5" t="n"/>
      <c r="J114" s="3" t="n"/>
    </row>
    <row r="115" ht="42.75" customHeight="1" s="18">
      <c r="A115" s="5" t="inlineStr">
        <is>
          <t>S2-0109</t>
        </is>
      </c>
      <c r="B115" s="5" t="inlineStr">
        <is>
          <t>A</t>
        </is>
      </c>
      <c r="C115" s="3" t="inlineStr">
        <is>
          <t>Colley, M.; Speidel, O.; Strohbeck, J.; Rixen, J.O.; Belz, J.H.; Rukzio, E.</t>
        </is>
      </c>
      <c r="D115" s="6" t="n">
        <v>2024</v>
      </c>
      <c r="E115" s="3" t="inlineStr">
        <is>
          <t>Effects of Uncertain Trajectory Prediction Visualization in Highly Automated Vehicles on Trust, Situation Awareness, and Cognitive Load</t>
        </is>
      </c>
      <c r="F115" s="3" t="n"/>
      <c r="G115" s="5" t="inlineStr">
        <is>
          <t>Journal article</t>
        </is>
      </c>
      <c r="H115" s="5" t="inlineStr">
        <is>
          <t>10.1145/3631408</t>
        </is>
      </c>
      <c r="I115" s="5" t="n"/>
      <c r="J115" s="3" t="n"/>
    </row>
    <row r="116" ht="42.75" customHeight="1" s="18">
      <c r="A116" s="5" t="inlineStr">
        <is>
          <t>S2-0110</t>
        </is>
      </c>
      <c r="B116" s="5" t="inlineStr">
        <is>
          <t>A</t>
        </is>
      </c>
      <c r="C116" s="3" t="inlineStr">
        <is>
          <t>Liang, Y.; Tang, J.; Wu, Z.; Jia, M.</t>
        </is>
      </c>
      <c r="D116" s="6" t="n">
        <v>2023</v>
      </c>
      <c r="E116" s="3" t="inlineStr">
        <is>
          <t>Influence of Psychological and Socioeconomic Factors on Purchase Likelihood for Autonomous Vehicles: A Hybrid Choice Modeling Approach</t>
        </is>
      </c>
      <c r="F116" s="3" t="n"/>
      <c r="G116" s="5" t="inlineStr">
        <is>
          <t>Journal article</t>
        </is>
      </c>
      <c r="H116" s="5" t="inlineStr">
        <is>
          <t>10.3390/su152115452</t>
        </is>
      </c>
      <c r="I116" s="5" t="n"/>
      <c r="J116" s="3" t="n"/>
    </row>
    <row r="117" ht="28.5" customHeight="1" s="18">
      <c r="A117" s="5" t="inlineStr">
        <is>
          <t>S2-0111</t>
        </is>
      </c>
      <c r="B117" s="5" t="inlineStr">
        <is>
          <t>A</t>
        </is>
      </c>
      <c r="C117" s="3" t="inlineStr">
        <is>
          <t>Brell, T.; Biermann, H.; Philipsen, R.; Ziefle, M.</t>
        </is>
      </c>
      <c r="D117" s="6" t="n">
        <v>2019</v>
      </c>
      <c r="E117" s="3" t="inlineStr">
        <is>
          <t>Conditional privacy: Users' perception of data privacy in autonomous driving</t>
        </is>
      </c>
      <c r="F117" s="3" t="n"/>
      <c r="G117" s="5" t="inlineStr">
        <is>
          <t>Conference paper</t>
        </is>
      </c>
      <c r="H117" s="5" t="inlineStr">
        <is>
          <t>10.5220/0007693803520359</t>
        </is>
      </c>
      <c r="I117" s="5" t="n"/>
      <c r="J117" s="3" t="n"/>
    </row>
    <row r="118" ht="42.75" customHeight="1" s="18">
      <c r="A118" s="5" t="inlineStr">
        <is>
          <t>S2-0112</t>
        </is>
      </c>
      <c r="B118" s="5" t="inlineStr">
        <is>
          <t>A</t>
        </is>
      </c>
      <c r="C118" s="3" t="inlineStr">
        <is>
          <t>Hamadneh, J.; Hamdan, N.</t>
        </is>
      </c>
      <c r="D118" s="6" t="n">
        <v>2025</v>
      </c>
      <c r="E118" s="3" t="inlineStr">
        <is>
          <t>The Impact of Travel Behavior Factors on the Acceptance of Carsharing and Autonomous Vehicles: A Machine Learning Analysis</t>
        </is>
      </c>
      <c r="F118" s="3" t="n"/>
      <c r="G118" s="5" t="inlineStr">
        <is>
          <t>Journal article</t>
        </is>
      </c>
      <c r="H118" s="5" t="inlineStr">
        <is>
          <t>10.3390/wevj16070352</t>
        </is>
      </c>
      <c r="I118" s="5" t="n"/>
      <c r="J118" s="3" t="n"/>
    </row>
    <row r="119" ht="42.75" customHeight="1" s="18">
      <c r="A119" s="5" t="inlineStr">
        <is>
          <t>S2-0113</t>
        </is>
      </c>
      <c r="B119" s="5" t="inlineStr">
        <is>
          <t>A</t>
        </is>
      </c>
      <c r="C119" s="3" t="inlineStr">
        <is>
          <t>Frison, A.-K.; Forster, Y.; Wintersberger, P.; Geisel, V.; Riener, A.</t>
        </is>
      </c>
      <c r="D119" s="6" t="n">
        <v>2020</v>
      </c>
      <c r="E119" s="3" t="inlineStr">
        <is>
          <t>Where we come from and where we are going: A systematic review of human factors research in driving automation</t>
        </is>
      </c>
      <c r="F119" s="3" t="n"/>
      <c r="G119" s="5" t="inlineStr">
        <is>
          <t>Journal article</t>
        </is>
      </c>
      <c r="H119" s="5" t="inlineStr">
        <is>
          <t>10.3390/app10248914</t>
        </is>
      </c>
      <c r="I119" s="5" t="n"/>
      <c r="J119" s="3" t="n"/>
    </row>
    <row r="120" ht="28.5" customHeight="1" s="18">
      <c r="A120" s="5" t="inlineStr">
        <is>
          <t>S2-0114</t>
        </is>
      </c>
      <c r="B120" s="5" t="inlineStr">
        <is>
          <t>A</t>
        </is>
      </c>
      <c r="C120" s="3" t="inlineStr">
        <is>
          <t>Hafiz, D.; AlKhafagy, M.; Zohdy, I.</t>
        </is>
      </c>
      <c r="D120" s="6" t="n">
        <v>2025</v>
      </c>
      <c r="E120" s="3" t="inlineStr">
        <is>
          <t>Autonomous Public Transport: Evolution, Benefits, and Challenges in the Future of Urban Mobility</t>
        </is>
      </c>
      <c r="F120" s="3" t="n"/>
      <c r="G120" s="5" t="inlineStr">
        <is>
          <t>Journal article</t>
        </is>
      </c>
      <c r="H120" s="5" t="inlineStr">
        <is>
          <t>10.3390/wevj16090482</t>
        </is>
      </c>
      <c r="I120" s="5" t="n"/>
      <c r="J120" s="3" t="n"/>
    </row>
    <row r="121" ht="42.75" customHeight="1" s="18">
      <c r="A121" s="5" t="inlineStr">
        <is>
          <t>S2-0115</t>
        </is>
      </c>
      <c r="B121" s="5" t="inlineStr">
        <is>
          <t>A</t>
        </is>
      </c>
      <c r="C121" s="3" t="inlineStr">
        <is>
          <t>Arpaci, I.; Al-Sharafi, M.A.; Mahmoud, M.A.</t>
        </is>
      </c>
      <c r="D121" s="6" t="n">
        <v>2024</v>
      </c>
      <c r="E121" s="3" t="inlineStr">
        <is>
          <t>Factors predicting green behavior and environmental sustainability in autonomous vehicles: A deep learning-based ANN and PLS-SEM approach</t>
        </is>
      </c>
      <c r="F121" s="3" t="n"/>
      <c r="G121" s="5" t="inlineStr">
        <is>
          <t>Journal article</t>
        </is>
      </c>
      <c r="H121" s="5" t="inlineStr">
        <is>
          <t>10.1016/j.rtbm.2024.101228</t>
        </is>
      </c>
      <c r="I121" s="5" t="n"/>
      <c r="J121" s="3" t="n"/>
    </row>
    <row r="122" ht="28.5" customHeight="1" s="18">
      <c r="A122" s="5" t="inlineStr">
        <is>
          <t>S2-0116</t>
        </is>
      </c>
      <c r="B122" s="5" t="inlineStr">
        <is>
          <t>A</t>
        </is>
      </c>
      <c r="C122" s="3" t="inlineStr">
        <is>
          <t>Ekman, F.; Johansson, M.; Bligård, L.-O.; Karlsson, M.; Strömberg, H.</t>
        </is>
      </c>
      <c r="D122" s="6" t="n">
        <v>2019</v>
      </c>
      <c r="E122" s="3" t="inlineStr">
        <is>
          <t>Exploring automated vehicle driving styles as a source of trust information</t>
        </is>
      </c>
      <c r="F122" s="3" t="n"/>
      <c r="G122" s="5" t="inlineStr">
        <is>
          <t>Journal article</t>
        </is>
      </c>
      <c r="H122" s="5" t="inlineStr">
        <is>
          <t>10.1016/j.trf.2019.07.026</t>
        </is>
      </c>
      <c r="I122" s="5" t="n"/>
      <c r="J122" s="3" t="n"/>
    </row>
    <row r="123" ht="42.75" customHeight="1" s="18">
      <c r="A123" s="5" t="inlineStr">
        <is>
          <t>S2-0117</t>
        </is>
      </c>
      <c r="B123" s="5" t="inlineStr">
        <is>
          <t>A</t>
        </is>
      </c>
      <c r="C123" s="3" t="inlineStr">
        <is>
          <t>Liu, N.; Nikitas, A.; Parkinson, S.</t>
        </is>
      </c>
      <c r="D123" s="6" t="n">
        <v>2020</v>
      </c>
      <c r="E123" s="3" t="inlineStr">
        <is>
          <t>Exploring expert perceptions about the cyber security and privacy of Connected and Autonomous Vehicles: A thematic analysis approach</t>
        </is>
      </c>
      <c r="F123" s="3" t="n"/>
      <c r="G123" s="5" t="inlineStr">
        <is>
          <t>Journal article</t>
        </is>
      </c>
      <c r="H123" s="5" t="inlineStr">
        <is>
          <t>10.1016/j.trf.2020.09.019</t>
        </is>
      </c>
      <c r="I123" s="5" t="n"/>
      <c r="J123" s="3" t="n"/>
    </row>
    <row r="124" ht="28.5" customHeight="1" s="18">
      <c r="A124" s="5" t="inlineStr">
        <is>
          <t>S2-0118</t>
        </is>
      </c>
      <c r="B124" s="5" t="inlineStr">
        <is>
          <t>A</t>
        </is>
      </c>
      <c r="C124" s="3" t="inlineStr">
        <is>
          <t>Rahim, A.N.; Fonzone, A.; Fountas, G.; Downey, L.</t>
        </is>
      </c>
      <c r="D124" s="6" t="n">
        <v>2023</v>
      </c>
      <c r="E124" s="3" t="inlineStr">
        <is>
          <t>On the Attitudes Toward Automation in Determining the Intention to Use Automated Buses in Scotland</t>
        </is>
      </c>
      <c r="F124" s="3" t="n"/>
      <c r="G124" s="5" t="inlineStr">
        <is>
          <t>Journal article</t>
        </is>
      </c>
      <c r="H124" s="5" t="inlineStr">
        <is>
          <t>10.1177/03611981231159116</t>
        </is>
      </c>
      <c r="I124" s="5" t="n"/>
      <c r="J124" s="3" t="n"/>
    </row>
    <row r="125" ht="57" customHeight="1" s="18">
      <c r="A125" s="5" t="inlineStr">
        <is>
          <t>S2-0119</t>
        </is>
      </c>
      <c r="B125" s="5" t="inlineStr">
        <is>
          <t>A</t>
        </is>
      </c>
      <c r="C125" s="3" t="inlineStr">
        <is>
          <t>Hansen, A.; Kiely, K.; Attuquayefio, T.; Hosking, D.; Regan, M.; Eramudugolla, R.; Ross, L.A.; Anstey, K.J.</t>
        </is>
      </c>
      <c r="D125" s="6" t="n">
        <v>2025</v>
      </c>
      <c r="E125" s="3" t="inlineStr">
        <is>
          <t>Assessment of the application of technology acceptance measures to older drivers’ acceptance of advanced driver-assistance systems</t>
        </is>
      </c>
      <c r="F125" s="3" t="n"/>
      <c r="G125" s="5" t="inlineStr">
        <is>
          <t>Journal article</t>
        </is>
      </c>
      <c r="H125" s="5" t="inlineStr">
        <is>
          <t>10.1016/j.apergo.2025.104474</t>
        </is>
      </c>
      <c r="I125" s="5" t="n"/>
      <c r="J125" s="3" t="n"/>
    </row>
    <row r="126" ht="28.5" customHeight="1" s="18">
      <c r="A126" s="5" t="inlineStr">
        <is>
          <t>S2-0120</t>
        </is>
      </c>
      <c r="B126" s="5" t="inlineStr">
        <is>
          <t>A</t>
        </is>
      </c>
      <c r="C126" s="3" t="inlineStr">
        <is>
          <t>Vrščaj, D.; Nyholm, S.; Verbong, G.P.J.</t>
        </is>
      </c>
      <c r="D126" s="6" t="n">
        <v>2020</v>
      </c>
      <c r="E126" s="3" t="inlineStr">
        <is>
          <t>Is tomorrow’s car appealing today? Ethical issues and user attitudes beyond automation</t>
        </is>
      </c>
      <c r="F126" s="3" t="n"/>
      <c r="G126" s="5" t="inlineStr">
        <is>
          <t>Journal article</t>
        </is>
      </c>
      <c r="H126" s="5" t="inlineStr">
        <is>
          <t>10.1007/s00146-020-00941-z</t>
        </is>
      </c>
      <c r="I126" s="5" t="n"/>
      <c r="J126" s="3" t="n"/>
    </row>
    <row r="127" ht="28.5" customHeight="1" s="18">
      <c r="A127" s="5" t="inlineStr">
        <is>
          <t>S2-0121</t>
        </is>
      </c>
      <c r="B127" s="5" t="inlineStr">
        <is>
          <t>A</t>
        </is>
      </c>
      <c r="C127" s="3" t="inlineStr">
        <is>
          <t>Papagni, G.; Zafari, S.; Schrammel, J.; Tscheligi, M.</t>
        </is>
      </c>
      <c r="D127" s="6" t="n">
        <v>2025</v>
      </c>
      <c r="E127" s="3" t="inlineStr">
        <is>
          <t>Acceptance of Automated Vehicles in Logistics and Beyond: A Survey-Based Investigation</t>
        </is>
      </c>
      <c r="F127" s="3" t="n"/>
      <c r="G127" s="5" t="inlineStr">
        <is>
          <t>Conference paper</t>
        </is>
      </c>
      <c r="H127" s="5" t="inlineStr">
        <is>
          <t>10.1007/978-3-031-84148-4_2</t>
        </is>
      </c>
      <c r="I127" s="5" t="n"/>
      <c r="J127" s="3" t="n"/>
    </row>
    <row r="128" ht="42.75" customHeight="1" s="18">
      <c r="A128" s="5" t="inlineStr">
        <is>
          <t>S2-0122</t>
        </is>
      </c>
      <c r="B128" s="5" t="inlineStr">
        <is>
          <t>A</t>
        </is>
      </c>
      <c r="C128" s="3" t="inlineStr">
        <is>
          <t>Schmargendorf, M.; Schuller, H.-M.; Böhm, P.; Isemann, D.; Wolff, C.</t>
        </is>
      </c>
      <c r="D128" s="6" t="n">
        <v>2018</v>
      </c>
      <c r="E128" s="3" t="inlineStr">
        <is>
          <t>Autonomous Driving and the Elderly: Perceived Risks and Benefits</t>
        </is>
      </c>
      <c r="F128" s="3" t="n"/>
      <c r="G128" s="5" t="inlineStr">
        <is>
          <t>Conference paper</t>
        </is>
      </c>
      <c r="H128" s="5" t="inlineStr">
        <is>
          <t>10.18420/muc2018-ws11-0524</t>
        </is>
      </c>
      <c r="I128" s="5" t="n"/>
      <c r="J128" s="3" t="n"/>
    </row>
    <row r="129" ht="28.5" customHeight="1" s="18">
      <c r="A129" s="5" t="inlineStr">
        <is>
          <t>S2-0123</t>
        </is>
      </c>
      <c r="B129" s="5" t="inlineStr">
        <is>
          <t>A</t>
        </is>
      </c>
      <c r="C129" s="3" t="inlineStr">
        <is>
          <t>Brell, T.; Philipsen, R.; Ziefle, M.</t>
        </is>
      </c>
      <c r="D129" s="6" t="n">
        <v>2018</v>
      </c>
      <c r="E129" s="3" t="inlineStr">
        <is>
          <t>Privacy Pirates - The Key Role of User Diversity in V2X-Technology</t>
        </is>
      </c>
      <c r="F129" s="3" t="n"/>
      <c r="G129" s="5" t="inlineStr">
        <is>
          <t>Conference paper</t>
        </is>
      </c>
      <c r="H129" s="5" t="inlineStr">
        <is>
          <t>10.1007/978-3-319-91397-1_22</t>
        </is>
      </c>
      <c r="I129" s="5" t="n"/>
      <c r="J129" s="3" t="n"/>
    </row>
    <row r="130" ht="57" customHeight="1" s="18">
      <c r="A130" s="5" t="inlineStr">
        <is>
          <t>S2-0124</t>
        </is>
      </c>
      <c r="B130" s="5" t="inlineStr">
        <is>
          <t>A</t>
        </is>
      </c>
      <c r="C130" s="3" t="inlineStr">
        <is>
          <t>Krontiris, I.; Grammenou, K.; Terzidou, K.; Zacharopoulou, M.; Tsikintikou, M.; Baladima, F.; Sakellari, C.; Kaouras, K.</t>
        </is>
      </c>
      <c r="D130" s="6" t="n">
        <v>2020</v>
      </c>
      <c r="E130" s="3" t="inlineStr">
        <is>
          <t>Autonomous Vehicles: Data Protection and Ethical Considerations</t>
        </is>
      </c>
      <c r="F130" s="3" t="n"/>
      <c r="G130" s="5" t="inlineStr">
        <is>
          <t>Conference paper</t>
        </is>
      </c>
      <c r="H130" s="5" t="inlineStr">
        <is>
          <t>10.1145/3385958.3430481</t>
        </is>
      </c>
      <c r="I130" s="5" t="n"/>
      <c r="J130" s="3" t="n"/>
    </row>
    <row r="131">
      <c r="A131" s="5" t="inlineStr">
        <is>
          <t>S2-0125</t>
        </is>
      </c>
      <c r="B131" s="5" t="inlineStr">
        <is>
          <t>A</t>
        </is>
      </c>
      <c r="C131" s="3" t="inlineStr">
        <is>
          <t>Roche-Cerasi, I.</t>
        </is>
      </c>
      <c r="D131" s="6" t="n">
        <v>2019</v>
      </c>
      <c r="E131" s="3" t="inlineStr">
        <is>
          <t>Public acceptance of driverless shuttles in Norway</t>
        </is>
      </c>
      <c r="F131" s="3" t="n"/>
      <c r="G131" s="5" t="inlineStr">
        <is>
          <t>Journal article</t>
        </is>
      </c>
      <c r="H131" s="5" t="inlineStr">
        <is>
          <t>10.1016/j.trf.2019.09.002</t>
        </is>
      </c>
      <c r="I131" s="5" t="n"/>
      <c r="J131" s="3" t="n"/>
    </row>
    <row r="132" ht="57" customHeight="1" s="18">
      <c r="A132" s="5" t="inlineStr">
        <is>
          <t>S2-0126</t>
        </is>
      </c>
      <c r="B132" s="5" t="inlineStr">
        <is>
          <t>A</t>
        </is>
      </c>
      <c r="C132" s="3" t="inlineStr">
        <is>
          <t>Ho, J.S.; Tan, B.C.; Lau, T.C.; Khan, N.; Pang, S.M.</t>
        </is>
      </c>
      <c r="D132" s="6" t="n">
        <v>2025</v>
      </c>
      <c r="E132" s="3" t="inlineStr">
        <is>
          <t>Elderly Acceptance of Autonomous Vehicles in Malaysia: An Extended Technology Acceptance Model with Multidimensional Trust and Perceived Risk</t>
        </is>
      </c>
      <c r="F132" s="3" t="n"/>
      <c r="G132" s="5" t="inlineStr">
        <is>
          <t>Journal article</t>
        </is>
      </c>
      <c r="H132" s="5" t="inlineStr">
        <is>
          <t>10.62527/joiv.9.2.3363</t>
        </is>
      </c>
      <c r="I132" s="5" t="n"/>
      <c r="J132" s="3" t="n"/>
    </row>
    <row r="133" ht="28.5" customHeight="1" s="18">
      <c r="A133" s="5" t="inlineStr">
        <is>
          <t>S2-0127</t>
        </is>
      </c>
      <c r="B133" s="5" t="inlineStr">
        <is>
          <t>A</t>
        </is>
      </c>
      <c r="C133" s="3" t="inlineStr">
        <is>
          <t>Jászberényi, M.; Miskolczi, M.; Munkácsy, A.; Földes, D.</t>
        </is>
      </c>
      <c r="D133" s="6" t="n">
        <v>2022</v>
      </c>
      <c r="E133" s="3" t="inlineStr">
        <is>
          <t>What drives tourists to adopt self-driving cars?</t>
        </is>
      </c>
      <c r="F133" s="3" t="n"/>
      <c r="G133" s="5" t="inlineStr">
        <is>
          <t>Journal article</t>
        </is>
      </c>
      <c r="H133" s="5" t="inlineStr">
        <is>
          <t>10.1016/j.trf.2022.07.013</t>
        </is>
      </c>
      <c r="I133" s="5" t="n"/>
      <c r="J133" s="3" t="n"/>
    </row>
    <row r="134" ht="42.75" customHeight="1" s="18">
      <c r="A134" s="5" t="inlineStr">
        <is>
          <t>S2-0128</t>
        </is>
      </c>
      <c r="B134" s="5" t="inlineStr">
        <is>
          <t>A</t>
        </is>
      </c>
      <c r="C134" s="3" t="inlineStr">
        <is>
          <t>Cheng, Y.-H.; Fu, C.; Huang, C.-C.; Lai, Y.-C.</t>
        </is>
      </c>
      <c r="D134" s="6" t="n">
        <v>2025</v>
      </c>
      <c r="E134" s="3" t="inlineStr">
        <is>
          <t>Exploring the impact of the pandemic on the autonomous bus connecting service preferences with latent segmentation approach</t>
        </is>
      </c>
      <c r="F134" s="3" t="n"/>
      <c r="G134" s="5" t="inlineStr">
        <is>
          <t>Journal article</t>
        </is>
      </c>
      <c r="H134" s="5" t="inlineStr">
        <is>
          <t>10.1016/j.cstp.2025.101638</t>
        </is>
      </c>
      <c r="I134" s="5" t="n"/>
      <c r="J134" s="3" t="n"/>
    </row>
    <row r="135" ht="42.75" customHeight="1" s="18">
      <c r="A135" s="5" t="inlineStr">
        <is>
          <t>S2-0129</t>
        </is>
      </c>
      <c r="B135" s="5" t="inlineStr">
        <is>
          <t>A</t>
        </is>
      </c>
      <c r="C135" s="3" t="inlineStr">
        <is>
          <t>Swain, R.; Truelove, V.; Rakotonirainy, A.; Kaye, S.-A.</t>
        </is>
      </c>
      <c r="D135" s="6" t="n">
        <v>2023</v>
      </c>
      <c r="E135" s="3" t="inlineStr">
        <is>
          <t>A comparison of the views of experts and the public on automated vehicles technologies and societal implications</t>
        </is>
      </c>
      <c r="F135" s="3" t="n"/>
      <c r="G135" s="5" t="inlineStr">
        <is>
          <t>Journal article</t>
        </is>
      </c>
      <c r="H135" s="5" t="inlineStr">
        <is>
          <t>10.1016/j.techsoc.2023.102288</t>
        </is>
      </c>
      <c r="I135" s="5" t="n"/>
      <c r="J135" s="3" t="n"/>
    </row>
    <row r="136" ht="42.75" customHeight="1" s="18">
      <c r="A136" s="5" t="inlineStr">
        <is>
          <t>S2-0130</t>
        </is>
      </c>
      <c r="B136" s="5" t="inlineStr">
        <is>
          <t>A</t>
        </is>
      </c>
      <c r="C136" s="3" t="inlineStr">
        <is>
          <t>Brill, S.; Kumar Debnath, A.; Payre, W.; Horan, B.; Birrell, S.</t>
        </is>
      </c>
      <c r="D136" s="6" t="n">
        <v>2024</v>
      </c>
      <c r="E136" s="3" t="inlineStr">
        <is>
          <t>Factors influencing the perception of safety for pedestrians and cyclists through interactions with automated vehicles in shared spaces</t>
        </is>
      </c>
      <c r="F136" s="3" t="n"/>
      <c r="G136" s="5" t="inlineStr">
        <is>
          <t>Journal article</t>
        </is>
      </c>
      <c r="H136" s="5" t="inlineStr">
        <is>
          <t>10.1016/j.trf.2024.08.032</t>
        </is>
      </c>
      <c r="I136" s="5" t="n"/>
      <c r="J136" s="3" t="n"/>
    </row>
    <row r="137" ht="28.5" customHeight="1" s="18">
      <c r="A137" s="5" t="inlineStr">
        <is>
          <t>S2-0131</t>
        </is>
      </c>
      <c r="B137" s="5" t="inlineStr">
        <is>
          <t>A</t>
        </is>
      </c>
      <c r="C137" s="3" t="inlineStr">
        <is>
          <t>Walker, W.E.; Marchau, V.A.W.J.</t>
        </is>
      </c>
      <c r="D137" s="6" t="n">
        <v>2017</v>
      </c>
      <c r="E137" s="3" t="inlineStr">
        <is>
          <t>Dynamic adaptive policymaking for the sustainable city: The case of automated taxis</t>
        </is>
      </c>
      <c r="F137" s="3" t="n"/>
      <c r="G137" s="5" t="inlineStr">
        <is>
          <t>Journal article</t>
        </is>
      </c>
      <c r="H137" s="5" t="inlineStr">
        <is>
          <t>10.1016/j.ijtst.2017.03.004</t>
        </is>
      </c>
      <c r="I137" s="5" t="n"/>
      <c r="J137" s="3" t="n"/>
    </row>
    <row r="138">
      <c r="A138" s="5" t="inlineStr">
        <is>
          <t>S2-0132</t>
        </is>
      </c>
      <c r="B138" s="5" t="inlineStr">
        <is>
          <t>A</t>
        </is>
      </c>
      <c r="C138" s="3" t="inlineStr">
        <is>
          <t>King, W.; Halawi, L.</t>
        </is>
      </c>
      <c r="D138" s="6" t="n">
        <v>2023</v>
      </c>
      <c r="E138" s="3" t="inlineStr">
        <is>
          <t>Autonomous Vehicle Cybersecurity: A Pre-test</t>
        </is>
      </c>
      <c r="F138" s="3" t="n"/>
      <c r="G138" s="5" t="inlineStr">
        <is>
          <t>Conference paper</t>
        </is>
      </c>
      <c r="H138" s="5" t="inlineStr">
        <is>
          <t>10.1007/978-3-031-47448-4_34</t>
        </is>
      </c>
      <c r="I138" s="5" t="n"/>
      <c r="J138" s="3" t="n"/>
    </row>
    <row r="139" ht="42.75" customHeight="1" s="18">
      <c r="A139" s="5" t="inlineStr">
        <is>
          <t>S2-0133</t>
        </is>
      </c>
      <c r="B139" s="5" t="inlineStr">
        <is>
          <t>A</t>
        </is>
      </c>
      <c r="C139" s="3" t="inlineStr">
        <is>
          <t>Khalid Khan, S.; Shiwakoti, N.; Stasinopoulos, P.; Chen, Y.; Warren, M.</t>
        </is>
      </c>
      <c r="D139" s="6" t="n">
        <v>2024</v>
      </c>
      <c r="E139" s="3" t="inlineStr">
        <is>
          <t>Exploratory factor analysis for cybersecurity regulation and consumer data in autonomous vehicle acceptance: Insights from four OECD countries</t>
        </is>
      </c>
      <c r="F139" s="3" t="n"/>
      <c r="G139" s="5" t="inlineStr">
        <is>
          <t>Journal article</t>
        </is>
      </c>
      <c r="H139" s="5" t="inlineStr">
        <is>
          <t>10.1016/j.trip.2024.101084</t>
        </is>
      </c>
      <c r="I139" s="5" t="n"/>
      <c r="J139" s="3" t="n"/>
    </row>
    <row r="140" ht="28.5" customHeight="1" s="18">
      <c r="A140" s="5" t="inlineStr">
        <is>
          <t>S2-0134</t>
        </is>
      </c>
      <c r="B140" s="5" t="inlineStr">
        <is>
          <t>A</t>
        </is>
      </c>
      <c r="C140" s="3" t="inlineStr">
        <is>
          <t>Himmetoglu, S.; Zengin, E.N.; Özkök, O.; Kara, B.S.</t>
        </is>
      </c>
      <c r="D140" s="6" t="n">
        <v>2022</v>
      </c>
      <c r="E140" s="3" t="inlineStr">
        <is>
          <t>Acceptance of Autonomous Vehicles in Turkey</t>
        </is>
      </c>
      <c r="F140" s="3" t="n"/>
      <c r="G140" s="5" t="inlineStr">
        <is>
          <t>Conference paper</t>
        </is>
      </c>
      <c r="H140" s="5" t="n"/>
      <c r="I140" s="5" t="n"/>
      <c r="J140" s="3" t="n"/>
    </row>
    <row r="141" ht="42.75" customHeight="1" s="18">
      <c r="A141" s="5" t="inlineStr">
        <is>
          <t>S2-0135</t>
        </is>
      </c>
      <c r="B141" s="5" t="inlineStr">
        <is>
          <t>A</t>
        </is>
      </c>
      <c r="C141" s="3" t="inlineStr">
        <is>
          <t>Chen, Y.; Khalid Khan, S.; Shiwakoti, N.; Stasinopoulos, P.; Aghabayk, K.</t>
        </is>
      </c>
      <c r="D141" s="6" t="n">
        <v>2023</v>
      </c>
      <c r="E141" s="3" t="inlineStr">
        <is>
          <t>Analysis of Australian public acceptance of fully automated vehicles by extending technology acceptance model</t>
        </is>
      </c>
      <c r="F141" s="3" t="n"/>
      <c r="G141" s="5" t="inlineStr">
        <is>
          <t>Journal article</t>
        </is>
      </c>
      <c r="H141" s="5" t="inlineStr">
        <is>
          <t>10.1016/j.cstp.2023.101072</t>
        </is>
      </c>
      <c r="I141" s="5" t="n"/>
      <c r="J141" s="3" t="n"/>
    </row>
    <row r="142" ht="42.75" customHeight="1" s="18">
      <c r="A142" s="5" t="inlineStr">
        <is>
          <t>S2-0136</t>
        </is>
      </c>
      <c r="B142" s="5" t="inlineStr">
        <is>
          <t>A</t>
        </is>
      </c>
      <c r="C142" s="3" t="inlineStr">
        <is>
          <t>Zekun, C.; Aiping, X.</t>
        </is>
      </c>
      <c r="D142" s="6" t="n">
        <v>2023</v>
      </c>
      <c r="E142" s="3" t="inlineStr">
        <is>
          <t>Understand Users' Privacy Perception and Decision of V2X Communication in Connected Autonomous Vehicles</t>
        </is>
      </c>
      <c r="F142" s="3" t="n"/>
      <c r="G142" s="5" t="inlineStr">
        <is>
          <t>Conference paper</t>
        </is>
      </c>
      <c r="H142" s="5" t="n"/>
      <c r="I142" s="5" t="n"/>
      <c r="J142" s="3" t="n"/>
    </row>
    <row r="143" ht="28.5" customHeight="1" s="18">
      <c r="A143" s="5" t="inlineStr">
        <is>
          <t>S2-0137</t>
        </is>
      </c>
      <c r="B143" s="5" t="inlineStr">
        <is>
          <t>A</t>
        </is>
      </c>
      <c r="C143" s="3" t="inlineStr">
        <is>
          <t>Zhang, J.; Ma, Y.; Xing, G.; Zhang, Z.; Kang, K.; Gao, L.</t>
        </is>
      </c>
      <c r="D143" s="6" t="n">
        <v>2025</v>
      </c>
      <c r="E143" s="3" t="inlineStr">
        <is>
          <t>The Impact of Human-Machine Interaction Transparency on Driver Trust in Autonomous Driving</t>
        </is>
      </c>
      <c r="F143" s="3" t="n"/>
      <c r="G143" s="5" t="inlineStr">
        <is>
          <t>Conference paper</t>
        </is>
      </c>
      <c r="H143" s="5" t="inlineStr">
        <is>
          <t>10.1109/itsc60802.2025.11423100</t>
        </is>
      </c>
      <c r="I143" s="5" t="n"/>
      <c r="J143" s="3" t="n"/>
    </row>
    <row r="144" ht="42.75" customHeight="1" s="18">
      <c r="A144" s="5" t="inlineStr">
        <is>
          <t>S2-0138</t>
        </is>
      </c>
      <c r="B144" s="5" t="inlineStr">
        <is>
          <t>A</t>
        </is>
      </c>
      <c r="C144" s="3" t="inlineStr">
        <is>
          <t>Zhou, Y.; Guo, H.; Tang, L.; Deng, Y.; Shi, H.</t>
        </is>
      </c>
      <c r="D144" s="6" t="n">
        <v>2024</v>
      </c>
      <c r="E144" s="3" t="inlineStr">
        <is>
          <t>Willingness to utilize autonomous vehicles following accidents: A fresh perspective from mixed-methods research</t>
        </is>
      </c>
      <c r="F144" s="3" t="n"/>
      <c r="G144" s="5" t="inlineStr">
        <is>
          <t>Journal article</t>
        </is>
      </c>
      <c r="H144" s="5" t="inlineStr">
        <is>
          <t>10.1016/j.trf.2024.09.022</t>
        </is>
      </c>
      <c r="I144" s="5" t="n"/>
      <c r="J144" s="3" t="n"/>
    </row>
    <row r="145" ht="28.5" customHeight="1" s="18">
      <c r="A145" s="5" t="inlineStr">
        <is>
          <t>S2-0139</t>
        </is>
      </c>
      <c r="B145" s="5" t="inlineStr">
        <is>
          <t>A</t>
        </is>
      </c>
      <c r="C145" s="3" t="inlineStr">
        <is>
          <t>Jiang, Z.; Zheng, M.; Mondschein, A.</t>
        </is>
      </c>
      <c r="D145" s="6" t="n">
        <v>2022</v>
      </c>
      <c r="E145" s="3" t="inlineStr">
        <is>
          <t>Acceptance of driverless shuttles in pilot and non-pilot cities</t>
        </is>
      </c>
      <c r="F145" s="3" t="n"/>
      <c r="G145" s="5" t="inlineStr">
        <is>
          <t>Journal article</t>
        </is>
      </c>
      <c r="H145" s="5" t="inlineStr">
        <is>
          <t>10.1016/j.jpubtr.2022.100018</t>
        </is>
      </c>
      <c r="I145" s="5" t="n"/>
      <c r="J145" s="3" t="n"/>
    </row>
    <row r="146" ht="28.5" customHeight="1" s="18">
      <c r="A146" s="5" t="inlineStr">
        <is>
          <t>S2-0140</t>
        </is>
      </c>
      <c r="B146" s="5" t="inlineStr">
        <is>
          <t>A</t>
        </is>
      </c>
      <c r="C146" s="3" t="inlineStr">
        <is>
          <t>Biermann, H.; Philipsen, R.; Brell, T.; Ziefle, M.</t>
        </is>
      </c>
      <c r="D146" s="6" t="n">
        <v>2020</v>
      </c>
      <c r="E146" s="3" t="inlineStr">
        <is>
          <t>Shut Up and Drive? User Requirements for Communication Services in Autonomous Driving</t>
        </is>
      </c>
      <c r="F146" s="3" t="n"/>
      <c r="G146" s="5" t="inlineStr">
        <is>
          <t>Conference paper</t>
        </is>
      </c>
      <c r="H146" s="5" t="inlineStr">
        <is>
          <t>10.1007/978-3-030-50523-3_1</t>
        </is>
      </c>
      <c r="I146" s="5" t="n"/>
      <c r="J146" s="3" t="n"/>
    </row>
    <row r="147" ht="42.75" customHeight="1" s="18">
      <c r="A147" s="5" t="inlineStr">
        <is>
          <t>S2-0141</t>
        </is>
      </c>
      <c r="B147" s="5" t="inlineStr">
        <is>
          <t>A</t>
        </is>
      </c>
      <c r="C147" s="3" t="inlineStr">
        <is>
          <t>Wu, L.; Mvondo, G.F.N.</t>
        </is>
      </c>
      <c r="D147" s="6" t="n">
        <v>2025</v>
      </c>
      <c r="E147" s="3" t="inlineStr">
        <is>
          <t>From sci-fi to reality: exploring user satisfaction and loyalty toward autonomous vehicle services through an extended expectation-confirmation model</t>
        </is>
      </c>
      <c r="F147" s="3" t="n"/>
      <c r="G147" s="5" t="inlineStr">
        <is>
          <t>Journal article</t>
        </is>
      </c>
      <c r="H147" s="5" t="inlineStr">
        <is>
          <t>10.1016/j.trf.2025.05.003</t>
        </is>
      </c>
      <c r="I147" s="5" t="n"/>
      <c r="J147" s="3" t="n"/>
    </row>
    <row r="148" ht="85.5" customHeight="1" s="18">
      <c r="A148" s="5" t="inlineStr">
        <is>
          <t>S2-0142</t>
        </is>
      </c>
      <c r="B148" s="5" t="inlineStr">
        <is>
          <t>A</t>
        </is>
      </c>
      <c r="C148" s="3" t="inlineStr">
        <is>
          <t>Duboz, A.; Mourtzouchou, A.; Grosso, M.; Kolarova, V.; Cordera, R.; Nägele, S.; Alonso Raposo, M.; Krause, J.; Garus, A.; Eisenmann, C.; dell'Olio, L.; Alonso, B.; Ciuffo, B.</t>
        </is>
      </c>
      <c r="D148" s="6" t="n">
        <v>2022</v>
      </c>
      <c r="E148" s="3" t="inlineStr">
        <is>
          <t>Exploring the acceptance of connected and automated vehicles: Focus group discussions with experts and non-experts in transport</t>
        </is>
      </c>
      <c r="F148" s="3" t="n"/>
      <c r="G148" s="5" t="inlineStr">
        <is>
          <t>Journal article</t>
        </is>
      </c>
      <c r="H148" s="5" t="inlineStr">
        <is>
          <t>10.1016/j.trf.2022.06.013</t>
        </is>
      </c>
      <c r="I148" s="5" t="n"/>
      <c r="J148" s="3" t="n"/>
    </row>
    <row r="149" ht="42.75" customHeight="1" s="18">
      <c r="A149" s="5" t="inlineStr">
        <is>
          <t>S2-0143</t>
        </is>
      </c>
      <c r="B149" s="5" t="inlineStr">
        <is>
          <t>A</t>
        </is>
      </c>
      <c r="C149" s="3" t="inlineStr">
        <is>
          <t>Awad, E.; Dsouza, S.; Kim, R.; Schulz, J.; Henrich, J.; Shariff, A.; Bonnefon, J.-F.; Rahwan, I.</t>
        </is>
      </c>
      <c r="D149" s="6" t="n">
        <v>2018</v>
      </c>
      <c r="E149" s="3" t="inlineStr">
        <is>
          <t>The Moral Machine experiment</t>
        </is>
      </c>
      <c r="F149" s="3" t="n"/>
      <c r="G149" s="5" t="inlineStr">
        <is>
          <t>Journal article</t>
        </is>
      </c>
      <c r="H149" s="5" t="inlineStr">
        <is>
          <t>10.1038/s41586-018-0637-6</t>
        </is>
      </c>
      <c r="I149" s="5" t="n"/>
      <c r="J149" s="3" t="n"/>
    </row>
    <row r="150" ht="42.75" customHeight="1" s="18">
      <c r="A150" s="5" t="inlineStr">
        <is>
          <t>S2-0144</t>
        </is>
      </c>
      <c r="B150" s="5" t="inlineStr">
        <is>
          <t>A</t>
        </is>
      </c>
      <c r="C150" s="3" t="inlineStr">
        <is>
          <t>Bruno, G.; Marson, A.; Nenna, F.; Diaz-Piedra, C.; Spoto, A.</t>
        </is>
      </c>
      <c r="D150" s="6" t="n">
        <v>2025</v>
      </c>
      <c r="E150" s="3" t="inlineStr">
        <is>
          <t>Attitudes Toward the Use of Conditional Automated Vehicles in the Technology Acceptance Model Framework: Evidence from an Italian Sample</t>
        </is>
      </c>
      <c r="F150" s="3" t="n"/>
      <c r="G150" s="5" t="inlineStr">
        <is>
          <t>Journal article</t>
        </is>
      </c>
      <c r="H150" s="5" t="inlineStr">
        <is>
          <t>10.1089/cyber.2024.0517</t>
        </is>
      </c>
      <c r="I150" s="5" t="n"/>
      <c r="J150" s="3" t="n"/>
    </row>
    <row r="151" ht="28.5" customHeight="1" s="18">
      <c r="A151" s="5" t="inlineStr">
        <is>
          <t>S2-0145</t>
        </is>
      </c>
      <c r="B151" s="5" t="inlineStr">
        <is>
          <t>A</t>
        </is>
      </c>
      <c r="C151" s="3" t="inlineStr">
        <is>
          <t>Yang, Y.; Song, Z.</t>
        </is>
      </c>
      <c r="D151" s="6" t="n">
        <v>2025</v>
      </c>
      <c r="E151" s="3" t="inlineStr">
        <is>
          <t>The public perception and adaptability of laws and regulations of autonomous driving vehicles</t>
        </is>
      </c>
      <c r="F151" s="3" t="n"/>
      <c r="G151" s="5" t="inlineStr">
        <is>
          <t>Journal article</t>
        </is>
      </c>
      <c r="H151" s="5" t="inlineStr">
        <is>
          <t>10.1057/s41599-025-05600-6</t>
        </is>
      </c>
      <c r="I151" s="5" t="n"/>
      <c r="J151" s="3" t="n"/>
    </row>
    <row r="152" ht="42.75" customHeight="1" s="18">
      <c r="A152" s="5" t="inlineStr">
        <is>
          <t>S2-0146</t>
        </is>
      </c>
      <c r="B152" s="5" t="inlineStr">
        <is>
          <t>A</t>
        </is>
      </c>
      <c r="C152" s="3" t="inlineStr">
        <is>
          <t>Derakhshan, S.; Nosrat Nezami, F.; Wächter, M.A.; Stephan, A.; Pipa, G.; König, P.</t>
        </is>
      </c>
      <c r="D152" s="6" t="n">
        <v>2025</v>
      </c>
      <c r="E152" s="3" t="inlineStr">
        <is>
          <t>A Situated Inspection of Autonomous Vehicle Acceptance–A Population Study in Virtual Reality</t>
        </is>
      </c>
      <c r="F152" s="3" t="n"/>
      <c r="G152" s="5" t="inlineStr">
        <is>
          <t>Journal article</t>
        </is>
      </c>
      <c r="H152" s="5" t="inlineStr">
        <is>
          <t>10.1080/10447318.2024.2358577</t>
        </is>
      </c>
      <c r="I152" s="5" t="n"/>
      <c r="J152" s="3" t="n"/>
    </row>
    <row r="153" ht="42.75" customHeight="1" s="18">
      <c r="A153" s="5" t="inlineStr">
        <is>
          <t>S2-0147</t>
        </is>
      </c>
      <c r="B153" s="5" t="inlineStr">
        <is>
          <t>A</t>
        </is>
      </c>
      <c r="C153" s="3" t="inlineStr">
        <is>
          <t>Man, S.S.; Ding, M.; Li, X.; Chan, A.H.S.; Zhang, T.</t>
        </is>
      </c>
      <c r="D153" s="6" t="n">
        <v>2025</v>
      </c>
      <c r="E153" s="3" t="inlineStr">
        <is>
          <t>Acceptance of Highly Automated Vehicles: The Role of Facilitating Condition, Technology Anxiety, Social Influence and Trust</t>
        </is>
      </c>
      <c r="F153" s="3" t="n"/>
      <c r="G153" s="5" t="inlineStr">
        <is>
          <t>Journal article</t>
        </is>
      </c>
      <c r="H153" s="5" t="inlineStr">
        <is>
          <t>10.1080/10447318.2024.2316389</t>
        </is>
      </c>
      <c r="I153" s="5" t="n"/>
      <c r="J153" s="3" t="n"/>
    </row>
    <row r="154" ht="28.5" customHeight="1" s="18">
      <c r="A154" s="5" t="inlineStr">
        <is>
          <t>S2-0148</t>
        </is>
      </c>
      <c r="B154" s="5" t="inlineStr">
        <is>
          <t>A</t>
        </is>
      </c>
      <c r="C154" s="3" t="inlineStr">
        <is>
          <t>Soltani, A.; Ananda, D.; Rith, M.</t>
        </is>
      </c>
      <c r="D154" s="6" t="n">
        <v>2021</v>
      </c>
      <c r="E154" s="3" t="inlineStr">
        <is>
          <t>University students’ perspectives on autonomous vehicle adoption: Adelaide case study</t>
        </is>
      </c>
      <c r="F154" s="3" t="n"/>
      <c r="G154" s="5" t="inlineStr">
        <is>
          <t>Journal article</t>
        </is>
      </c>
      <c r="H154" s="5" t="inlineStr">
        <is>
          <t>10.1016/j.cstp.2021.11.004</t>
        </is>
      </c>
      <c r="I154" s="5" t="n"/>
      <c r="J154" s="3" t="n"/>
    </row>
    <row r="155" ht="85.5" customHeight="1" s="18">
      <c r="A155" s="5" t="inlineStr">
        <is>
          <t>S2-0149</t>
        </is>
      </c>
      <c r="B155" s="5" t="inlineStr">
        <is>
          <t>A</t>
        </is>
      </c>
      <c r="C155" s="3" t="inlineStr">
        <is>
          <t>Peng, C.; Carlowitz, S.; Madigan, R.; Marberger, C.; Lee, J.D.; Krems, J.; Beggiato, M.; Romano, R.; Wei, C.; Wooldridge, E.; Happee, R.; Hagenzieker, M.; Merat, N.</t>
        </is>
      </c>
      <c r="D155" s="6" t="n">
        <v>2024</v>
      </c>
      <c r="E155" s="3" t="inlineStr">
        <is>
          <t>Conceptualising user comfort in automated driving: Findings from an expert group workshop</t>
        </is>
      </c>
      <c r="F155" s="3" t="n"/>
      <c r="G155" s="5" t="inlineStr">
        <is>
          <t>Conference paper</t>
        </is>
      </c>
      <c r="H155" s="5" t="inlineStr">
        <is>
          <t>10.1016/j.trip.2024.101070</t>
        </is>
      </c>
      <c r="I155" s="5" t="n"/>
      <c r="J155" s="3" t="n"/>
    </row>
    <row r="156" ht="42.75" customHeight="1" s="18">
      <c r="A156" s="5" t="inlineStr">
        <is>
          <t>S2-0150</t>
        </is>
      </c>
      <c r="B156" s="5" t="inlineStr">
        <is>
          <t>A</t>
        </is>
      </c>
      <c r="C156" s="3" t="inlineStr">
        <is>
          <t>Rahman, M.M.; Deb, S.; Strawderman, L.; Burch, R.; Smith, B.</t>
        </is>
      </c>
      <c r="D156" s="6" t="n">
        <v>2019</v>
      </c>
      <c r="E156" s="3" t="inlineStr">
        <is>
          <t>How the older population perceives self-driving vehicles</t>
        </is>
      </c>
      <c r="F156" s="3" t="n"/>
      <c r="G156" s="5" t="inlineStr">
        <is>
          <t>Journal article</t>
        </is>
      </c>
      <c r="H156" s="5" t="inlineStr">
        <is>
          <t>10.1016/j.trf.2019.08.002</t>
        </is>
      </c>
      <c r="I156" s="5" t="n"/>
      <c r="J156" s="3" t="n"/>
    </row>
    <row r="157" ht="42.75" customHeight="1" s="18">
      <c r="A157" s="5" t="inlineStr">
        <is>
          <t>S2-0151</t>
        </is>
      </c>
      <c r="B157" s="5" t="inlineStr">
        <is>
          <t>A</t>
        </is>
      </c>
      <c r="C157" s="3" t="inlineStr">
        <is>
          <t>Ehsani, J.P.; Michael, J.P.; Igusa, T.; Mueller, J.; Chang, C.-H.; Yenokyan, G.</t>
        </is>
      </c>
      <c r="D157" s="6" t="n">
        <v>2024</v>
      </c>
      <c r="E157" s="3" t="inlineStr">
        <is>
          <t>Advancing Transportation Equity and Safety Through Autonomous Vehicles</t>
        </is>
      </c>
      <c r="F157" s="3" t="n"/>
      <c r="G157" s="5" t="inlineStr">
        <is>
          <t>Journal article</t>
        </is>
      </c>
      <c r="H157" s="5" t="inlineStr">
        <is>
          <t>10.1089/heq.2023.0107</t>
        </is>
      </c>
      <c r="I157" s="5" t="n"/>
      <c r="J157" s="3" t="n"/>
    </row>
    <row r="158" ht="28.5" customHeight="1" s="18">
      <c r="A158" s="5" t="inlineStr">
        <is>
          <t>S2-0152</t>
        </is>
      </c>
      <c r="B158" s="5" t="inlineStr">
        <is>
          <t>A</t>
        </is>
      </c>
      <c r="C158" s="3" t="inlineStr">
        <is>
          <t>Molyneaux, H.; Kondratova, I.; Stobert, E.</t>
        </is>
      </c>
      <c r="D158" s="6" t="n">
        <v>2019</v>
      </c>
      <c r="E158" s="3" t="inlineStr">
        <is>
          <t>Understanding Perceptions: User Responses to Browser Warning Messages</t>
        </is>
      </c>
      <c r="F158" s="3" t="n"/>
      <c r="G158" s="5" t="inlineStr">
        <is>
          <t>Conference paper</t>
        </is>
      </c>
      <c r="H158" s="5" t="inlineStr">
        <is>
          <t>10.1007/978-3-030-22351-9_11</t>
        </is>
      </c>
      <c r="I158" s="5" t="n"/>
      <c r="J158" s="3" t="n"/>
    </row>
    <row r="159" ht="42.75" customHeight="1" s="18">
      <c r="A159" s="5" t="inlineStr">
        <is>
          <t>S2-0153</t>
        </is>
      </c>
      <c r="B159" s="5" t="inlineStr">
        <is>
          <t>A</t>
        </is>
      </c>
      <c r="C159" s="3" t="inlineStr">
        <is>
          <t>Al Mansoori, S.; Al-Emran, M.; Shaalan, K.</t>
        </is>
      </c>
      <c r="D159" s="6" t="n">
        <v>2024</v>
      </c>
      <c r="E159" s="3" t="inlineStr">
        <is>
          <t>Factors Affecting Autonomous Vehicles Adoption: A Systematic Review, Proposed Framework, and Future Roadmap</t>
        </is>
      </c>
      <c r="F159" s="3" t="n"/>
      <c r="G159" s="5" t="inlineStr">
        <is>
          <t>Journal article</t>
        </is>
      </c>
      <c r="H159" s="5" t="inlineStr">
        <is>
          <t>10.1080/10447318.2023.2286089</t>
        </is>
      </c>
      <c r="I159" s="5" t="n"/>
      <c r="J159" s="3" t="n"/>
    </row>
    <row r="160" ht="42.75" customHeight="1" s="18">
      <c r="A160" s="5" t="inlineStr">
        <is>
          <t>S2-0154</t>
        </is>
      </c>
      <c r="B160" s="5" t="inlineStr">
        <is>
          <t>A</t>
        </is>
      </c>
      <c r="C160" s="3" t="inlineStr">
        <is>
          <t>Liang, Y.; Qian, L.; Lu, Y.; Bektaş, T.</t>
        </is>
      </c>
      <c r="D160" s="6" t="n">
        <v>2024</v>
      </c>
      <c r="E160" s="3" t="inlineStr">
        <is>
          <t>THE ROLE OF TECHNOLOGY READINESS IN THE CONSUMERS’ ACCEPTANCE OF AUTONOMOUS DELIVERY SERVICE</t>
        </is>
      </c>
      <c r="F160" s="3" t="n"/>
      <c r="G160" s="5" t="inlineStr">
        <is>
          <t>Conference paper</t>
        </is>
      </c>
      <c r="H160" s="5" t="inlineStr">
        <is>
          <t>10.5465/amproc.2024.20bp</t>
        </is>
      </c>
      <c r="I160" s="5" t="n"/>
      <c r="J160" s="3" t="n"/>
    </row>
    <row r="161" ht="42.75" customHeight="1" s="18">
      <c r="A161" s="5" t="inlineStr">
        <is>
          <t>S2-0155</t>
        </is>
      </c>
      <c r="B161" s="5" t="inlineStr">
        <is>
          <t>A</t>
        </is>
      </c>
      <c r="C161" s="3" t="inlineStr">
        <is>
          <t>Seuwou, P.; Banissi, E.; Ubakanma, G.; Sharif, M.S.; Healey, A.</t>
        </is>
      </c>
      <c r="D161" s="6" t="n">
        <v>2016</v>
      </c>
      <c r="E161" s="3" t="inlineStr">
        <is>
          <t>Actor-network theory as a framework to analyse technology acceptance model’s external variables: The case of autonomous vehicles</t>
        </is>
      </c>
      <c r="F161" s="3" t="n"/>
      <c r="G161" s="5" t="inlineStr">
        <is>
          <t>Conference paper</t>
        </is>
      </c>
      <c r="H161" s="5" t="inlineStr">
        <is>
          <t>10.1007/978-3-319-51064-4_24</t>
        </is>
      </c>
      <c r="I161" s="5" t="n"/>
      <c r="J161" s="3" t="n"/>
    </row>
    <row r="162">
      <c r="A162" s="5" t="inlineStr">
        <is>
          <t>S2-0156</t>
        </is>
      </c>
      <c r="B162" s="5" t="inlineStr">
        <is>
          <t>A</t>
        </is>
      </c>
      <c r="C162" s="3" t="inlineStr">
        <is>
          <t>Blackett, C.</t>
        </is>
      </c>
      <c r="D162" s="6" t="n">
        <v>2022</v>
      </c>
      <c r="E162" s="3" t="inlineStr">
        <is>
          <t>The Ethics of AI in Autonomous Transport</t>
        </is>
      </c>
      <c r="F162" s="3" t="n"/>
      <c r="G162" s="5" t="inlineStr">
        <is>
          <t>Conference paper</t>
        </is>
      </c>
      <c r="H162" s="5" t="inlineStr">
        <is>
          <t>10.3850/978-981-18-5183-4_j03-05-453-cd</t>
        </is>
      </c>
      <c r="I162" s="5" t="n"/>
      <c r="J162" s="3" t="n"/>
    </row>
    <row r="163" ht="28.5" customHeight="1" s="18">
      <c r="A163" s="5" t="inlineStr">
        <is>
          <t>S2-0157</t>
        </is>
      </c>
      <c r="B163" s="5" t="inlineStr">
        <is>
          <t>A</t>
        </is>
      </c>
      <c r="C163" s="3" t="inlineStr">
        <is>
          <t>Acharya, S.; Mekker, M.</t>
        </is>
      </c>
      <c r="D163" s="6" t="n">
        <v>2022</v>
      </c>
      <c r="E163" s="3" t="inlineStr">
        <is>
          <t>Public acceptance of connected vehicles: An extension of the technology acceptance model</t>
        </is>
      </c>
      <c r="F163" s="3" t="n"/>
      <c r="G163" s="5" t="inlineStr">
        <is>
          <t>Journal article</t>
        </is>
      </c>
      <c r="H163" s="5" t="inlineStr">
        <is>
          <t>10.1016/j.trf.2022.05.002</t>
        </is>
      </c>
      <c r="I163" s="5" t="n"/>
      <c r="J163" s="3" t="n"/>
    </row>
    <row r="164" ht="28.5" customHeight="1" s="18">
      <c r="A164" s="5" t="inlineStr">
        <is>
          <t>S2-0158</t>
        </is>
      </c>
      <c r="B164" s="5" t="inlineStr">
        <is>
          <t>A</t>
        </is>
      </c>
      <c r="C164" s="3" t="inlineStr">
        <is>
          <t>Owens, J.M.; Antin, J.F.; Doerzaph, Z.; Willis, S.</t>
        </is>
      </c>
      <c r="D164" s="6" t="n">
        <v>2015</v>
      </c>
      <c r="E164" s="3" t="inlineStr">
        <is>
          <t>Cross-generational acceptance of and interest in advanced vehicle technologies: A nationwide survey</t>
        </is>
      </c>
      <c r="F164" s="3" t="n"/>
      <c r="G164" s="5" t="inlineStr">
        <is>
          <t>Journal article</t>
        </is>
      </c>
      <c r="H164" s="5" t="inlineStr">
        <is>
          <t>10.1016/j.trf.2015.10.020</t>
        </is>
      </c>
      <c r="I164" s="5" t="n"/>
      <c r="J164" s="3" t="n"/>
    </row>
    <row r="165" ht="42.75" customHeight="1" s="18">
      <c r="A165" s="5" t="inlineStr">
        <is>
          <t>S2-0159</t>
        </is>
      </c>
      <c r="B165" s="5" t="inlineStr">
        <is>
          <t>A</t>
        </is>
      </c>
      <c r="C165" s="3" t="inlineStr">
        <is>
          <t>Tham, Y.J.; Hashimoto, T.; Karasawa, K.</t>
        </is>
      </c>
      <c r="D165" s="6" t="n">
        <v>2022</v>
      </c>
      <c r="E165" s="3" t="inlineStr">
        <is>
          <t>Underlying dimensions of benefit and risk perception and their effects on people’s acceptance of conditionally/fully automated vehicles</t>
        </is>
      </c>
      <c r="F165" s="3" t="n"/>
      <c r="G165" s="5" t="inlineStr">
        <is>
          <t>Journal article</t>
        </is>
      </c>
      <c r="H165" s="5" t="inlineStr">
        <is>
          <t>10.1007/s11116-021-10225-0</t>
        </is>
      </c>
      <c r="I165" s="5" t="n"/>
      <c r="J165" s="3" t="n"/>
    </row>
    <row r="166">
      <c r="A166" s="5" t="inlineStr">
        <is>
          <t>S2-0160</t>
        </is>
      </c>
      <c r="B166" s="5" t="inlineStr">
        <is>
          <t>A</t>
        </is>
      </c>
      <c r="C166" s="3" t="inlineStr">
        <is>
          <t>Schoonmaker, J.</t>
        </is>
      </c>
      <c r="D166" s="6" t="n">
        <v>2016</v>
      </c>
      <c r="E166" s="3" t="inlineStr">
        <is>
          <t>Proactive privacy for a driverless age</t>
        </is>
      </c>
      <c r="F166" s="3" t="n"/>
      <c r="G166" s="5" t="inlineStr">
        <is>
          <t>Journal article</t>
        </is>
      </c>
      <c r="H166" s="5" t="inlineStr">
        <is>
          <t>10.1080/13600834.2016.1184456</t>
        </is>
      </c>
      <c r="I166" s="5" t="n"/>
      <c r="J166" s="3" t="n"/>
    </row>
    <row r="167" ht="42.75" customHeight="1" s="18">
      <c r="A167" s="5" t="inlineStr">
        <is>
          <t>S2-0161</t>
        </is>
      </c>
      <c r="B167" s="5" t="inlineStr">
        <is>
          <t>A</t>
        </is>
      </c>
      <c r="C167" s="3" t="inlineStr">
        <is>
          <t>Miskolczi, M.; Kökény, L.; Ásványi, K.; Jászberényi, M.; Gyulavári, T.; Syahrivar, J.</t>
        </is>
      </c>
      <c r="D167" s="6" t="n">
        <v>2021</v>
      </c>
      <c r="E167" s="3" t="inlineStr">
        <is>
          <t>IMPACTS AND POTENTIAL OF AUTONOMOUS VEHICLES IN TOURISM</t>
        </is>
      </c>
      <c r="F167" s="3" t="n"/>
      <c r="G167" s="5" t="inlineStr">
        <is>
          <t>Journal article</t>
        </is>
      </c>
      <c r="H167" s="5" t="inlineStr">
        <is>
          <t>10.32725/det.2021.012</t>
        </is>
      </c>
      <c r="I167" s="5" t="n"/>
      <c r="J167" s="3" t="n"/>
    </row>
    <row r="168" ht="42.75" customHeight="1" s="18">
      <c r="A168" s="5" t="inlineStr">
        <is>
          <t>S2-0162</t>
        </is>
      </c>
      <c r="B168" s="5" t="inlineStr">
        <is>
          <t>A</t>
        </is>
      </c>
      <c r="C168" s="3" t="inlineStr">
        <is>
          <t>Khan, D.; Fujiwara, A.; Shiftan, Y.; Chikaraishi, M.; Tenenboim, E.; Nguyen, T.A.H.</t>
        </is>
      </c>
      <c r="D168" s="6" t="n">
        <v>2022</v>
      </c>
      <c r="E168" s="3" t="inlineStr">
        <is>
          <t>Risk Perceptions and Public Acceptance of Autonomous Vehicles: A Comparative Study in Japan and Israel</t>
        </is>
      </c>
      <c r="F168" s="3" t="n"/>
      <c r="G168" s="5" t="inlineStr">
        <is>
          <t>Journal article</t>
        </is>
      </c>
      <c r="H168" s="5" t="inlineStr">
        <is>
          <t>10.3390/su141710508</t>
        </is>
      </c>
      <c r="I168" s="5" t="n"/>
      <c r="J168" s="3" t="n"/>
    </row>
    <row r="169" ht="57" customHeight="1" s="18">
      <c r="A169" s="5" t="inlineStr">
        <is>
          <t>S2-0163</t>
        </is>
      </c>
      <c r="B169" s="5" t="inlineStr">
        <is>
          <t>A</t>
        </is>
      </c>
      <c r="C169" s="3" t="inlineStr">
        <is>
          <t>Khan, S.K.; Shiwakoti, N.; Stasinopoulos, P.; Chen, Y.; Warren, M.</t>
        </is>
      </c>
      <c r="D169" s="6" t="n">
        <v>2024</v>
      </c>
      <c r="E169" s="3" t="inlineStr">
        <is>
          <t>The impact of perceived cyber-risks on automated vehicle acceptance: Insights from a survey of participants from the United States, the United Kingdom, New Zealand, and Australia</t>
        </is>
      </c>
      <c r="F169" s="3" t="n"/>
      <c r="G169" s="5" t="inlineStr">
        <is>
          <t>Journal article</t>
        </is>
      </c>
      <c r="H169" s="5" t="inlineStr">
        <is>
          <t>10.1016/j.tranpol.2024.05.002</t>
        </is>
      </c>
      <c r="I169" s="5" t="n"/>
      <c r="J169" s="3" t="n"/>
    </row>
    <row r="170" ht="42.75" customHeight="1" s="18">
      <c r="A170" s="5" t="inlineStr">
        <is>
          <t>S2-0164</t>
        </is>
      </c>
      <c r="B170" s="5" t="inlineStr">
        <is>
          <t>A</t>
        </is>
      </c>
      <c r="C170" s="3" t="inlineStr">
        <is>
          <t>Piao, J.; McDonald, M.; Hounsell, N.; Graindorge, M.; Graindorge, T.; Malhene, N.</t>
        </is>
      </c>
      <c r="D170" s="6" t="n">
        <v>2016</v>
      </c>
      <c r="E170" s="3" t="inlineStr">
        <is>
          <t>Public Views towards Implementation of Automated Vehicles in Urban Areas</t>
        </is>
      </c>
      <c r="F170" s="3" t="n"/>
      <c r="G170" s="5" t="inlineStr">
        <is>
          <t>Conference paper</t>
        </is>
      </c>
      <c r="H170" s="5" t="inlineStr">
        <is>
          <t>10.1016/j.trpro.2016.05.232</t>
        </is>
      </c>
      <c r="I170" s="5" t="n"/>
      <c r="J170" s="3" t="n"/>
    </row>
    <row r="171" ht="42.75" customHeight="1" s="18">
      <c r="A171" s="5" t="inlineStr">
        <is>
          <t>S2-0165</t>
        </is>
      </c>
      <c r="B171" s="5" t="inlineStr">
        <is>
          <t>A</t>
        </is>
      </c>
      <c r="C171" s="3" t="inlineStr">
        <is>
          <t>Bęczkowska, S.; Czerepicki, A.; Grabarek, I.; Kozłowski, M.; Zysk, Z.</t>
        </is>
      </c>
      <c r="D171" s="6" t="n">
        <v>2023</v>
      </c>
      <c r="E171" s="3" t="inlineStr">
        <is>
          <t>Autonomous Vehicles as Viewed by Future Users in Poland</t>
        </is>
      </c>
      <c r="F171" s="3" t="n"/>
      <c r="G171" s="5" t="inlineStr">
        <is>
          <t>Journal article</t>
        </is>
      </c>
      <c r="H171" s="5" t="inlineStr">
        <is>
          <t>10.3390/su152416627</t>
        </is>
      </c>
      <c r="I171" s="5" t="n"/>
      <c r="J171" s="3" t="n"/>
    </row>
    <row r="172" ht="42.75" customHeight="1" s="18">
      <c r="A172" s="5" t="inlineStr">
        <is>
          <t>S2-0166</t>
        </is>
      </c>
      <c r="B172" s="5" t="inlineStr">
        <is>
          <t>A</t>
        </is>
      </c>
      <c r="C172" s="3" t="inlineStr">
        <is>
          <t>Liao, Y.; Guo, H.; Liu, X.</t>
        </is>
      </c>
      <c r="D172" s="6" t="n">
        <v>2023</v>
      </c>
      <c r="E172" s="3" t="inlineStr">
        <is>
          <t>A Study of Young People’s Intention to Use Shared Autonomous Vehicles: A Quantitative Analysis Model Based on the Extended TPB-TAM</t>
        </is>
      </c>
      <c r="F172" s="3" t="n"/>
      <c r="G172" s="5" t="inlineStr">
        <is>
          <t>Journal article</t>
        </is>
      </c>
      <c r="H172" s="5" t="inlineStr">
        <is>
          <t>10.3390/su151511825</t>
        </is>
      </c>
      <c r="I172" s="5" t="n"/>
      <c r="J172" s="3" t="n"/>
    </row>
    <row r="173" ht="42.75" customHeight="1" s="18">
      <c r="A173" s="5" t="inlineStr">
        <is>
          <t>S2-0167</t>
        </is>
      </c>
      <c r="B173" s="5" t="inlineStr">
        <is>
          <t>A</t>
        </is>
      </c>
      <c r="C173" s="3" t="inlineStr">
        <is>
          <t>Abbasi, M.; Mamdoohi, A.R.; Ciari, F.; Sierpiński, G.</t>
        </is>
      </c>
      <c r="D173" s="6" t="n">
        <v>2024</v>
      </c>
      <c r="E173" s="3" t="inlineStr">
        <is>
          <t>An investigation of perceived risk dimensions in acceptability of shared autonomous vehicles, a mediation-moderation analysis</t>
        </is>
      </c>
      <c r="F173" s="3" t="n"/>
      <c r="G173" s="5" t="inlineStr">
        <is>
          <t>Journal article</t>
        </is>
      </c>
      <c r="H173" s="5" t="inlineStr">
        <is>
          <t>10.1038/s41598-024-74024-0</t>
        </is>
      </c>
      <c r="I173" s="5" t="n"/>
      <c r="J173" s="3" t="n"/>
    </row>
    <row r="174" ht="28.5" customHeight="1" s="18">
      <c r="A174" s="5" t="inlineStr">
        <is>
          <t>S2-0168</t>
        </is>
      </c>
      <c r="B174" s="5" t="inlineStr">
        <is>
          <t>A</t>
        </is>
      </c>
      <c r="C174" s="3" t="inlineStr">
        <is>
          <t>Nikitas, A.; Vitel, A.-E.; Cotet, C.</t>
        </is>
      </c>
      <c r="D174" s="6" t="n">
        <v>2021</v>
      </c>
      <c r="E174" s="3" t="inlineStr">
        <is>
          <t>Autonomous vehicles and employment: An urban futures revolution or catastrophe?</t>
        </is>
      </c>
      <c r="F174" s="3" t="n"/>
      <c r="G174" s="5" t="inlineStr">
        <is>
          <t>Journal article</t>
        </is>
      </c>
      <c r="H174" s="5" t="inlineStr">
        <is>
          <t>10.1016/j.cities.2021.103203</t>
        </is>
      </c>
      <c r="I174" s="5" t="n"/>
      <c r="J174" s="3" t="n"/>
    </row>
    <row r="175" ht="42.75" customHeight="1" s="18">
      <c r="A175" s="5" t="inlineStr">
        <is>
          <t>S2-0169</t>
        </is>
      </c>
      <c r="B175" s="5" t="inlineStr">
        <is>
          <t>A</t>
        </is>
      </c>
      <c r="C175" s="3" t="inlineStr">
        <is>
          <t>Shatnawi, I.; Gonzalez, J.N.; Masoud, N.</t>
        </is>
      </c>
      <c r="D175" s="6" t="n">
        <v>2025</v>
      </c>
      <c r="E175" s="3" t="inlineStr">
        <is>
          <t>Toward AV-CAV deployment in the Kingdom of Saudi Arabia: A readiness assessment based on expert feedback</t>
        </is>
      </c>
      <c r="F175" s="3" t="n"/>
      <c r="G175" s="5" t="inlineStr">
        <is>
          <t>Journal article</t>
        </is>
      </c>
      <c r="H175" s="5" t="inlineStr">
        <is>
          <t>10.1016/j.rtbm.2025.101378</t>
        </is>
      </c>
      <c r="I175" s="5" t="n"/>
      <c r="J175" s="3" t="n"/>
    </row>
    <row r="176" ht="28.5" customHeight="1" s="18">
      <c r="A176" s="5" t="inlineStr">
        <is>
          <t>S2-0170</t>
        </is>
      </c>
      <c r="B176" s="5" t="inlineStr">
        <is>
          <t>A</t>
        </is>
      </c>
      <c r="C176" s="3" t="inlineStr">
        <is>
          <t>Rykova, E.; Stieben, C.; Dostovalova, O.; Wieker, H.</t>
        </is>
      </c>
      <c r="D176" s="6" t="n">
        <v>2023</v>
      </c>
      <c r="E176" s="3" t="inlineStr">
        <is>
          <t>Connected Driving in German-Speaking Social Media</t>
        </is>
      </c>
      <c r="F176" s="3" t="n"/>
      <c r="G176" s="5" t="inlineStr">
        <is>
          <t>Journal article</t>
        </is>
      </c>
      <c r="H176" s="5" t="inlineStr">
        <is>
          <t>10.3390/socsci12010046</t>
        </is>
      </c>
      <c r="I176" s="5" t="n"/>
      <c r="J176" s="3" t="n"/>
    </row>
    <row r="177" ht="28.5" customHeight="1" s="18">
      <c r="A177" s="5" t="inlineStr">
        <is>
          <t>S2-0171</t>
        </is>
      </c>
      <c r="B177" s="5" t="inlineStr">
        <is>
          <t>A</t>
        </is>
      </c>
      <c r="C177" s="3" t="inlineStr">
        <is>
          <t>Lee, J.D.; Kolodge, K.</t>
        </is>
      </c>
      <c r="D177" s="6" t="n">
        <v>2020</v>
      </c>
      <c r="E177" s="3" t="inlineStr">
        <is>
          <t>Exploring Trust in Self-Driving Vehicles Through Text Analysis</t>
        </is>
      </c>
      <c r="F177" s="3" t="n"/>
      <c r="G177" s="5" t="inlineStr">
        <is>
          <t>Journal article</t>
        </is>
      </c>
      <c r="H177" s="5" t="inlineStr">
        <is>
          <t>10.1177/0018720819872672</t>
        </is>
      </c>
      <c r="I177" s="5" t="n"/>
      <c r="J177" s="3" t="n"/>
    </row>
    <row r="178" ht="57" customHeight="1" s="18">
      <c r="A178" s="5" t="inlineStr">
        <is>
          <t>S2-0172</t>
        </is>
      </c>
      <c r="B178" s="5" t="inlineStr">
        <is>
          <t>A</t>
        </is>
      </c>
      <c r="C178" s="3" t="inlineStr">
        <is>
          <t>Wexler, N.; Fan, Y.</t>
        </is>
      </c>
      <c r="D178" s="6" t="n">
        <v>2022</v>
      </c>
      <c r="E178" s="3" t="inlineStr">
        <is>
          <t>Gauging Public Attitudes and Preferences Toward a Hypothetical Future Public Shared Automated Vehicle System: Examining the Roles of Gender, Race, Income, and Health</t>
        </is>
      </c>
      <c r="F178" s="3" t="n"/>
      <c r="G178" s="5" t="inlineStr">
        <is>
          <t>Journal article</t>
        </is>
      </c>
      <c r="H178" s="5" t="inlineStr">
        <is>
          <t>10.1177/03611981221090512</t>
        </is>
      </c>
      <c r="I178" s="5" t="n"/>
      <c r="J178" s="3" t="n"/>
    </row>
    <row r="179" ht="42.75" customHeight="1" s="18">
      <c r="A179" s="5" t="inlineStr">
        <is>
          <t>S2-0173</t>
        </is>
      </c>
      <c r="B179" s="5" t="inlineStr">
        <is>
          <t>A</t>
        </is>
      </c>
      <c r="C179" s="3" t="inlineStr">
        <is>
          <t>Forster, Y.; Geisel, V.; Frison, A.-K.; Hergeth, S.; Wintersberger, P.; Riener, A.</t>
        </is>
      </c>
      <c r="D179" s="6" t="n">
        <v>2019</v>
      </c>
      <c r="E179" s="3" t="inlineStr">
        <is>
          <t>Where we come from and where we are going: A review of automated driving studies</t>
        </is>
      </c>
      <c r="F179" s="3" t="n"/>
      <c r="G179" s="5" t="inlineStr">
        <is>
          <t>Conference paper</t>
        </is>
      </c>
      <c r="H179" s="5" t="inlineStr">
        <is>
          <t>10.1145/3349263.3351341</t>
        </is>
      </c>
      <c r="I179" s="5" t="n"/>
      <c r="J179" s="3" t="n"/>
    </row>
    <row r="180" ht="42.75" customHeight="1" s="18">
      <c r="A180" s="5" t="inlineStr">
        <is>
          <t>S2-0174</t>
        </is>
      </c>
      <c r="B180" s="5" t="inlineStr">
        <is>
          <t>A</t>
        </is>
      </c>
      <c r="C180" s="3" t="inlineStr">
        <is>
          <t>Renner, M.; Münzenberger, N.; Von Hammerstein, J.; Lins, S.; Sunyaev, A.</t>
        </is>
      </c>
      <c r="D180" s="6" t="n">
        <v>2020</v>
      </c>
      <c r="E180" s="3" t="inlineStr">
        <is>
          <t>Challenges of vehicle-to-everything communication. interviews among industry experts</t>
        </is>
      </c>
      <c r="F180" s="3" t="n"/>
      <c r="G180" s="5" t="inlineStr">
        <is>
          <t>Conference paper</t>
        </is>
      </c>
      <c r="H180" s="5" t="inlineStr">
        <is>
          <t>10.30844/wi_2020_r12</t>
        </is>
      </c>
      <c r="I180" s="5" t="n"/>
      <c r="J180" s="3" t="n"/>
    </row>
    <row r="181" ht="28.5" customHeight="1" s="18">
      <c r="A181" s="5" t="inlineStr">
        <is>
          <t>S2-0175</t>
        </is>
      </c>
      <c r="B181" s="5" t="inlineStr">
        <is>
          <t>A</t>
        </is>
      </c>
      <c r="C181" s="3" t="inlineStr">
        <is>
          <t>Aldakkhelallah, A.; Alamri, A.S.; Georgiou, S.; Simic, M.</t>
        </is>
      </c>
      <c r="D181" s="6" t="n">
        <v>2023</v>
      </c>
      <c r="E181" s="3" t="inlineStr">
        <is>
          <t>Public Perception of the Introduction of Autonomous Vehicles</t>
        </is>
      </c>
      <c r="F181" s="3" t="n"/>
      <c r="G181" s="5" t="inlineStr">
        <is>
          <t>Journal article</t>
        </is>
      </c>
      <c r="H181" s="5" t="inlineStr">
        <is>
          <t>10.3390/wevj14120345</t>
        </is>
      </c>
      <c r="I181" s="5" t="n"/>
      <c r="J181" s="3" t="n"/>
    </row>
    <row r="182" ht="42.75" customHeight="1" s="18">
      <c r="A182" s="5" t="inlineStr">
        <is>
          <t>S2-0176</t>
        </is>
      </c>
      <c r="B182" s="5" t="inlineStr">
        <is>
          <t>A</t>
        </is>
      </c>
      <c r="C182" s="3" t="inlineStr">
        <is>
          <t>Pervez, A.; Lee, J.J.; Mao, R.; Chang, F.</t>
        </is>
      </c>
      <c r="D182" s="6" t="n">
        <v>2025</v>
      </c>
      <c r="E182" s="3" t="inlineStr">
        <is>
          <t>Perception toward autonomous ride-pooling services and public buses in Pakistan: perspectives in crime and victimization</t>
        </is>
      </c>
      <c r="F182" s="3" t="n"/>
      <c r="G182" s="5" t="inlineStr">
        <is>
          <t>Journal article</t>
        </is>
      </c>
      <c r="H182" s="5" t="inlineStr">
        <is>
          <t>10.1057/s41284-025-00504-1</t>
        </is>
      </c>
      <c r="I182" s="5" t="n"/>
      <c r="J182" s="3" t="n"/>
    </row>
    <row r="183" ht="42.75" customHeight="1" s="18">
      <c r="A183" s="5" t="inlineStr">
        <is>
          <t>S2-0177</t>
        </is>
      </c>
      <c r="B183" s="5" t="inlineStr">
        <is>
          <t>A</t>
        </is>
      </c>
      <c r="C183" s="3" t="inlineStr">
        <is>
          <t>Datta, S.; Sankeerthana, G.; Kadali, B.R.</t>
        </is>
      </c>
      <c r="D183" s="6" t="n">
        <v>2024</v>
      </c>
      <c r="E183" s="3" t="inlineStr">
        <is>
          <t>Do two-wheeler riders propel towards autonomous driving? A path-based probabilistic study in Indian context</t>
        </is>
      </c>
      <c r="F183" s="3" t="n"/>
      <c r="G183" s="5" t="inlineStr">
        <is>
          <t>Journal article</t>
        </is>
      </c>
      <c r="H183" s="5" t="inlineStr">
        <is>
          <t>10.1016/j.heliyon.2024.e35664</t>
        </is>
      </c>
      <c r="I183" s="5" t="n"/>
      <c r="J183" s="3" t="n"/>
    </row>
    <row r="184" ht="42.75" customHeight="1" s="18">
      <c r="A184" s="5" t="inlineStr">
        <is>
          <t>S2-0178</t>
        </is>
      </c>
      <c r="B184" s="5" t="inlineStr">
        <is>
          <t>A</t>
        </is>
      </c>
      <c r="C184" s="3" t="inlineStr">
        <is>
          <t>Kenesei, Z.; Ásványi, K.; Kökény, L.; Jászberényi, M.; Miskolczi, M.; Gyulavári, T.; Syahrivar, J.</t>
        </is>
      </c>
      <c r="D184" s="6" t="n">
        <v>2022</v>
      </c>
      <c r="E184" s="3" t="inlineStr">
        <is>
          <t>Trust and perceived risk: How different manifestations affect the adoption of autonomous vehicles</t>
        </is>
      </c>
      <c r="F184" s="3" t="n"/>
      <c r="G184" s="5" t="inlineStr">
        <is>
          <t>Journal article</t>
        </is>
      </c>
      <c r="H184" s="5" t="inlineStr">
        <is>
          <t>10.1016/j.tra.2022.08.022</t>
        </is>
      </c>
      <c r="I184" s="5" t="n"/>
      <c r="J184" s="3" t="n"/>
    </row>
    <row r="185" ht="28.5" customHeight="1" s="18">
      <c r="A185" s="5" t="inlineStr">
        <is>
          <t>S2-0179</t>
        </is>
      </c>
      <c r="B185" s="5" t="inlineStr">
        <is>
          <t>A</t>
        </is>
      </c>
      <c r="C185" s="3" t="inlineStr">
        <is>
          <t>Schmidt, T.; Philipsen, R.; Ziefle, M.</t>
        </is>
      </c>
      <c r="D185" s="6" t="n">
        <v>2016</v>
      </c>
      <c r="E185" s="3" t="inlineStr">
        <is>
          <t>Share to protect: Quantitative study on privacy issues in V2X-technology</t>
        </is>
      </c>
      <c r="F185" s="3" t="n"/>
      <c r="G185" s="5" t="inlineStr">
        <is>
          <t>Conference paper</t>
        </is>
      </c>
      <c r="H185" s="5" t="inlineStr">
        <is>
          <t>10.1007/978-3-319-39381-0_14</t>
        </is>
      </c>
      <c r="I185" s="5" t="n"/>
      <c r="J185" s="3" t="n"/>
    </row>
    <row r="186" ht="28.5" customHeight="1" s="18">
      <c r="A186" s="5" t="inlineStr">
        <is>
          <t>S2-0180</t>
        </is>
      </c>
      <c r="B186" s="5" t="inlineStr">
        <is>
          <t>A</t>
        </is>
      </c>
      <c r="C186" s="3" t="inlineStr">
        <is>
          <t>Alawadhi, M.; Almazrouie, J.; Kamil, M.; Khalil, K.A.</t>
        </is>
      </c>
      <c r="D186" s="6" t="n">
        <v>2020</v>
      </c>
      <c r="E186" s="3" t="inlineStr">
        <is>
          <t>A systematic literature review of the factors influencing the adoption of autonomous driving</t>
        </is>
      </c>
      <c r="F186" s="3" t="n"/>
      <c r="G186" s="5" t="inlineStr">
        <is>
          <t>Journal article</t>
        </is>
      </c>
      <c r="H186" s="5" t="inlineStr">
        <is>
          <t>10.1007/s13198-020-00961-4</t>
        </is>
      </c>
      <c r="I186" s="5" t="n"/>
      <c r="J186" s="3" t="n"/>
    </row>
    <row r="187" ht="28.5" customHeight="1" s="18">
      <c r="A187" s="5" t="inlineStr">
        <is>
          <t>S2-0181</t>
        </is>
      </c>
      <c r="B187" s="5" t="inlineStr">
        <is>
          <t>A</t>
        </is>
      </c>
      <c r="C187" s="3" t="inlineStr">
        <is>
          <t>Thomas, E.; McCrudden, C.; Wharton, Z.; Behera, A.</t>
        </is>
      </c>
      <c r="D187" s="6" t="n">
        <v>2020</v>
      </c>
      <c r="E187" s="3" t="inlineStr">
        <is>
          <t>Perception of autonomous vehicles by the modern society: A survey</t>
        </is>
      </c>
      <c r="F187" s="3" t="n"/>
      <c r="G187" s="5" t="inlineStr">
        <is>
          <t>Journal article</t>
        </is>
      </c>
      <c r="H187" s="5" t="inlineStr">
        <is>
          <t>10.1049/iet-its.2019.0703</t>
        </is>
      </c>
      <c r="I187" s="5" t="n"/>
      <c r="J187" s="3" t="n"/>
    </row>
    <row r="188">
      <c r="A188" s="5" t="inlineStr">
        <is>
          <t>S2-0182</t>
        </is>
      </c>
      <c r="B188" s="5" t="inlineStr">
        <is>
          <t>A</t>
        </is>
      </c>
      <c r="C188" s="3" t="inlineStr">
        <is>
          <t>Du, M.; Liu, P.</t>
        </is>
      </c>
      <c r="D188" s="6" t="n">
        <v>2020</v>
      </c>
      <c r="E188" s="3" t="inlineStr">
        <is>
          <t>Does the public misperceive automated vehicles?</t>
        </is>
      </c>
      <c r="F188" s="3" t="n"/>
      <c r="G188" s="5" t="inlineStr">
        <is>
          <t>Conference paper</t>
        </is>
      </c>
      <c r="H188" s="5" t="inlineStr">
        <is>
          <t>10.3850/978-981-14-8593-0_3961-cd</t>
        </is>
      </c>
      <c r="I188" s="5" t="n"/>
      <c r="J188" s="3" t="n"/>
    </row>
    <row r="189" ht="42.75" customHeight="1" s="18">
      <c r="A189" s="5" t="inlineStr">
        <is>
          <t>S2-0183</t>
        </is>
      </c>
      <c r="B189" s="5" t="inlineStr">
        <is>
          <t>A</t>
        </is>
      </c>
      <c r="C189" s="3" t="inlineStr">
        <is>
          <t>Tang, T.; Wang, X.; Wu, J.; Yuan, M.; Guo, Y.; Xu, X.</t>
        </is>
      </c>
      <c r="D189" s="6" t="n">
        <v>2023</v>
      </c>
      <c r="E189" s="3" t="inlineStr">
        <is>
          <t>Determinants and the Moderating Effects of Individual Characteristics on Autonomous Vehicle Adoption in China</t>
        </is>
      </c>
      <c r="F189" s="3" t="n"/>
      <c r="G189" s="5" t="inlineStr">
        <is>
          <t>Journal article</t>
        </is>
      </c>
      <c r="H189" s="5" t="inlineStr">
        <is>
          <t>10.3390/ijerph20010043</t>
        </is>
      </c>
      <c r="I189" s="5" t="n"/>
      <c r="J189" s="3" t="n"/>
    </row>
    <row r="190" ht="28.5" customHeight="1" s="18">
      <c r="A190" s="5" t="inlineStr">
        <is>
          <t>S2-0184</t>
        </is>
      </c>
      <c r="B190" s="5" t="inlineStr">
        <is>
          <t>A</t>
        </is>
      </c>
      <c r="C190" s="3" t="inlineStr">
        <is>
          <t>Tidke, P.; Venugopal, V.; Jali, N.; Shukla, M.; Rathod, C.</t>
        </is>
      </c>
      <c r="D190" s="6" t="n">
        <v>2024</v>
      </c>
      <c r="E190" s="3" t="inlineStr">
        <is>
          <t>Method of Generating Real-Time Digital Customer Feedback Loop for Connected Vehicle Applications</t>
        </is>
      </c>
      <c r="F190" s="3" t="n"/>
      <c r="G190" s="5" t="inlineStr">
        <is>
          <t>Conference paper</t>
        </is>
      </c>
      <c r="H190" s="5" t="inlineStr">
        <is>
          <t>10.4271/2024-26-0258</t>
        </is>
      </c>
      <c r="I190" s="5" t="n"/>
      <c r="J190" s="3" t="n"/>
    </row>
    <row r="191" ht="28.5" customHeight="1" s="18">
      <c r="A191" s="5" t="inlineStr">
        <is>
          <t>S2-0185</t>
        </is>
      </c>
      <c r="B191" s="5" t="inlineStr">
        <is>
          <t>A</t>
        </is>
      </c>
      <c r="C191" s="3" t="inlineStr">
        <is>
          <t>Soe, R.-M.; Müür, J.</t>
        </is>
      </c>
      <c r="D191" s="6" t="n">
        <v>2020</v>
      </c>
      <c r="E191" s="3" t="inlineStr">
        <is>
          <t>Mobility acceptance factors of an automated shuttle bus last-mile service</t>
        </is>
      </c>
      <c r="F191" s="3" t="n"/>
      <c r="G191" s="5" t="inlineStr">
        <is>
          <t>Journal article</t>
        </is>
      </c>
      <c r="H191" s="5" t="inlineStr">
        <is>
          <t>10.3390/su12135469</t>
        </is>
      </c>
      <c r="I191" s="5" t="n"/>
      <c r="J191" s="3" t="n"/>
    </row>
    <row r="192" ht="28.5" customHeight="1" s="18">
      <c r="A192" s="5" t="inlineStr">
        <is>
          <t>S2-0186</t>
        </is>
      </c>
      <c r="B192" s="5" t="inlineStr">
        <is>
          <t>A</t>
        </is>
      </c>
      <c r="C192" s="3" t="inlineStr">
        <is>
          <t>Kaszas, D.; Roberts, A.C.</t>
        </is>
      </c>
      <c r="D192" s="6" t="n">
        <v>2023</v>
      </c>
      <c r="E192" s="3" t="inlineStr">
        <is>
          <t>Comfort with varying levels of human supervision in self-driving cars: Determining factors in Europe</t>
        </is>
      </c>
      <c r="F192" s="3" t="n"/>
      <c r="G192" s="5" t="inlineStr">
        <is>
          <t>Journal article</t>
        </is>
      </c>
      <c r="H192" s="5" t="inlineStr">
        <is>
          <t>10.1016/j.ijtst.2022.08.001</t>
        </is>
      </c>
      <c r="I192" s="5" t="n"/>
      <c r="J192" s="3" t="n"/>
    </row>
    <row r="193" ht="28.5" customHeight="1" s="18">
      <c r="A193" s="5" t="inlineStr">
        <is>
          <t>S2-0187</t>
        </is>
      </c>
      <c r="B193" s="5" t="inlineStr">
        <is>
          <t>A</t>
        </is>
      </c>
      <c r="C193" s="3" t="inlineStr">
        <is>
          <t>Acharya, S.; Mekker, M.</t>
        </is>
      </c>
      <c r="D193" s="6" t="n">
        <v>2022</v>
      </c>
      <c r="E193" s="3" t="inlineStr">
        <is>
          <t>Measuring data sharing intention and its association with the acceptance of connected vehicles</t>
        </is>
      </c>
      <c r="F193" s="3" t="n"/>
      <c r="G193" s="5" t="inlineStr">
        <is>
          <t>Journal article</t>
        </is>
      </c>
      <c r="H193" s="5" t="inlineStr">
        <is>
          <t>10.1016/j.trf.2022.07.014</t>
        </is>
      </c>
      <c r="I193" s="5" t="n"/>
      <c r="J193" s="3" t="n"/>
    </row>
    <row r="194" ht="57" customHeight="1" s="18">
      <c r="A194" s="5" t="inlineStr">
        <is>
          <t>S2-0188</t>
        </is>
      </c>
      <c r="B194" s="5" t="inlineStr">
        <is>
          <t>A</t>
        </is>
      </c>
      <c r="C194" s="3" t="inlineStr">
        <is>
          <t>Anastasopoulou, K.; Williams, E.; Whitnall, C.; Tryfonas, T.; Oswald, E.; Morgan, P.; Voinescu, A.; Piechocki, R.; Tassi, A.</t>
        </is>
      </c>
      <c r="D194" s="6" t="n">
        <v>2018</v>
      </c>
      <c r="E194" s="3" t="inlineStr">
        <is>
          <t>Effects of privacy risk perception and cultural bias on intention of connected autonomous vehicle use</t>
        </is>
      </c>
      <c r="F194" s="3" t="n"/>
      <c r="G194" s="5" t="inlineStr">
        <is>
          <t>Conference paper</t>
        </is>
      </c>
      <c r="H194" s="5" t="inlineStr">
        <is>
          <t>10.1145/3361331.3361336</t>
        </is>
      </c>
      <c r="I194" s="5" t="n"/>
      <c r="J194" s="3" t="n"/>
    </row>
    <row r="195" ht="28.5" customHeight="1" s="18">
      <c r="A195" s="5" t="inlineStr">
        <is>
          <t>S2-0189</t>
        </is>
      </c>
      <c r="B195" s="5" t="inlineStr">
        <is>
          <t>A</t>
        </is>
      </c>
      <c r="C195" s="3" t="inlineStr">
        <is>
          <t>Schuß, M.; Röhr, T.; Riener, A.</t>
        </is>
      </c>
      <c r="D195" s="6" t="n">
        <v>2024</v>
      </c>
      <c r="E195" s="3" t="inlineStr">
        <is>
          <t>'Baymax' or 'RoboCop'? Exploring Different Feminine Avatar Personalities for Shared Automated Vehicles</t>
        </is>
      </c>
      <c r="F195" s="3" t="n"/>
      <c r="G195" s="5" t="inlineStr">
        <is>
          <t>Conference paper</t>
        </is>
      </c>
      <c r="H195" s="5" t="inlineStr">
        <is>
          <t>10.1145/3670653.3670682</t>
        </is>
      </c>
      <c r="I195" s="5" t="n"/>
      <c r="J195" s="3" t="n"/>
    </row>
    <row r="196" ht="42.75" customHeight="1" s="18">
      <c r="A196" s="5" t="inlineStr">
        <is>
          <t>S2-0190</t>
        </is>
      </c>
      <c r="B196" s="5" t="inlineStr">
        <is>
          <t>A</t>
        </is>
      </c>
      <c r="C196" s="3" t="inlineStr">
        <is>
          <t>Fu, J.; Kim, K.-J.</t>
        </is>
      </c>
      <c r="D196" s="6" t="n">
        <v>2025</v>
      </c>
      <c r="E196" s="3" t="inlineStr">
        <is>
          <t>Balancing Privacy and Acceptance: The Role of Anthropomorphism and Information Sensitivity in Autonomous Taxis</t>
        </is>
      </c>
      <c r="F196" s="3" t="n"/>
      <c r="G196" s="5" t="inlineStr">
        <is>
          <t>Journal article</t>
        </is>
      </c>
      <c r="H196" s="5" t="inlineStr">
        <is>
          <t>10.14569/ijacsa.2025.0161265</t>
        </is>
      </c>
      <c r="I196" s="5" t="n"/>
      <c r="J196" s="3" t="n"/>
    </row>
    <row r="197" ht="42.75" customHeight="1" s="18">
      <c r="A197" s="5" t="inlineStr">
        <is>
          <t>S2-0191</t>
        </is>
      </c>
      <c r="B197" s="5" t="inlineStr">
        <is>
          <t>A</t>
        </is>
      </c>
      <c r="C197" s="3" t="inlineStr">
        <is>
          <t>Dogan, E.; Barbier, C.; Peyrard, E.</t>
        </is>
      </c>
      <c r="D197" s="6" t="n">
        <v>2021</v>
      </c>
      <c r="E197" s="3" t="inlineStr">
        <is>
          <t>Public perception of ethical issues concerning automated mobility: A focus group study among three road user categories</t>
        </is>
      </c>
      <c r="F197" s="3" t="n"/>
      <c r="G197" s="5" t="inlineStr">
        <is>
          <t>Conference paper</t>
        </is>
      </c>
      <c r="H197" s="5" t="inlineStr">
        <is>
          <t>10.1145/3452853.3452877</t>
        </is>
      </c>
      <c r="I197" s="5" t="n"/>
      <c r="J197" s="3" t="n"/>
    </row>
    <row r="198" ht="28.5" customHeight="1" s="18">
      <c r="A198" s="5" t="inlineStr">
        <is>
          <t>S2-0192</t>
        </is>
      </c>
      <c r="B198" s="5" t="inlineStr">
        <is>
          <t>A</t>
        </is>
      </c>
      <c r="C198" s="3" t="inlineStr">
        <is>
          <t>Banda, L.G.; Chandra, S.</t>
        </is>
      </c>
      <c r="D198" s="6" t="n">
        <v>2025</v>
      </c>
      <c r="E198" s="3" t="inlineStr">
        <is>
          <t>Natural intelligence in autonomous vehicles: Redefining the path to human-centric adoption</t>
        </is>
      </c>
      <c r="F198" s="3" t="n"/>
      <c r="G198" s="5" t="inlineStr">
        <is>
          <t>Journal article</t>
        </is>
      </c>
      <c r="H198" s="5" t="inlineStr">
        <is>
          <t>10.1016/j.jretconser.2024.104195</t>
        </is>
      </c>
      <c r="I198" s="5" t="n"/>
      <c r="J198" s="3" t="n"/>
    </row>
    <row r="199" ht="28.5" customHeight="1" s="18">
      <c r="A199" s="5" t="inlineStr">
        <is>
          <t>S2-0193</t>
        </is>
      </c>
      <c r="B199" s="5" t="inlineStr">
        <is>
          <t>A</t>
        </is>
      </c>
      <c r="C199" s="3" t="inlineStr">
        <is>
          <t>Zheng, L.; Guo, Y.; Zou, Y.</t>
        </is>
      </c>
      <c r="D199" s="6" t="n">
        <v>2024</v>
      </c>
      <c r="E199" s="3" t="inlineStr">
        <is>
          <t>Exploring Factors Affecting People’s Acceptance of Connected Vehicle Technology in China</t>
        </is>
      </c>
      <c r="F199" s="3" t="n"/>
      <c r="G199" s="5" t="inlineStr">
        <is>
          <t>Journal article</t>
        </is>
      </c>
      <c r="H199" s="5" t="inlineStr">
        <is>
          <t>10.1155/2024/5841162</t>
        </is>
      </c>
      <c r="I199" s="5" t="n"/>
      <c r="J199" s="3" t="n"/>
    </row>
    <row r="200">
      <c r="A200" s="5" t="inlineStr">
        <is>
          <t>S2-0194</t>
        </is>
      </c>
      <c r="B200" s="5" t="inlineStr">
        <is>
          <t>A</t>
        </is>
      </c>
      <c r="C200" s="3" t="inlineStr">
        <is>
          <t>Stålhane, T.; Myklebust, T.</t>
        </is>
      </c>
      <c r="D200" s="6" t="n">
        <v>2022</v>
      </c>
      <c r="E200" s="3" t="inlineStr">
        <is>
          <t>Trust and acceptance of self-driving buses</t>
        </is>
      </c>
      <c r="F200" s="3" t="n"/>
      <c r="G200" s="5" t="inlineStr">
        <is>
          <t>Conference paper</t>
        </is>
      </c>
      <c r="H200" s="5" t="inlineStr">
        <is>
          <t>10.3850/978-981-18-5183-4_j03-02-011-cd</t>
        </is>
      </c>
      <c r="I200" s="5" t="n"/>
      <c r="J200" s="3" t="n"/>
    </row>
    <row r="201" ht="42.75" customHeight="1" s="18">
      <c r="A201" s="5" t="inlineStr">
        <is>
          <t>S2-0195</t>
        </is>
      </c>
      <c r="B201" s="5" t="inlineStr">
        <is>
          <t>A</t>
        </is>
      </c>
      <c r="C201" s="3" t="inlineStr">
        <is>
          <t>Ferreira, T.; Kalakou, S.</t>
        </is>
      </c>
      <c r="D201" s="6" t="n">
        <v>2021</v>
      </c>
      <c r="E201" s="3" t="inlineStr">
        <is>
          <t>Strategic Planning for Urban Air Mobility: Perceptions of Citizens and Potential Users on Autonomous Flying Vehicles</t>
        </is>
      </c>
      <c r="F201" s="3" t="n"/>
      <c r="G201" s="5" t="inlineStr">
        <is>
          <t>Conference paper</t>
        </is>
      </c>
      <c r="H201" s="5" t="inlineStr">
        <is>
          <t>10.1007/978-3-030-61075-3_28</t>
        </is>
      </c>
      <c r="I201" s="5" t="n"/>
      <c r="J201" s="3" t="n"/>
    </row>
    <row r="202" ht="28.5" customHeight="1" s="18">
      <c r="A202" s="5" t="inlineStr">
        <is>
          <t>S2-0196</t>
        </is>
      </c>
      <c r="B202" s="5" t="inlineStr">
        <is>
          <t>A</t>
        </is>
      </c>
      <c r="C202" s="3" t="inlineStr">
        <is>
          <t>Acharya, S.; Mekker, M.</t>
        </is>
      </c>
      <c r="D202" s="6" t="n">
        <v>2022</v>
      </c>
      <c r="E202" s="3" t="inlineStr">
        <is>
          <t>Importance of the reputation of data manager in the acceptance of connected vehicles</t>
        </is>
      </c>
      <c r="F202" s="3" t="n"/>
      <c r="G202" s="5" t="inlineStr">
        <is>
          <t>Journal article</t>
        </is>
      </c>
      <c r="H202" s="5" t="inlineStr">
        <is>
          <t>10.1016/j.commtr.2022.100053</t>
        </is>
      </c>
      <c r="I202" s="5" t="n"/>
      <c r="J202" s="3" t="n"/>
    </row>
    <row r="203" ht="42.75" customHeight="1" s="18">
      <c r="A203" s="5" t="inlineStr">
        <is>
          <t>S2-0197</t>
        </is>
      </c>
      <c r="B203" s="5" t="inlineStr">
        <is>
          <t>A</t>
        </is>
      </c>
      <c r="C203" s="3" t="inlineStr">
        <is>
          <t>Ross, G.M.</t>
        </is>
      </c>
      <c r="D203" s="6" t="n">
        <v>2025</v>
      </c>
      <c r="E203" s="3" t="inlineStr">
        <is>
          <t>Say goodbye to your car: Prevention focus motivates a shift from car to fare-free autonomous public transport</t>
        </is>
      </c>
      <c r="F203" s="3" t="n"/>
      <c r="G203" s="5" t="inlineStr">
        <is>
          <t>Journal article</t>
        </is>
      </c>
      <c r="H203" s="5" t="inlineStr">
        <is>
          <t>10.1016/j.trf.2025.103338</t>
        </is>
      </c>
      <c r="I203" s="5" t="n"/>
      <c r="J203" s="3" t="n"/>
    </row>
    <row r="204" ht="28.5" customHeight="1" s="18">
      <c r="A204" s="5" t="inlineStr">
        <is>
          <t>S2-0198</t>
        </is>
      </c>
      <c r="B204" s="5" t="inlineStr">
        <is>
          <t>A</t>
        </is>
      </c>
      <c r="C204" s="3" t="inlineStr">
        <is>
          <t>King, W.; Halawi, L.</t>
        </is>
      </c>
      <c r="D204" s="6" t="n">
        <v>2023</v>
      </c>
      <c r="E204" s="3" t="inlineStr">
        <is>
          <t>A Quantitative Analysis of Autonomous Vehicle Cybersecurity as a Component of Trust</t>
        </is>
      </c>
      <c r="F204" s="3" t="n"/>
      <c r="G204" s="5" t="inlineStr">
        <is>
          <t>Journal article</t>
        </is>
      </c>
      <c r="H204" s="5" t="inlineStr">
        <is>
          <t>10.4271/12-07-01-0002</t>
        </is>
      </c>
      <c r="I204" s="5" t="n"/>
      <c r="J204" s="3" t="n"/>
    </row>
    <row r="205" ht="28.5" customHeight="1" s="18">
      <c r="A205" s="5" t="inlineStr">
        <is>
          <t>S2-0199</t>
        </is>
      </c>
      <c r="B205" s="5" t="inlineStr">
        <is>
          <t>A</t>
        </is>
      </c>
      <c r="C205" s="3" t="inlineStr">
        <is>
          <t>Meidute‐kavaliauskiene, I.; Yıldız, B.; Çiğdem, Ş.; Činčikaitė, R.</t>
        </is>
      </c>
      <c r="D205" s="6" t="n">
        <v>2021</v>
      </c>
      <c r="E205" s="3" t="inlineStr">
        <is>
          <t>Do people prefer cars that people don’t drive? A survey study on autonomous vehicles</t>
        </is>
      </c>
      <c r="F205" s="3" t="n"/>
      <c r="G205" s="5" t="inlineStr">
        <is>
          <t>Journal article</t>
        </is>
      </c>
      <c r="H205" s="5" t="inlineStr">
        <is>
          <t>10.3390/en14164795</t>
        </is>
      </c>
      <c r="I205" s="5" t="n"/>
      <c r="J205" s="3" t="n"/>
    </row>
    <row r="206" ht="28.5" customHeight="1" s="18">
      <c r="A206" s="5" t="inlineStr">
        <is>
          <t>S2-0200</t>
        </is>
      </c>
      <c r="B206" s="5" t="inlineStr">
        <is>
          <t>A</t>
        </is>
      </c>
      <c r="C206" s="3" t="inlineStr">
        <is>
          <t>Bechor, T.; Zhang, H.; Cruz, L.</t>
        </is>
      </c>
      <c r="D206" s="6" t="n">
        <v>2018</v>
      </c>
      <c r="E206" s="3" t="inlineStr">
        <is>
          <t>Holistic understanding of challenges with autonomous vehicles</t>
        </is>
      </c>
      <c r="F206" s="3" t="n"/>
      <c r="G206" s="5" t="inlineStr">
        <is>
          <t>Conference paper</t>
        </is>
      </c>
      <c r="H206" s="5" t="n"/>
      <c r="I206" s="5" t="n"/>
      <c r="J206" s="3" t="n"/>
    </row>
    <row r="207" ht="42.75" customHeight="1" s="18">
      <c r="A207" s="5" t="inlineStr">
        <is>
          <t>S2-0201</t>
        </is>
      </c>
      <c r="B207" s="5" t="inlineStr">
        <is>
          <t>A</t>
        </is>
      </c>
      <c r="C207" s="3" t="inlineStr">
        <is>
          <t>Li, S.; Zhang, Y.; Blythe, P.; Edwards, S.; Ji, Y.</t>
        </is>
      </c>
      <c r="D207" s="6" t="n">
        <v>2024</v>
      </c>
      <c r="E207" s="3" t="inlineStr">
        <is>
          <t>Remote driving as the Failsafe: Qualitative investigation of Users’ perceptions and requirements towards the 5G-enabled Level 4 automated vehicles</t>
        </is>
      </c>
      <c r="F207" s="3" t="n"/>
      <c r="G207" s="5" t="inlineStr">
        <is>
          <t>Journal article</t>
        </is>
      </c>
      <c r="H207" s="5" t="inlineStr">
        <is>
          <t>10.1016/j.trf.2023.11.018</t>
        </is>
      </c>
      <c r="I207" s="5" t="n"/>
      <c r="J207" s="3" t="n"/>
    </row>
    <row r="208" ht="42.75" customHeight="1" s="18">
      <c r="A208" s="5" t="inlineStr">
        <is>
          <t>S2-0202</t>
        </is>
      </c>
      <c r="B208" s="5" t="inlineStr">
        <is>
          <t>A</t>
        </is>
      </c>
      <c r="C208" s="3" t="inlineStr">
        <is>
          <t>Debbaghi, F.-Z.; Rombaut, E.; Vanhaverbeke, L.</t>
        </is>
      </c>
      <c r="D208" s="6" t="n">
        <v>2025</v>
      </c>
      <c r="E208" s="3" t="inlineStr">
        <is>
          <t>Lessons learned from shared automated vehicles pilots in Europe: An evaluation of safety, traffic, and user acceptance</t>
        </is>
      </c>
      <c r="F208" s="3" t="n"/>
      <c r="G208" s="5" t="inlineStr">
        <is>
          <t>Journal article</t>
        </is>
      </c>
      <c r="H208" s="5" t="inlineStr">
        <is>
          <t>10.1016/j.cstp.2025.101447</t>
        </is>
      </c>
      <c r="I208" s="5" t="n"/>
      <c r="J208" s="3" t="n"/>
    </row>
    <row r="209" ht="28.5" customHeight="1" s="18">
      <c r="A209" s="5" t="inlineStr">
        <is>
          <t>S2-0203</t>
        </is>
      </c>
      <c r="B209" s="5" t="inlineStr">
        <is>
          <t>A</t>
        </is>
      </c>
      <c r="C209" s="3" t="inlineStr">
        <is>
          <t>Waung, M.; McAuslan, P.; Lakshmanan, S.</t>
        </is>
      </c>
      <c r="D209" s="6" t="n">
        <v>2021</v>
      </c>
      <c r="E209" s="3" t="inlineStr">
        <is>
          <t>Trust and intention to use autonomous vehicles: Manufacturer focus and passenger control</t>
        </is>
      </c>
      <c r="F209" s="3" t="n"/>
      <c r="G209" s="5" t="inlineStr">
        <is>
          <t>Journal article</t>
        </is>
      </c>
      <c r="H209" s="5" t="inlineStr">
        <is>
          <t>10.1016/j.trf.2021.05.004</t>
        </is>
      </c>
      <c r="I209" s="5" t="n"/>
      <c r="J209" s="3" t="n"/>
    </row>
    <row r="210" ht="42.75" customHeight="1" s="18">
      <c r="A210" s="5" t="inlineStr">
        <is>
          <t>S2-0204</t>
        </is>
      </c>
      <c r="B210" s="5" t="inlineStr">
        <is>
          <t>A</t>
        </is>
      </c>
      <c r="C210" s="3" t="inlineStr">
        <is>
          <t>Wang, F.; Wang, S.; Wei, J.; Fang, F.; Ma, N.</t>
        </is>
      </c>
      <c r="D210" s="6" t="n">
        <v>2025</v>
      </c>
      <c r="E210" s="3" t="inlineStr">
        <is>
          <t>Adoption of coping behaviours: public response to data security risks of intelligent connected vehicles in China</t>
        </is>
      </c>
      <c r="F210" s="3" t="n"/>
      <c r="G210" s="5" t="inlineStr">
        <is>
          <t>Journal article</t>
        </is>
      </c>
      <c r="H210" s="5" t="inlineStr">
        <is>
          <t>10.1080/13669877.2025.2485038</t>
        </is>
      </c>
      <c r="I210" s="5" t="n"/>
      <c r="J210" s="3" t="n"/>
    </row>
    <row r="211">
      <c r="A211" s="5" t="inlineStr">
        <is>
          <t>S2-0205</t>
        </is>
      </c>
      <c r="B211" s="5" t="inlineStr">
        <is>
          <t>A</t>
        </is>
      </c>
      <c r="C211" s="3" t="inlineStr">
        <is>
          <t>Rezaei, A.; Caulfield, B.</t>
        </is>
      </c>
      <c r="D211" s="6" t="n">
        <v>2020</v>
      </c>
      <c r="E211" s="3" t="inlineStr">
        <is>
          <t>Examining public acceptance of autonomous mobility</t>
        </is>
      </c>
      <c r="F211" s="3" t="n"/>
      <c r="G211" s="5" t="inlineStr">
        <is>
          <t>Journal article</t>
        </is>
      </c>
      <c r="H211" s="5" t="inlineStr">
        <is>
          <t>10.1016/j.tbs.2020.07.002</t>
        </is>
      </c>
      <c r="I211" s="5" t="n"/>
      <c r="J211" s="3" t="n"/>
    </row>
    <row r="212" ht="57" customHeight="1" s="18">
      <c r="A212" s="5" t="inlineStr">
        <is>
          <t>S2-0206</t>
        </is>
      </c>
      <c r="B212" s="5" t="inlineStr">
        <is>
          <t>A</t>
        </is>
      </c>
      <c r="C212" s="3" t="inlineStr">
        <is>
          <t>Chen, Y.; Shiwakoti, N.; Stasinopoulos, P.; Khan, S.K.; Aghabayk, K.</t>
        </is>
      </c>
      <c r="D212" s="6" t="n">
        <v>2024</v>
      </c>
      <c r="E212" s="3" t="inlineStr">
        <is>
          <t>Exploring the association between socio-demographic factors and public acceptance towards fully automated vehicles: Insights from a survey in Australia</t>
        </is>
      </c>
      <c r="F212" s="3" t="n"/>
      <c r="G212" s="5" t="inlineStr">
        <is>
          <t>Journal article</t>
        </is>
      </c>
      <c r="H212" s="5" t="inlineStr">
        <is>
          <t>10.1049/itr2.12441</t>
        </is>
      </c>
      <c r="I212" s="5" t="n"/>
      <c r="J212" s="3" t="n"/>
    </row>
    <row r="213" ht="42.75" customHeight="1" s="18">
      <c r="A213" s="5" t="inlineStr">
        <is>
          <t>S2-0207</t>
        </is>
      </c>
      <c r="B213" s="5" t="inlineStr">
        <is>
          <t>A</t>
        </is>
      </c>
      <c r="C213" s="3" t="inlineStr">
        <is>
          <t>Meyer-Waarden, L.; Cloarec, J.</t>
        </is>
      </c>
      <c r="D213" s="6" t="n">
        <v>2022</v>
      </c>
      <c r="E213" s="3" t="inlineStr">
        <is>
          <t>“Baby, you can drive my car”: Psychological antecedents that drive consumers’ adoption of AI-powered autonomous vehicles</t>
        </is>
      </c>
      <c r="F213" s="3" t="n"/>
      <c r="G213" s="5" t="inlineStr">
        <is>
          <t>Journal article</t>
        </is>
      </c>
      <c r="H213" s="5" t="inlineStr">
        <is>
          <t>10.1016/j.technovation.2021.102348</t>
        </is>
      </c>
      <c r="I213" s="5" t="n"/>
      <c r="J213" s="3" t="n"/>
    </row>
    <row r="214" ht="28.5" customHeight="1" s="18">
      <c r="A214" s="5" t="inlineStr">
        <is>
          <t>S2-0208</t>
        </is>
      </c>
      <c r="B214" s="5" t="inlineStr">
        <is>
          <t>A</t>
        </is>
      </c>
      <c r="C214" s="3" t="inlineStr">
        <is>
          <t>Wintersberger, P.; Frison, A.-K.; Riener, A.; Boyle, L.N.</t>
        </is>
      </c>
      <c r="D214" s="6" t="n">
        <v>2016</v>
      </c>
      <c r="E214" s="3" t="inlineStr">
        <is>
          <t>Towards a Personalized Trust Model for Highly Automated Driving</t>
        </is>
      </c>
      <c r="F214" s="3" t="n"/>
      <c r="G214" s="5" t="inlineStr">
        <is>
          <t>Conference paper</t>
        </is>
      </c>
      <c r="H214" s="5" t="inlineStr">
        <is>
          <t>10.18420/muc2016-ws08-0008</t>
        </is>
      </c>
      <c r="I214" s="5" t="n"/>
      <c r="J214" s="3" t="n"/>
    </row>
    <row r="215" ht="28.5" customHeight="1" s="18">
      <c r="A215" s="5" t="inlineStr">
        <is>
          <t>S2-0209</t>
        </is>
      </c>
      <c r="B215" s="5" t="inlineStr">
        <is>
          <t>A</t>
        </is>
      </c>
      <c r="C215" s="3" t="inlineStr">
        <is>
          <t>Barber, F.; Furnell, S.</t>
        </is>
      </c>
      <c r="D215" s="6" t="n">
        <v>2022</v>
      </c>
      <c r="E215" s="3" t="inlineStr">
        <is>
          <t>Benchmarking Consumer Data and Privacy Knowledge in Connected and Autonomous Vehicles</t>
        </is>
      </c>
      <c r="F215" s="3" t="n"/>
      <c r="G215" s="5" t="inlineStr">
        <is>
          <t>Conference paper</t>
        </is>
      </c>
      <c r="H215" s="5" t="inlineStr">
        <is>
          <t>10.5220/0010862000003120</t>
        </is>
      </c>
      <c r="I215" s="5" t="n"/>
      <c r="J215" s="3" t="n"/>
    </row>
    <row r="216" ht="28.5" customHeight="1" s="18">
      <c r="A216" s="5" t="inlineStr">
        <is>
          <t>S2-0210</t>
        </is>
      </c>
      <c r="B216" s="5" t="inlineStr">
        <is>
          <t>A</t>
        </is>
      </c>
      <c r="C216" s="3" t="inlineStr">
        <is>
          <t>Usami, D.S.; Capkin, S.O.K.; Shevchenko, A.; Fondzenyuy, S.K.</t>
        </is>
      </c>
      <c r="D216" s="6" t="n">
        <v>2023</v>
      </c>
      <c r="E216" s="3" t="inlineStr">
        <is>
          <t>Acceptance of Automated Vehicles: Case Study of Drive2theFuture Project</t>
        </is>
      </c>
      <c r="F216" s="3" t="n"/>
      <c r="G216" s="5" t="inlineStr">
        <is>
          <t>Conference paper</t>
        </is>
      </c>
      <c r="H216" s="5" t="inlineStr">
        <is>
          <t>10.1016/j.trpro.2023.11.862</t>
        </is>
      </c>
      <c r="I216" s="5" t="n"/>
      <c r="J216" s="3" t="n"/>
    </row>
    <row r="217" ht="42.75" customHeight="1" s="18">
      <c r="A217" s="5" t="inlineStr">
        <is>
          <t>S2-0211</t>
        </is>
      </c>
      <c r="B217" s="5" t="inlineStr">
        <is>
          <t>A</t>
        </is>
      </c>
      <c r="C217" s="3" t="inlineStr">
        <is>
          <t>Liang, Y.; Qian, L.; Lu, Y.; Bektaş, T.</t>
        </is>
      </c>
      <c r="D217" s="6" t="n">
        <v>2025</v>
      </c>
      <c r="E217" s="3" t="inlineStr">
        <is>
          <t>The effects of risk preferences on consumers’ reference-dependent choices for autonomous vehicles</t>
        </is>
      </c>
      <c r="F217" s="3" t="n"/>
      <c r="G217" s="5" t="inlineStr">
        <is>
          <t>Journal article</t>
        </is>
      </c>
      <c r="H217" s="5" t="inlineStr">
        <is>
          <t>10.1111/risa.17692</t>
        </is>
      </c>
      <c r="I217" s="5" t="n"/>
      <c r="J217" s="3" t="n"/>
    </row>
    <row r="218" ht="42.75" customHeight="1" s="18">
      <c r="A218" s="5" t="inlineStr">
        <is>
          <t>S2-0212</t>
        </is>
      </c>
      <c r="B218" s="5" t="inlineStr">
        <is>
          <t>A</t>
        </is>
      </c>
      <c r="C218" s="3" t="inlineStr">
        <is>
          <t>Kinra, A.; Beheshti-Kashi, S.; Buch, R.; Nielsen, T.A.S.; Pereira, F.</t>
        </is>
      </c>
      <c r="D218" s="6" t="n">
        <v>2020</v>
      </c>
      <c r="E218" s="3" t="inlineStr">
        <is>
          <t>Examining the potential of textual big data analytics for public policy decision-making: A case study with driverless cars in Denmark</t>
        </is>
      </c>
      <c r="F218" s="3" t="n"/>
      <c r="G218" s="5" t="inlineStr">
        <is>
          <t>Journal article</t>
        </is>
      </c>
      <c r="H218" s="5" t="inlineStr">
        <is>
          <t>10.1016/j.tranpol.2020.05.026</t>
        </is>
      </c>
      <c r="I218" s="5" t="n"/>
      <c r="J218" s="3" t="n"/>
    </row>
    <row r="219" ht="42.75" customHeight="1" s="18">
      <c r="A219" s="5" t="inlineStr">
        <is>
          <t>S2-0213</t>
        </is>
      </c>
      <c r="B219" s="5" t="inlineStr">
        <is>
          <t>A</t>
        </is>
      </c>
      <c r="C219" s="3" t="inlineStr">
        <is>
          <t>Demir, C.; Meschtscherjakov, A.; Gärtner, M.</t>
        </is>
      </c>
      <c r="D219" s="6" t="n">
        <v>2024</v>
      </c>
      <c r="E219" s="3" t="inlineStr">
        <is>
          <t>Unlocking Trust and Acceptance in Tomorrow’s Ride: How In-Vehicle Intelligent Agents Redefine SAE Level 5 Autonomy</t>
        </is>
      </c>
      <c r="F219" s="3" t="n"/>
      <c r="G219" s="5" t="inlineStr">
        <is>
          <t>Journal article</t>
        </is>
      </c>
      <c r="H219" s="5" t="inlineStr">
        <is>
          <t>10.3390/mti8120111</t>
        </is>
      </c>
      <c r="I219" s="5" t="n"/>
      <c r="J219" s="3" t="n"/>
    </row>
    <row r="220" ht="28.5" customHeight="1" s="18">
      <c r="A220" s="5" t="inlineStr">
        <is>
          <t>S2-0214</t>
        </is>
      </c>
      <c r="B220" s="5" t="inlineStr">
        <is>
          <t>A</t>
        </is>
      </c>
      <c r="C220" s="3" t="inlineStr">
        <is>
          <t>Lee, J.; Baig, F.; Li, X.</t>
        </is>
      </c>
      <c r="D220" s="6" t="n">
        <v>2022</v>
      </c>
      <c r="E220" s="3" t="inlineStr">
        <is>
          <t>Media Influence, Trust, and the Public Adoption of Automated Vehicles</t>
        </is>
      </c>
      <c r="F220" s="3" t="n"/>
      <c r="G220" s="5" t="inlineStr">
        <is>
          <t>Journal article</t>
        </is>
      </c>
      <c r="H220" s="5" t="inlineStr">
        <is>
          <t>10.1109/mits.2021.3082404</t>
        </is>
      </c>
      <c r="I220" s="5" t="n"/>
      <c r="J220" s="3" t="n"/>
    </row>
    <row r="221" ht="28.5" customHeight="1" s="18">
      <c r="A221" s="5" t="inlineStr">
        <is>
          <t>S2-0215</t>
        </is>
      </c>
      <c r="B221" s="5" t="inlineStr">
        <is>
          <t>A</t>
        </is>
      </c>
      <c r="C221" s="3" t="inlineStr">
        <is>
          <t>Aldakkhelallah, A.A.A.; Todorovic, M.; Simic, M.</t>
        </is>
      </c>
      <c r="D221" s="6" t="n">
        <v>2023</v>
      </c>
      <c r="E221" s="3" t="inlineStr">
        <is>
          <t>An Investigation in Autonomous Vehicles Acceptance</t>
        </is>
      </c>
      <c r="F221" s="3" t="n"/>
      <c r="G221" s="5" t="inlineStr">
        <is>
          <t>Conference paper</t>
        </is>
      </c>
      <c r="H221" s="5" t="inlineStr">
        <is>
          <t>10.1007/978-981-99-3424-9_8</t>
        </is>
      </c>
      <c r="I221" s="5" t="n"/>
      <c r="J221" s="3" t="n"/>
    </row>
    <row r="222" ht="42.75" customHeight="1" s="18">
      <c r="A222" s="5" t="inlineStr">
        <is>
          <t>S2-0216</t>
        </is>
      </c>
      <c r="B222" s="5" t="inlineStr">
        <is>
          <t>A</t>
        </is>
      </c>
      <c r="C222" s="3" t="inlineStr">
        <is>
          <t>Wang, F.; Wang, S.; Fang, F.; Cheng, K.</t>
        </is>
      </c>
      <c r="D222" s="6" t="n">
        <v>2024</v>
      </c>
      <c r="E222" s="3" t="inlineStr">
        <is>
          <t>Who should be responsible? Responsibility attribution and public response to data security risks in China's intelligent connected vehicles</t>
        </is>
      </c>
      <c r="F222" s="3" t="n"/>
      <c r="G222" s="5" t="inlineStr">
        <is>
          <t>Journal article</t>
        </is>
      </c>
      <c r="H222" s="5" t="inlineStr">
        <is>
          <t>10.1016/j.tej.2024.107445</t>
        </is>
      </c>
      <c r="I222" s="5" t="n"/>
      <c r="J222" s="3" t="n"/>
    </row>
    <row r="223" ht="42.75" customHeight="1" s="18">
      <c r="A223" s="5" t="inlineStr">
        <is>
          <t>S2-0217</t>
        </is>
      </c>
      <c r="B223" s="5" t="inlineStr">
        <is>
          <t>A</t>
        </is>
      </c>
      <c r="C223" s="3" t="inlineStr">
        <is>
          <t>Chikaraishi, M.; Khan, D.; Yasuda, B.; Fujiwara, A.</t>
        </is>
      </c>
      <c r="D223" s="6" t="n">
        <v>2020</v>
      </c>
      <c r="E223" s="3" t="inlineStr">
        <is>
          <t>Risk perception and social acceptability of autonomous vehicles: A case study in Hiroshima, Japan</t>
        </is>
      </c>
      <c r="F223" s="3" t="n"/>
      <c r="G223" s="5" t="inlineStr">
        <is>
          <t>Journal article</t>
        </is>
      </c>
      <c r="H223" s="5" t="inlineStr">
        <is>
          <t>10.1016/j.tranpol.2020.05.014</t>
        </is>
      </c>
      <c r="I223" s="5" t="n"/>
      <c r="J223" s="3" t="n"/>
    </row>
    <row r="224" ht="42.75" customHeight="1" s="18">
      <c r="A224" s="5" t="inlineStr">
        <is>
          <t>S2-0218</t>
        </is>
      </c>
      <c r="B224" s="5" t="inlineStr">
        <is>
          <t>A</t>
        </is>
      </c>
      <c r="C224" s="3" t="inlineStr">
        <is>
          <t>Mircică, N.</t>
        </is>
      </c>
      <c r="D224" s="6" t="n">
        <v>2019</v>
      </c>
      <c r="E224" s="3" t="inlineStr">
        <is>
          <t>The design, implementation, and operation of self-driving cars: Ethical, security, safety, and privacy issues</t>
        </is>
      </c>
      <c r="F224" s="3" t="n"/>
      <c r="G224" s="5" t="inlineStr">
        <is>
          <t>Journal article</t>
        </is>
      </c>
      <c r="H224" s="5" t="inlineStr">
        <is>
          <t>10.22381/crlsj11220196</t>
        </is>
      </c>
      <c r="I224" s="5" t="n"/>
      <c r="J224" s="3" t="n"/>
    </row>
    <row r="225" ht="42.75" customHeight="1" s="18">
      <c r="A225" s="5" t="inlineStr">
        <is>
          <t>S2-0219</t>
        </is>
      </c>
      <c r="B225" s="5" t="inlineStr">
        <is>
          <t>A</t>
        </is>
      </c>
      <c r="C225" s="3" t="inlineStr">
        <is>
          <t>Ma, J.; Zuo, Y.; Jolimoy, O.; Gong, Z.; Xu, W.</t>
        </is>
      </c>
      <c r="D225" s="6" t="n">
        <v>2024</v>
      </c>
      <c r="E225" s="3" t="inlineStr">
        <is>
          <t>ADAS Alarm Sound Design for Autonomous Vehicles Based on Local Optimization: A Case Study in Shanghai, China</t>
        </is>
      </c>
      <c r="F225" s="3" t="n"/>
      <c r="G225" s="5" t="inlineStr">
        <is>
          <t>Journal article</t>
        </is>
      </c>
      <c r="H225" s="5" t="inlineStr">
        <is>
          <t>10.3390/app142210733</t>
        </is>
      </c>
      <c r="I225" s="5" t="n"/>
      <c r="J225" s="3" t="n"/>
    </row>
    <row r="226" ht="42.75" customHeight="1" s="18">
      <c r="A226" s="5" t="inlineStr">
        <is>
          <t>S2-0220</t>
        </is>
      </c>
      <c r="B226" s="5" t="inlineStr">
        <is>
          <t>A</t>
        </is>
      </c>
      <c r="C226" s="3" t="inlineStr">
        <is>
          <t>Khan, S.K.; Shiwakoti, N.; Stasinopoulos, P.; Warren, M.</t>
        </is>
      </c>
      <c r="D226" s="6" t="n">
        <v>2024</v>
      </c>
      <c r="E226" s="3" t="inlineStr">
        <is>
          <t>Driving a safer future: Exploring cross-country perspectives in automated vehicle adoption by considering cyber risks, liability, and data concerns</t>
        </is>
      </c>
      <c r="F226" s="3" t="n"/>
      <c r="G226" s="5" t="inlineStr">
        <is>
          <t>Journal article</t>
        </is>
      </c>
      <c r="H226" s="5" t="inlineStr">
        <is>
          <t>10.1049/itr2.12541</t>
        </is>
      </c>
      <c r="I226" s="5" t="n"/>
      <c r="J226" s="3" t="n"/>
    </row>
    <row r="227">
      <c r="A227" s="5" t="inlineStr">
        <is>
          <t>S2-0221</t>
        </is>
      </c>
      <c r="B227" s="5" t="inlineStr">
        <is>
          <t>A</t>
        </is>
      </c>
      <c r="C227" s="3" t="inlineStr">
        <is>
          <t>Nordhoff, S.</t>
        </is>
      </c>
      <c r="D227" s="6" t="n">
        <v>2024</v>
      </c>
      <c r="E227" s="3" t="inlineStr">
        <is>
          <t>Resistance towards autonomous vehicles (AVs)</t>
        </is>
      </c>
      <c r="F227" s="3" t="n"/>
      <c r="G227" s="5" t="inlineStr">
        <is>
          <t>Journal article</t>
        </is>
      </c>
      <c r="H227" s="5" t="inlineStr">
        <is>
          <t>10.1016/j.trip.2024.101117</t>
        </is>
      </c>
      <c r="I227" s="5" t="n"/>
      <c r="J227" s="3" t="n"/>
    </row>
    <row r="228">
      <c r="A228" s="5" t="inlineStr">
        <is>
          <t>S2-0222</t>
        </is>
      </c>
      <c r="B228" s="5" t="inlineStr">
        <is>
          <t>A</t>
        </is>
      </c>
      <c r="C228" s="3" t="inlineStr">
        <is>
          <t>Carroll, J.M.</t>
        </is>
      </c>
      <c r="D228" s="6" t="n">
        <v>2022</v>
      </c>
      <c r="E228" s="3" t="inlineStr">
        <is>
          <t>Why should humans trust AI?</t>
        </is>
      </c>
      <c r="F228" s="3" t="n"/>
      <c r="G228" s="5" t="inlineStr">
        <is>
          <t>Conference paper</t>
        </is>
      </c>
      <c r="H228" s="5" t="inlineStr">
        <is>
          <t>10.1145/3538392</t>
        </is>
      </c>
      <c r="I228" s="5" t="n"/>
      <c r="J228" s="3" t="n"/>
    </row>
    <row r="229" ht="42.75" customHeight="1" s="18">
      <c r="A229" s="5" t="inlineStr">
        <is>
          <t>S2-0223</t>
        </is>
      </c>
      <c r="B229" s="5" t="inlineStr">
        <is>
          <t>A</t>
        </is>
      </c>
      <c r="C229" s="3" t="inlineStr">
        <is>
          <t>Dolins, S.; Karlsson, M.; Smith, G.; Strömberg, H.</t>
        </is>
      </c>
      <c r="D229" s="6" t="n">
        <v>2025</v>
      </c>
      <c r="E229" s="3" t="inlineStr">
        <is>
          <t>Riding with strangers: profiling potential users and refusers of shared autonomous vehicles in Swedish cities</t>
        </is>
      </c>
      <c r="F229" s="3" t="n"/>
      <c r="G229" s="5" t="inlineStr">
        <is>
          <t>Journal article</t>
        </is>
      </c>
      <c r="H229" s="5" t="inlineStr">
        <is>
          <t>10.1007/s11116-025-10592-y</t>
        </is>
      </c>
      <c r="I229" s="5" t="n"/>
      <c r="J229" s="3" t="n"/>
    </row>
    <row r="230" ht="42.75" customHeight="1" s="18">
      <c r="A230" s="5" t="inlineStr">
        <is>
          <t>S2-0224</t>
        </is>
      </c>
      <c r="B230" s="5" t="inlineStr">
        <is>
          <t>A</t>
        </is>
      </c>
      <c r="C230" s="3" t="inlineStr">
        <is>
          <t>Burgese, L.; Cha, K.J.</t>
        </is>
      </c>
      <c r="D230" s="6" t="n">
        <v>2024</v>
      </c>
      <c r="E230" s="3" t="inlineStr">
        <is>
          <t>Investigating trust leap with AI: a consumer’s behavioural model on autonomous vehicle acceptance</t>
        </is>
      </c>
      <c r="F230" s="3" t="n"/>
      <c r="G230" s="5" t="inlineStr">
        <is>
          <t>Journal article</t>
        </is>
      </c>
      <c r="H230" s="5" t="inlineStr">
        <is>
          <t>10.1504/ijtlid.2024.140319</t>
        </is>
      </c>
      <c r="I230" s="5" t="n"/>
      <c r="J230" s="3" t="n"/>
    </row>
    <row r="231" ht="28.5" customHeight="1" s="18">
      <c r="A231" s="5" t="inlineStr">
        <is>
          <t>S2-0225</t>
        </is>
      </c>
      <c r="B231" s="5" t="inlineStr">
        <is>
          <t>A</t>
        </is>
      </c>
      <c r="C231" s="3" t="inlineStr">
        <is>
          <t>Schmidt, T.; Philipsen, R.; Ziefle, M.</t>
        </is>
      </c>
      <c r="D231" s="6" t="n">
        <v>2015</v>
      </c>
      <c r="E231" s="3" t="inlineStr">
        <is>
          <t>From V2X to control2trust why trust and control are major attributes in vehicle2X technologies</t>
        </is>
      </c>
      <c r="F231" s="3" t="n"/>
      <c r="G231" s="5" t="inlineStr">
        <is>
          <t>Conference paper</t>
        </is>
      </c>
      <c r="H231" s="5" t="inlineStr">
        <is>
          <t>10.1007/978-3-319-20376-8_51</t>
        </is>
      </c>
      <c r="I231" s="5" t="n"/>
      <c r="J231" s="3" t="n"/>
    </row>
    <row r="232" ht="42.75" customHeight="1" s="18">
      <c r="A232" s="5" t="inlineStr">
        <is>
          <t>S2-0226</t>
        </is>
      </c>
      <c r="B232" s="5" t="inlineStr">
        <is>
          <t>A</t>
        </is>
      </c>
      <c r="C232" s="3" t="inlineStr">
        <is>
          <t>Wen, R.; Jiang, Z.; Liang, C.; Telenko, C.; Wang, B.; Fu, Y.; Cai, H.</t>
        </is>
      </c>
      <c r="D232" s="6" t="n">
        <v>2020</v>
      </c>
      <c r="E232" s="3" t="inlineStr">
        <is>
          <t>A New Approach of Generating Travel Demands for Smart Transportation Systems Modeling</t>
        </is>
      </c>
      <c r="F232" s="3" t="n"/>
      <c r="G232" s="5" t="inlineStr">
        <is>
          <t>Conference paper</t>
        </is>
      </c>
      <c r="H232" s="5" t="inlineStr">
        <is>
          <t>10.4271/2020-01-1047</t>
        </is>
      </c>
      <c r="I232" s="5" t="n"/>
      <c r="J232" s="3" t="n"/>
    </row>
    <row r="233" ht="42.75" customHeight="1" s="18">
      <c r="A233" s="5" t="inlineStr">
        <is>
          <t>S2-0227</t>
        </is>
      </c>
      <c r="B233" s="5" t="inlineStr">
        <is>
          <t>A</t>
        </is>
      </c>
      <c r="C233" s="3" t="inlineStr">
        <is>
          <t>Morast, A.; Voß, G.M.I.; Dautzenberg, P.S.C.; Urban, P.; Nießen, N.</t>
        </is>
      </c>
      <c r="D233" s="6" t="n">
        <v>2023</v>
      </c>
      <c r="E233" s="3" t="inlineStr">
        <is>
          <t>A survey on the acceptance of unattended trains</t>
        </is>
      </c>
      <c r="F233" s="3" t="n"/>
      <c r="G233" s="5" t="inlineStr">
        <is>
          <t>Journal article</t>
        </is>
      </c>
      <c r="H233" s="5" t="inlineStr">
        <is>
          <t>10.1016/j.jrtpm.2023.100370</t>
        </is>
      </c>
      <c r="I233" s="5" t="n"/>
      <c r="J233" s="3" t="n"/>
    </row>
    <row r="234" ht="42.75" customHeight="1" s="18">
      <c r="A234" s="5" t="inlineStr">
        <is>
          <t>S2-0228</t>
        </is>
      </c>
      <c r="B234" s="5" t="inlineStr">
        <is>
          <t>A</t>
        </is>
      </c>
      <c r="C234" s="3" t="inlineStr">
        <is>
          <t>Zámečník, P.; Havlíčková, D.; Gregorovič, A.; Děcký, P.; Klečková, S.</t>
        </is>
      </c>
      <c r="D234" s="6" t="n">
        <v>2021</v>
      </c>
      <c r="E234" s="3" t="inlineStr">
        <is>
          <t>How people speak about autonomous cars – an analysis of internet discussions in Czech Republic</t>
        </is>
      </c>
      <c r="F234" s="3" t="n"/>
      <c r="G234" s="5" t="inlineStr">
        <is>
          <t>Journal article</t>
        </is>
      </c>
      <c r="H234" s="5" t="inlineStr">
        <is>
          <t>10.5507/tots.2021.014</t>
        </is>
      </c>
      <c r="I234" s="5" t="n"/>
      <c r="J234" s="3" t="n"/>
    </row>
    <row r="235" ht="42.75" customHeight="1" s="18">
      <c r="A235" s="5" t="inlineStr">
        <is>
          <t>S2-0229</t>
        </is>
      </c>
      <c r="B235" s="5" t="inlineStr">
        <is>
          <t>A</t>
        </is>
      </c>
      <c r="C235" s="3" t="inlineStr">
        <is>
          <t>Kreps, S.; George, J.; Lushenko, P.; Rao, A.</t>
        </is>
      </c>
      <c r="D235" s="6" t="n">
        <v>2023</v>
      </c>
      <c r="E235" s="3" t="inlineStr">
        <is>
          <t>Exploring the artificial intelligence “Trust paradox”: Evidence from a survey experiment in the United States</t>
        </is>
      </c>
      <c r="F235" s="3" t="n"/>
      <c r="G235" s="5" t="inlineStr">
        <is>
          <t>Journal article</t>
        </is>
      </c>
      <c r="H235" s="5" t="inlineStr">
        <is>
          <t>10.1371/journal.pone.0288109</t>
        </is>
      </c>
      <c r="I235" s="5" t="n"/>
      <c r="J235" s="3" t="n"/>
    </row>
    <row r="236" ht="28.5" customHeight="1" s="18">
      <c r="A236" s="5" t="inlineStr">
        <is>
          <t>S2-0230</t>
        </is>
      </c>
      <c r="B236" s="5" t="inlineStr">
        <is>
          <t>A</t>
        </is>
      </c>
      <c r="C236" s="3" t="inlineStr">
        <is>
          <t>Martinho, A.; Herber, N.; Kroesen, M.; Chorus, C.</t>
        </is>
      </c>
      <c r="D236" s="6" t="n">
        <v>2021</v>
      </c>
      <c r="E236" s="3" t="inlineStr">
        <is>
          <t>Ethical issues in focus by the autonomous vehicles industry</t>
        </is>
      </c>
      <c r="F236" s="3" t="n"/>
      <c r="G236" s="5" t="inlineStr">
        <is>
          <t>Journal article</t>
        </is>
      </c>
      <c r="H236" s="5" t="inlineStr">
        <is>
          <t>10.1080/01441647.2020.1862355</t>
        </is>
      </c>
      <c r="I236" s="5" t="n"/>
      <c r="J236" s="3" t="n"/>
    </row>
    <row r="237" ht="42.75" customHeight="1" s="18">
      <c r="A237" s="5" t="inlineStr">
        <is>
          <t>S2-0231</t>
        </is>
      </c>
      <c r="B237" s="5" t="inlineStr">
        <is>
          <t>A</t>
        </is>
      </c>
      <c r="C237" s="3" t="inlineStr">
        <is>
          <t>Schmidt, T.; Philipsen, R.; Ziefle, M.</t>
        </is>
      </c>
      <c r="D237" s="6" t="n">
        <v>2017</v>
      </c>
      <c r="E237" s="3" t="inlineStr">
        <is>
          <t>Dos and don’ts of datasharing in V2X-Technology: User diverse perspectives in different traffic scenarios</t>
        </is>
      </c>
      <c r="F237" s="3" t="n"/>
      <c r="G237" s="5" t="inlineStr">
        <is>
          <t>Conference paper</t>
        </is>
      </c>
      <c r="H237" s="5" t="inlineStr">
        <is>
          <t>10.1007/978-3-319-63712-9_15</t>
        </is>
      </c>
      <c r="I237" s="5" t="n"/>
      <c r="J237" s="3" t="n"/>
    </row>
    <row r="238" ht="28.5" customHeight="1" s="18">
      <c r="A238" s="5" t="inlineStr">
        <is>
          <t>S2-0232</t>
        </is>
      </c>
      <c r="B238" s="5" t="inlineStr">
        <is>
          <t>A</t>
        </is>
      </c>
      <c r="C238" s="3" t="inlineStr">
        <is>
          <t>Jalwani, K.A.; Choudhury, S.R.</t>
        </is>
      </c>
      <c r="D238" s="6" t="n">
        <v>2023</v>
      </c>
      <c r="E238" s="3" t="inlineStr">
        <is>
          <t>Modeling of Barriers to the Adoption of Autonomous Vehicles: DEMATEL Method †</t>
        </is>
      </c>
      <c r="F238" s="3" t="n"/>
      <c r="G238" s="5" t="inlineStr">
        <is>
          <t>Journal article</t>
        </is>
      </c>
      <c r="H238" s="5" t="inlineStr">
        <is>
          <t>10.3390/engproc2023059116</t>
        </is>
      </c>
      <c r="I238" s="5" t="n"/>
      <c r="J238" s="3" t="n"/>
    </row>
    <row r="239" ht="28.5" customHeight="1" s="18">
      <c r="A239" s="5" t="inlineStr">
        <is>
          <t>S2-0233</t>
        </is>
      </c>
      <c r="B239" s="5" t="inlineStr">
        <is>
          <t>A</t>
        </is>
      </c>
      <c r="C239" s="3" t="inlineStr">
        <is>
          <t>Kyriakidis, M.; Happee, R.; De Winter, J.C.F.</t>
        </is>
      </c>
      <c r="D239" s="6" t="n">
        <v>2015</v>
      </c>
      <c r="E239" s="3" t="inlineStr">
        <is>
          <t>Public opinion on automated driving: Results of an international questionnaire among 5000 respondents</t>
        </is>
      </c>
      <c r="F239" s="3" t="n"/>
      <c r="G239" s="5" t="inlineStr">
        <is>
          <t>Journal article</t>
        </is>
      </c>
      <c r="H239" s="5" t="inlineStr">
        <is>
          <t>10.1016/j.trf.2015.04.014</t>
        </is>
      </c>
      <c r="I239" s="5" t="n"/>
      <c r="J239" s="3" t="n"/>
    </row>
    <row r="240" ht="28.5" customHeight="1" s="18">
      <c r="A240" s="5" t="inlineStr">
        <is>
          <t>S2-0234</t>
        </is>
      </c>
      <c r="B240" s="5" t="inlineStr">
        <is>
          <t>A</t>
        </is>
      </c>
      <c r="C240" s="3" t="inlineStr">
        <is>
          <t>von Veltheim, F.R.; Heise, H.</t>
        </is>
      </c>
      <c r="D240" s="6" t="n">
        <v>2020</v>
      </c>
      <c r="E240" s="3" t="inlineStr">
        <is>
          <t>The agtech startup perspective to farmers ex ante acceptance process of autonomous field robots</t>
        </is>
      </c>
      <c r="F240" s="3" t="n"/>
      <c r="G240" s="5" t="inlineStr">
        <is>
          <t>Journal article</t>
        </is>
      </c>
      <c r="H240" s="5" t="inlineStr">
        <is>
          <t>10.3390/su122410570</t>
        </is>
      </c>
      <c r="I240" s="5" t="n"/>
      <c r="J240" s="3" t="n"/>
    </row>
    <row r="241" ht="42.75" customHeight="1" s="18">
      <c r="A241" s="5" t="inlineStr">
        <is>
          <t>S2-0235</t>
        </is>
      </c>
      <c r="B241" s="5" t="inlineStr">
        <is>
          <t>A</t>
        </is>
      </c>
      <c r="C241" s="3" t="inlineStr">
        <is>
          <t>Schub, M.; Wintersberger, P.; Riener, A.</t>
        </is>
      </c>
      <c r="D241" s="6" t="n">
        <v>2021</v>
      </c>
      <c r="E241" s="3" t="inlineStr">
        <is>
          <t>Let's Share a Ride into the Future A Qalitative Study Comparing Hypothetical Implementation Scenarios of Automated Vehicles</t>
        </is>
      </c>
      <c r="F241" s="3" t="n"/>
      <c r="G241" s="5" t="inlineStr">
        <is>
          <t>Conference paper</t>
        </is>
      </c>
      <c r="H241" s="5" t="inlineStr">
        <is>
          <t>10.1145/3411764.3445609</t>
        </is>
      </c>
      <c r="I241" s="5" t="n"/>
      <c r="J241" s="3" t="n"/>
    </row>
    <row r="242" ht="28.5" customHeight="1" s="18">
      <c r="A242" s="5" t="inlineStr">
        <is>
          <t>S2-0236</t>
        </is>
      </c>
      <c r="B242" s="5" t="inlineStr">
        <is>
          <t>A</t>
        </is>
      </c>
      <c r="C242" s="3" t="inlineStr">
        <is>
          <t>Wang, N.; Tang, H.; Wang, Y.-J.; Huang, G.Q.</t>
        </is>
      </c>
      <c r="D242" s="6" t="n">
        <v>2024</v>
      </c>
      <c r="E242" s="3" t="inlineStr">
        <is>
          <t>Antecedents in rural residents' acceptance of autonomous vehicles</t>
        </is>
      </c>
      <c r="F242" s="3" t="n"/>
      <c r="G242" s="5" t="inlineStr">
        <is>
          <t>Journal article</t>
        </is>
      </c>
      <c r="H242" s="5" t="inlineStr">
        <is>
          <t>10.1016/j.trd.2024.104244</t>
        </is>
      </c>
      <c r="I242" s="5" t="n"/>
      <c r="J242" s="3" t="n"/>
    </row>
    <row r="243" ht="42.75" customHeight="1" s="18">
      <c r="A243" s="5" t="inlineStr">
        <is>
          <t>S2-0237</t>
        </is>
      </c>
      <c r="B243" s="5" t="inlineStr">
        <is>
          <t>A</t>
        </is>
      </c>
      <c r="C243" s="3" t="inlineStr">
        <is>
          <t>Ni, W.; Cheng, K.; Wang, F.; Fang, F.</t>
        </is>
      </c>
      <c r="D243" s="6" t="n">
        <v>2025</v>
      </c>
      <c r="E243" s="3" t="inlineStr">
        <is>
          <t>An empirical study of data security risks in China's intelligent connected vehicles: Public information processing and behavioral intentions</t>
        </is>
      </c>
      <c r="F243" s="3" t="n"/>
      <c r="G243" s="5" t="inlineStr">
        <is>
          <t>Journal article</t>
        </is>
      </c>
      <c r="H243" s="5" t="inlineStr">
        <is>
          <t>10.1016/j.tej.2025.107512</t>
        </is>
      </c>
      <c r="I243" s="5" t="n"/>
      <c r="J243" s="3" t="n"/>
    </row>
    <row r="244" ht="28.5" customHeight="1" s="18">
      <c r="A244" s="5" t="inlineStr">
        <is>
          <t>S2-0238</t>
        </is>
      </c>
      <c r="B244" s="5" t="inlineStr">
        <is>
          <t>A</t>
        </is>
      </c>
      <c r="C244" s="3" t="inlineStr">
        <is>
          <t>Beecroft, M.</t>
        </is>
      </c>
      <c r="D244" s="6" t="n">
        <v>2019</v>
      </c>
      <c r="E244" s="3" t="inlineStr">
        <is>
          <t>The future security of travel by public transport: A review of evidence</t>
        </is>
      </c>
      <c r="F244" s="3" t="n"/>
      <c r="G244" s="5" t="inlineStr">
        <is>
          <t>Journal article</t>
        </is>
      </c>
      <c r="H244" s="5" t="inlineStr">
        <is>
          <t>10.1016/j.rtbm.2019.100388</t>
        </is>
      </c>
      <c r="I244" s="5" t="n"/>
      <c r="J244" s="3" t="n"/>
    </row>
    <row r="245" ht="28.5" customHeight="1" s="18">
      <c r="A245" s="5" t="inlineStr">
        <is>
          <t>S2-0239</t>
        </is>
      </c>
      <c r="B245" s="5" t="inlineStr">
        <is>
          <t>A</t>
        </is>
      </c>
      <c r="C245" s="3" t="inlineStr">
        <is>
          <t>Oravec, J.A.</t>
        </is>
      </c>
      <c r="D245" s="6" t="n">
        <v>2021</v>
      </c>
      <c r="E245" s="3" t="inlineStr">
        <is>
          <t>Robots as the artificial “other” in the workplace: death by robot and anti-robot backlash</t>
        </is>
      </c>
      <c r="F245" s="3" t="n"/>
      <c r="G245" s="5" t="inlineStr">
        <is>
          <t>Journal article</t>
        </is>
      </c>
      <c r="H245" s="5" t="inlineStr">
        <is>
          <t>10.18848/2327-798x/cgp/v21i02/65-78</t>
        </is>
      </c>
      <c r="I245" s="5" t="n"/>
      <c r="J245" s="3" t="n"/>
    </row>
    <row r="246" ht="28.5" customHeight="1" s="18">
      <c r="A246" s="5" t="inlineStr">
        <is>
          <t>S2-0240</t>
        </is>
      </c>
      <c r="B246" s="5" t="inlineStr">
        <is>
          <t>A</t>
        </is>
      </c>
      <c r="C246" s="3" t="inlineStr">
        <is>
          <t>Zhou, X.; Li, S.; Ma, L.; Zhang, W.</t>
        </is>
      </c>
      <c r="D246" s="6" t="n">
        <v>2022</v>
      </c>
      <c r="E246" s="3" t="inlineStr">
        <is>
          <t>Driver's attitudes and preferences toward connected vehicle information system</t>
        </is>
      </c>
      <c r="F246" s="3" t="n"/>
      <c r="G246" s="5" t="inlineStr">
        <is>
          <t>Journal article</t>
        </is>
      </c>
      <c r="H246" s="5" t="inlineStr">
        <is>
          <t>10.1016/j.ergon.2022.103348</t>
        </is>
      </c>
      <c r="I246" s="5" t="n"/>
      <c r="J246" s="3" t="n"/>
    </row>
    <row r="247" ht="57" customHeight="1" s="18">
      <c r="A247" s="5" t="inlineStr">
        <is>
          <t>S2-0241</t>
        </is>
      </c>
      <c r="B247" s="5" t="inlineStr">
        <is>
          <t>A</t>
        </is>
      </c>
      <c r="C247" s="3" t="inlineStr">
        <is>
          <t>Koppel, S.; Logan, D.B.; Zou, X.; Kaviani, F.; McDonald, H.; Hair Jr, J.F.; St. Louis, R.M.; Molnar, L.J.; Charlton, J.L.</t>
        </is>
      </c>
      <c r="D247" s="6" t="n">
        <v>2024</v>
      </c>
      <c r="E247" s="3" t="inlineStr">
        <is>
          <t>Factors influencing behavioral intentions to use conditionally automated vehicles</t>
        </is>
      </c>
      <c r="F247" s="3" t="n"/>
      <c r="G247" s="5" t="inlineStr">
        <is>
          <t>Journal article</t>
        </is>
      </c>
      <c r="H247" s="5" t="inlineStr">
        <is>
          <t>10.1016/j.jsr.2024.10.006</t>
        </is>
      </c>
      <c r="I247" s="5" t="n"/>
      <c r="J247" s="3" t="n"/>
    </row>
    <row r="248" ht="42.75" customHeight="1" s="18">
      <c r="A248" s="5" t="inlineStr">
        <is>
          <t>S2-0242</t>
        </is>
      </c>
      <c r="B248" s="5" t="inlineStr">
        <is>
          <t>A</t>
        </is>
      </c>
      <c r="C248" s="3" t="inlineStr">
        <is>
          <t>Li, W.; Li, T.; Meng, Y.; Xu, X.; Ma, Z.</t>
        </is>
      </c>
      <c r="D248" s="6" t="n">
        <v>2024</v>
      </c>
      <c r="E248" s="3" t="inlineStr">
        <is>
          <t>College Students’ Cognition and Attitude Towards Connected and Autonomous Vehicles in China: an Exploratory Study</t>
        </is>
      </c>
      <c r="F248" s="3" t="n"/>
      <c r="G248" s="5" t="inlineStr">
        <is>
          <t>Journal article</t>
        </is>
      </c>
      <c r="H248" s="5" t="inlineStr">
        <is>
          <t>10.7307/ptt.v36i5.583</t>
        </is>
      </c>
      <c r="I248" s="5" t="n"/>
      <c r="J248" s="3" t="n"/>
    </row>
    <row r="249" ht="42.75" customHeight="1" s="18">
      <c r="A249" s="5" t="inlineStr">
        <is>
          <t>S2-0243</t>
        </is>
      </c>
      <c r="B249" s="5" t="inlineStr">
        <is>
          <t>A</t>
        </is>
      </c>
      <c r="C249" s="3" t="inlineStr">
        <is>
          <t>Maksimenko, V.; Li, X.; Kim, E.-J.; Bansal, P.</t>
        </is>
      </c>
      <c r="D249" s="6" t="n">
        <v>2025</v>
      </c>
      <c r="E249" s="3" t="inlineStr">
        <is>
          <t>Video-Based experiments better unveil societal biases towards ethical decisions of autonomous vehicles</t>
        </is>
      </c>
      <c r="F249" s="3" t="n"/>
      <c r="G249" s="5" t="inlineStr">
        <is>
          <t>Journal article</t>
        </is>
      </c>
      <c r="H249" s="5" t="inlineStr">
        <is>
          <t>10.1016/j.trc.2025.105284</t>
        </is>
      </c>
      <c r="I249" s="5" t="n"/>
      <c r="J249" s="3" t="n"/>
    </row>
    <row r="250" ht="57" customHeight="1" s="18">
      <c r="A250" s="5" t="inlineStr">
        <is>
          <t>S2-0244</t>
        </is>
      </c>
      <c r="B250" s="5" t="inlineStr">
        <is>
          <t>A</t>
        </is>
      </c>
      <c r="C250" s="3" t="inlineStr">
        <is>
          <t>Ahmed, S.S.; Pantangi, S.S.; Eker, U.; Fountas, G.; Still, S.E.; Anastasopoulos, P.C.</t>
        </is>
      </c>
      <c r="D250" s="6" t="n">
        <v>2020</v>
      </c>
      <c r="E250" s="3" t="inlineStr">
        <is>
          <t>Analysis of safety benefits and security concerns from the use of autonomous vehicles: A grouped random parameters bivariate probit approach with heterogeneity in means</t>
        </is>
      </c>
      <c r="F250" s="3" t="n"/>
      <c r="G250" s="5" t="inlineStr">
        <is>
          <t>Journal article</t>
        </is>
      </c>
      <c r="H250" s="5" t="inlineStr">
        <is>
          <t>10.1016/j.amar.2020.100134</t>
        </is>
      </c>
      <c r="I250" s="5" t="n"/>
      <c r="J250" s="3" t="n"/>
    </row>
    <row r="251" ht="28.5" customHeight="1" s="18">
      <c r="A251" s="5" t="inlineStr">
        <is>
          <t>S2-0245</t>
        </is>
      </c>
      <c r="B251" s="5" t="inlineStr">
        <is>
          <t>A</t>
        </is>
      </c>
      <c r="C251" s="3" t="inlineStr">
        <is>
          <t>Uysal, S.; Sandıkkaya, M.T.</t>
        </is>
      </c>
      <c r="D251" s="6" t="n">
        <v>2025</v>
      </c>
      <c r="E251" s="3" t="inlineStr">
        <is>
          <t>A survey on obstacles to the widespread use of connected and automated vehicles</t>
        </is>
      </c>
      <c r="F251" s="3" t="n"/>
      <c r="G251" s="5" t="inlineStr">
        <is>
          <t>Journal article</t>
        </is>
      </c>
      <c r="H251" s="5" t="inlineStr">
        <is>
          <t>10.3233/ais-230232</t>
        </is>
      </c>
      <c r="I251" s="5" t="n"/>
      <c r="J251" s="3" t="n"/>
    </row>
    <row r="252" ht="42.75" customHeight="1" s="18">
      <c r="A252" s="5" t="inlineStr">
        <is>
          <t>S2-0246</t>
        </is>
      </c>
      <c r="B252" s="5" t="inlineStr">
        <is>
          <t>A</t>
        </is>
      </c>
      <c r="C252" s="3" t="inlineStr">
        <is>
          <t>Poveda‐reyes, S.; Malviya, A.K.; García‐jiménez, E.; Molero, G.D.; Leva, M.C.; Santarremigia, F.E.</t>
        </is>
      </c>
      <c r="D252" s="6" t="n">
        <v>2021</v>
      </c>
      <c r="E252" s="3" t="inlineStr">
        <is>
          <t>Application of mathematical and computational methods to identify women’s priorities in transport</t>
        </is>
      </c>
      <c r="F252" s="3" t="n"/>
      <c r="G252" s="5" t="inlineStr">
        <is>
          <t>Journal article</t>
        </is>
      </c>
      <c r="H252" s="5" t="inlineStr">
        <is>
          <t>10.3390/su13052845</t>
        </is>
      </c>
      <c r="I252" s="5" t="n"/>
      <c r="J252" s="3" t="n"/>
    </row>
    <row r="253" ht="28.5" customHeight="1" s="18">
      <c r="A253" s="5" t="inlineStr">
        <is>
          <t>S2-0247</t>
        </is>
      </c>
      <c r="B253" s="5" t="inlineStr">
        <is>
          <t>A</t>
        </is>
      </c>
      <c r="C253" s="3" t="inlineStr">
        <is>
          <t>Ghaith, A.; Ma, H.; Ding, X.-H.</t>
        </is>
      </c>
      <c r="D253" s="6" t="n">
        <v>2025</v>
      </c>
      <c r="E253" s="3" t="inlineStr">
        <is>
          <t>Investigating user acceptance of fully autonomous vehicles in MENA region</t>
        </is>
      </c>
      <c r="F253" s="3" t="n"/>
      <c r="G253" s="5" t="inlineStr">
        <is>
          <t>Journal article</t>
        </is>
      </c>
      <c r="H253" s="5" t="inlineStr">
        <is>
          <t>10.1016/j.trf.2025.07.017</t>
        </is>
      </c>
      <c r="I253" s="5" t="n"/>
      <c r="J253" s="3" t="n"/>
    </row>
    <row r="254" ht="28.5" customHeight="1" s="18">
      <c r="A254" s="5" t="inlineStr">
        <is>
          <t>S2-0248</t>
        </is>
      </c>
      <c r="B254" s="5" t="inlineStr">
        <is>
          <t>A</t>
        </is>
      </c>
      <c r="C254" s="3" t="inlineStr">
        <is>
          <t>Wintersberger, S.; Azmat, M.; Kummer, S.</t>
        </is>
      </c>
      <c r="D254" s="6" t="n">
        <v>2019</v>
      </c>
      <c r="E254" s="3" t="inlineStr">
        <is>
          <t>Are We Ready to Ride Autonomous Vehicles? A Pilot Study on Austrian Consumers’ Perspective</t>
        </is>
      </c>
      <c r="F254" s="3" t="n"/>
      <c r="G254" s="5" t="inlineStr">
        <is>
          <t>Journal article</t>
        </is>
      </c>
      <c r="H254" s="5" t="inlineStr">
        <is>
          <t>10.3390/logistics3040020</t>
        </is>
      </c>
      <c r="I254" s="5" t="n"/>
      <c r="J254" s="3" t="n"/>
    </row>
    <row r="255" ht="28.5" customHeight="1" s="18">
      <c r="A255" s="5" t="inlineStr">
        <is>
          <t>S2-0249</t>
        </is>
      </c>
      <c r="B255" s="5" t="inlineStr">
        <is>
          <t>A</t>
        </is>
      </c>
      <c r="C255" s="3" t="inlineStr">
        <is>
          <t>Orfanou, F.P.; Vlahogianni, E.I.; Yannis, G.; Mitsakis, E.</t>
        </is>
      </c>
      <c r="D255" s="6" t="n">
        <v>2022</v>
      </c>
      <c r="E255" s="3" t="inlineStr">
        <is>
          <t>Humanizing autonomous vehicle driving: Understanding, modeling and impact assessment</t>
        </is>
      </c>
      <c r="F255" s="3" t="n"/>
      <c r="G255" s="5" t="inlineStr">
        <is>
          <t>Journal article</t>
        </is>
      </c>
      <c r="H255" s="5" t="inlineStr">
        <is>
          <t>10.1016/j.trf.2022.04.008</t>
        </is>
      </c>
      <c r="I255" s="5" t="n"/>
      <c r="J255" s="3" t="n"/>
    </row>
    <row r="256" ht="28.5" customHeight="1" s="18">
      <c r="A256" s="5" t="inlineStr">
        <is>
          <t>S2-0250</t>
        </is>
      </c>
      <c r="B256" s="5" t="inlineStr">
        <is>
          <t>A</t>
        </is>
      </c>
      <c r="C256" s="3" t="inlineStr">
        <is>
          <t>Vasudavan, H.; Shanmugam, K.; Ahmada, H.A.</t>
        </is>
      </c>
      <c r="D256" s="6" t="n">
        <v>2018</v>
      </c>
      <c r="E256" s="3" t="inlineStr">
        <is>
          <t>User perceptions in adopting cloud computing in autonomous vehicle</t>
        </is>
      </c>
      <c r="F256" s="3" t="n"/>
      <c r="G256" s="5" t="inlineStr">
        <is>
          <t>Conference paper</t>
        </is>
      </c>
      <c r="H256" s="5" t="inlineStr">
        <is>
          <t>10.1145/3301551.3301583</t>
        </is>
      </c>
      <c r="I256" s="5" t="n"/>
      <c r="J256" s="3" t="n"/>
    </row>
    <row r="257" ht="28.5" customHeight="1" s="18">
      <c r="A257" s="5" t="inlineStr">
        <is>
          <t>S2-0251</t>
        </is>
      </c>
      <c r="B257" s="5" t="inlineStr">
        <is>
          <t>A</t>
        </is>
      </c>
      <c r="C257" s="3" t="inlineStr">
        <is>
          <t>Xiao, H.; Deng, Y.; Wen, H.; Yi, X.</t>
        </is>
      </c>
      <c r="D257" s="6" t="n">
        <v>2025</v>
      </c>
      <c r="E257" s="3" t="inlineStr">
        <is>
          <t>Consumer Perception and Industrial Barriers in the ADAS Market</t>
        </is>
      </c>
      <c r="F257" s="3" t="n"/>
      <c r="G257" s="5" t="inlineStr">
        <is>
          <t>Conference paper</t>
        </is>
      </c>
      <c r="H257" s="5" t="inlineStr">
        <is>
          <t>10.1007/978-3-031-99477-7_30</t>
        </is>
      </c>
      <c r="I257" s="5" t="n"/>
      <c r="J257" s="3" t="n"/>
    </row>
    <row r="258" ht="28.5" customHeight="1" s="18">
      <c r="A258" s="5" t="inlineStr">
        <is>
          <t>S2-0252</t>
        </is>
      </c>
      <c r="B258" s="5" t="inlineStr">
        <is>
          <t>A</t>
        </is>
      </c>
      <c r="C258" s="3" t="inlineStr">
        <is>
          <t>López-Lambas, M.E.; Alonso, A.</t>
        </is>
      </c>
      <c r="D258" s="6" t="n">
        <v>2019</v>
      </c>
      <c r="E258" s="3" t="inlineStr">
        <is>
          <t>The driverless bus: An analysis of public perceptions and acceptability</t>
        </is>
      </c>
      <c r="F258" s="3" t="n"/>
      <c r="G258" s="5" t="inlineStr">
        <is>
          <t>Journal article</t>
        </is>
      </c>
      <c r="H258" s="5" t="inlineStr">
        <is>
          <t>10.3390/su11184986</t>
        </is>
      </c>
      <c r="I258" s="5" t="n"/>
      <c r="J258" s="3" t="n"/>
    </row>
    <row r="259" ht="28.5" customHeight="1" s="18">
      <c r="A259" s="5" t="inlineStr">
        <is>
          <t>S2-0253</t>
        </is>
      </c>
      <c r="B259" s="5" t="inlineStr">
        <is>
          <t>A</t>
        </is>
      </c>
      <c r="C259" s="3" t="inlineStr">
        <is>
          <t>Brell, T.; Philipsen, R.; Ziefle, M.</t>
        </is>
      </c>
      <c r="D259" s="6" t="n">
        <v>2019</v>
      </c>
      <c r="E259" s="3" t="inlineStr">
        <is>
          <t>Suspicious minds?–users’ perceptions of autonomous and connected driving</t>
        </is>
      </c>
      <c r="F259" s="3" t="n"/>
      <c r="G259" s="5" t="inlineStr">
        <is>
          <t>Journal article</t>
        </is>
      </c>
      <c r="H259" s="5" t="inlineStr">
        <is>
          <t>10.1080/1463922x.2018.1485985</t>
        </is>
      </c>
      <c r="I259" s="5" t="n"/>
      <c r="J259" s="3" t="n"/>
    </row>
    <row r="260" ht="57" customHeight="1" s="18">
      <c r="A260" s="5" t="inlineStr">
        <is>
          <t>S2-0254</t>
        </is>
      </c>
      <c r="B260" s="5" t="inlineStr">
        <is>
          <t>A</t>
        </is>
      </c>
      <c r="C260" s="3" t="inlineStr">
        <is>
          <t>Song, R.; Potoglou, D.; Fayyaz, N.; Ashraf, M.; Stawarz, K.; Theodorakopoulos, G.; Edwards, T.; Thomas, E.; Cherdantseva, Y.</t>
        </is>
      </c>
      <c r="D260" s="6" t="n">
        <v>2025</v>
      </c>
      <c r="E260" s="3" t="inlineStr">
        <is>
          <t>Digital roads and data ethics: Exploring the road users’ perspective</t>
        </is>
      </c>
      <c r="F260" s="3" t="n"/>
      <c r="G260" s="5" t="inlineStr">
        <is>
          <t>Journal article</t>
        </is>
      </c>
      <c r="H260" s="5" t="inlineStr">
        <is>
          <t>10.1016/j.trf.2025.103330</t>
        </is>
      </c>
      <c r="I260" s="5" t="n"/>
      <c r="J260" s="3" t="n"/>
    </row>
    <row r="261" ht="42.75" customHeight="1" s="18">
      <c r="A261" s="5" t="inlineStr">
        <is>
          <t>S2-0255</t>
        </is>
      </c>
      <c r="B261" s="5" t="inlineStr">
        <is>
          <t>A</t>
        </is>
      </c>
      <c r="C261" s="3" t="inlineStr">
        <is>
          <t>Martínez-Buelvas, L.; Rakotonirainy, A.; Grant-Smith, D.; Oviedo-Trespalacios, O.</t>
        </is>
      </c>
      <c r="D261" s="6" t="n">
        <v>2025</v>
      </c>
      <c r="E261" s="3" t="inlineStr">
        <is>
          <t>Policy considerations for the safe and equitable integration of Connected and Automated Vehicles</t>
        </is>
      </c>
      <c r="F261" s="3" t="n"/>
      <c r="G261" s="5" t="inlineStr">
        <is>
          <t>Journal article</t>
        </is>
      </c>
      <c r="H261" s="5" t="inlineStr">
        <is>
          <t>10.1016/j.cstp.2025.101631</t>
        </is>
      </c>
      <c r="I261" s="5" t="n"/>
      <c r="J261" s="3" t="n"/>
    </row>
    <row r="262" ht="28.5" customHeight="1" s="18">
      <c r="A262" s="5" t="inlineStr">
        <is>
          <t>S2-0256</t>
        </is>
      </c>
      <c r="B262" s="5" t="inlineStr">
        <is>
          <t>A</t>
        </is>
      </c>
      <c r="C262" s="3" t="inlineStr">
        <is>
          <t>Xie, H.; David, A.; Mamun, M.R.A.; Prybutok, V.R.; Sidorova, A.</t>
        </is>
      </c>
      <c r="D262" s="6" t="n">
        <v>2023</v>
      </c>
      <c r="E262" s="3" t="inlineStr">
        <is>
          <t>The formation of initial trust by potential passengers of self-driving taxis</t>
        </is>
      </c>
      <c r="F262" s="3" t="n"/>
      <c r="G262" s="5" t="inlineStr">
        <is>
          <t>Journal article</t>
        </is>
      </c>
      <c r="H262" s="5" t="inlineStr">
        <is>
          <t>10.1080/12460125.2021.2023258</t>
        </is>
      </c>
      <c r="I262" s="5" t="n"/>
      <c r="J262" s="3" t="n"/>
    </row>
    <row r="263" ht="42.75" customHeight="1" s="18">
      <c r="A263" s="5" t="inlineStr">
        <is>
          <t>S2-0257</t>
        </is>
      </c>
      <c r="B263" s="5" t="inlineStr">
        <is>
          <t>A</t>
        </is>
      </c>
      <c r="C263" s="3" t="inlineStr">
        <is>
          <t>Pattinson, J.-A.; Holter, C.T.; Grieman, K.; Salvini, P.; Kunze, L.; Jirotka, M.</t>
        </is>
      </c>
      <c r="D263" s="6" t="n">
        <v>2024</v>
      </c>
      <c r="E263" s="3" t="inlineStr">
        <is>
          <t>I can do anything with my AV data (but I won't do that): Public attitudes towards data recorders in self-driving cars</t>
        </is>
      </c>
      <c r="F263" s="3" t="n"/>
      <c r="G263" s="5" t="inlineStr">
        <is>
          <t>Conference paper</t>
        </is>
      </c>
      <c r="H263" s="5" t="inlineStr">
        <is>
          <t>10.1145/3686038.3686054</t>
        </is>
      </c>
      <c r="I263" s="5" t="n"/>
      <c r="J263" s="3" t="n"/>
    </row>
    <row r="264" ht="28.5" customHeight="1" s="18">
      <c r="A264" s="5" t="inlineStr">
        <is>
          <t>S2-0258</t>
        </is>
      </c>
      <c r="B264" s="5" t="inlineStr">
        <is>
          <t>A</t>
        </is>
      </c>
      <c r="C264" s="3" t="inlineStr">
        <is>
          <t>Radhakrishnan, J.; Chattopadhyay, M.</t>
        </is>
      </c>
      <c r="D264" s="6" t="n">
        <v>2020</v>
      </c>
      <c r="E264" s="3" t="inlineStr">
        <is>
          <t>Determinants and Barriers of Artificial Intelligence Adoption – A Literature Review</t>
        </is>
      </c>
      <c r="F264" s="3" t="n"/>
      <c r="G264" s="5" t="inlineStr">
        <is>
          <t>Conference paper</t>
        </is>
      </c>
      <c r="H264" s="5" t="inlineStr">
        <is>
          <t>10.1007/978-3-030-64849-7_9</t>
        </is>
      </c>
      <c r="I264" s="5" t="n"/>
      <c r="J264" s="3" t="n"/>
    </row>
    <row r="265" ht="28.5" customHeight="1" s="18">
      <c r="A265" s="5" t="inlineStr">
        <is>
          <t>S2-0259</t>
        </is>
      </c>
      <c r="B265" s="5" t="inlineStr">
        <is>
          <t>A</t>
        </is>
      </c>
      <c r="C265" s="3" t="inlineStr">
        <is>
          <t>Alotaibi, S.; Omer, S.; Aljarallah, S.; Su, Y.</t>
        </is>
      </c>
      <c r="D265" s="6" t="n">
        <v>2021</v>
      </c>
      <c r="E265" s="3" t="inlineStr">
        <is>
          <t>Potential implementation of EVs - Features, Challenges and User perspective</t>
        </is>
      </c>
      <c r="F265" s="3" t="n"/>
      <c r="G265" s="5" t="inlineStr">
        <is>
          <t>Conference paper</t>
        </is>
      </c>
      <c r="H265" s="5" t="inlineStr">
        <is>
          <t>10.1109/igessc53124.2021.9618697</t>
        </is>
      </c>
      <c r="I265" s="5" t="n"/>
      <c r="J265" s="3" t="n"/>
    </row>
    <row r="266" ht="42.75" customHeight="1" s="18">
      <c r="A266" s="5" t="inlineStr">
        <is>
          <t>S2-0260</t>
        </is>
      </c>
      <c r="B266" s="5" t="inlineStr">
        <is>
          <t>A</t>
        </is>
      </c>
      <c r="C266" s="3" t="inlineStr">
        <is>
          <t>Luca, O.; Andrei, L.</t>
        </is>
      </c>
      <c r="D266" s="6" t="n">
        <v>2024</v>
      </c>
      <c r="E266" s="3" t="inlineStr">
        <is>
          <t>THE IMPACT OF AUTONOMOUS VEHICLES ON THE CITY STRUCTURE: A CASE STUDY IN ROMANIAN UNIVERSITIES</t>
        </is>
      </c>
      <c r="F266" s="3" t="n"/>
      <c r="G266" s="5" t="inlineStr">
        <is>
          <t>Journal article</t>
        </is>
      </c>
      <c r="H266" s="5" t="n"/>
      <c r="I266" s="5" t="n"/>
      <c r="J266" s="3" t="n"/>
    </row>
    <row r="267" ht="28.5" customHeight="1" s="18">
      <c r="A267" s="5" t="inlineStr">
        <is>
          <t>S2-0261</t>
        </is>
      </c>
      <c r="B267" s="5" t="inlineStr">
        <is>
          <t>A</t>
        </is>
      </c>
      <c r="C267" s="3" t="inlineStr">
        <is>
          <t>Li, L.; Chen, J.-C.; Xu, Z.-G.; Yang, W.-C.; Liu, Y.-T.; Lu, Q.-C.</t>
        </is>
      </c>
      <c r="D267" s="6" t="n">
        <v>2024</v>
      </c>
      <c r="E267" s="3" t="inlineStr">
        <is>
          <t>The impact of people's subjective perception on their acceptance of automated vehicles: A meta-analysis</t>
        </is>
      </c>
      <c r="F267" s="3" t="n"/>
      <c r="G267" s="5" t="inlineStr">
        <is>
          <t>Journal article</t>
        </is>
      </c>
      <c r="H267" s="5" t="inlineStr">
        <is>
          <t>10.1016/j.trf.2024.03.015</t>
        </is>
      </c>
      <c r="I267" s="5" t="n"/>
      <c r="J267" s="3" t="n"/>
    </row>
    <row r="268" ht="42.75" customHeight="1" s="18">
      <c r="A268" s="5" t="inlineStr">
        <is>
          <t>S2-0262</t>
        </is>
      </c>
      <c r="B268" s="5" t="inlineStr">
        <is>
          <t>A</t>
        </is>
      </c>
      <c r="C268" s="3" t="inlineStr">
        <is>
          <t>Iranmanesh, M.; Ghobakhloo, M.; Foroughi, B.; Nilashi, M.; Yadegaridehkordi, E.</t>
        </is>
      </c>
      <c r="D268" s="6" t="n">
        <v>2024</v>
      </c>
      <c r="E268" s="3" t="inlineStr">
        <is>
          <t>Factors influencing attitude and intention to use autonomous vehicles in Vietnam: findings from PLS-SEM and ANFIS</t>
        </is>
      </c>
      <c r="F268" s="3" t="n"/>
      <c r="G268" s="5" t="inlineStr">
        <is>
          <t>Journal article</t>
        </is>
      </c>
      <c r="H268" s="5" t="inlineStr">
        <is>
          <t>10.1108/itp-11-2022-0825</t>
        </is>
      </c>
      <c r="I268" s="5" t="n"/>
      <c r="J268" s="3" t="n"/>
    </row>
    <row r="269" ht="42.75" customHeight="1" s="18">
      <c r="A269" s="5" t="inlineStr">
        <is>
          <t>S2-0263</t>
        </is>
      </c>
      <c r="B269" s="5" t="inlineStr">
        <is>
          <t>A</t>
        </is>
      </c>
      <c r="C269" s="3" t="inlineStr">
        <is>
          <t>Liu, M.; Wu, J.; Zhu, C.; Hu, K.</t>
        </is>
      </c>
      <c r="D269" s="6" t="n">
        <v>2022</v>
      </c>
      <c r="E269" s="3" t="inlineStr">
        <is>
          <t>Factors Influencing the Acceptance of Robo-Taxi Services in China: An Extended Technology Acceptance Model Analysis</t>
        </is>
      </c>
      <c r="F269" s="3" t="n"/>
      <c r="G269" s="5" t="inlineStr">
        <is>
          <t>Journal article</t>
        </is>
      </c>
      <c r="H269" s="5" t="inlineStr">
        <is>
          <t>10.1155/2022/8461212</t>
        </is>
      </c>
      <c r="I269" s="5" t="n"/>
      <c r="J269" s="3" t="n"/>
    </row>
    <row r="270" ht="28.5" customHeight="1" s="18">
      <c r="A270" s="5" t="inlineStr">
        <is>
          <t>S2-0264</t>
        </is>
      </c>
      <c r="B270" s="5" t="inlineStr">
        <is>
          <t>A</t>
        </is>
      </c>
      <c r="C270" s="3" t="inlineStr">
        <is>
          <t>Lokshina, I.; Kniezova, J.; Lanting, C.</t>
        </is>
      </c>
      <c r="D270" s="6" t="n">
        <v>2021</v>
      </c>
      <c r="E270" s="3" t="inlineStr">
        <is>
          <t>On Building Users' Initial Trust in Autonomous Vehicles</t>
        </is>
      </c>
      <c r="F270" s="3" t="n"/>
      <c r="G270" s="5" t="inlineStr">
        <is>
          <t>Conference paper</t>
        </is>
      </c>
      <c r="H270" s="5" t="inlineStr">
        <is>
          <t>10.1016/j.procs.2021.12.205</t>
        </is>
      </c>
      <c r="I270" s="5" t="n"/>
      <c r="J270" s="3" t="n"/>
    </row>
    <row r="271" ht="57" customHeight="1" s="18">
      <c r="A271" s="5" t="inlineStr">
        <is>
          <t>S2-0265</t>
        </is>
      </c>
      <c r="B271" s="5" t="inlineStr">
        <is>
          <t>A</t>
        </is>
      </c>
      <c r="C271" s="3" t="inlineStr">
        <is>
          <t>Street, J.; Barrie, H.; Eliott, J.; Carolan, L.; McCorry, F.; Cebulla, A.; Phillipson, L.; Prokopovich, K.; Hanson-Easey, S.; Burgess, T.</t>
        </is>
      </c>
      <c r="D271" s="6" t="n">
        <v>2022</v>
      </c>
      <c r="E271" s="3" t="inlineStr">
        <is>
          <t>Older Adults’ Perspectives of Smart Technologies to Support Aging at Home: Insights from Five World Café Forums</t>
        </is>
      </c>
      <c r="F271" s="3" t="n"/>
      <c r="G271" s="5" t="inlineStr">
        <is>
          <t>Journal article</t>
        </is>
      </c>
      <c r="H271" s="5" t="inlineStr">
        <is>
          <t>10.3390/ijerph19137817</t>
        </is>
      </c>
      <c r="I271" s="5" t="n"/>
      <c r="J271" s="3" t="n"/>
    </row>
    <row r="272" ht="42.75" customHeight="1" s="18">
      <c r="A272" s="5" t="inlineStr">
        <is>
          <t>S2-0266</t>
        </is>
      </c>
      <c r="B272" s="5" t="inlineStr">
        <is>
          <t>A</t>
        </is>
      </c>
      <c r="C272" s="3" t="inlineStr">
        <is>
          <t>Cai, Y.; Wang, H.; Ong, G.P.; Meng, Q.; Lee, D.-H.</t>
        </is>
      </c>
      <c r="D272" s="6" t="n">
        <v>2019</v>
      </c>
      <c r="E272" s="3" t="inlineStr">
        <is>
          <t>Investigating user perception on autonomous vehicle (AV) based mobility-on-demand (MOD) services in Singapore using the logit kernel approach</t>
        </is>
      </c>
      <c r="F272" s="3" t="n"/>
      <c r="G272" s="5" t="inlineStr">
        <is>
          <t>Journal article</t>
        </is>
      </c>
      <c r="H272" s="5" t="inlineStr">
        <is>
          <t>10.1007/s11116-019-10032-8</t>
        </is>
      </c>
      <c r="I272" s="5" t="n"/>
      <c r="J272" s="3" t="n"/>
    </row>
    <row r="273" ht="42.75" customHeight="1" s="18">
      <c r="A273" s="5" t="inlineStr">
        <is>
          <t>S2-0267</t>
        </is>
      </c>
      <c r="B273" s="5" t="inlineStr">
        <is>
          <t>A</t>
        </is>
      </c>
      <c r="C273" s="3" t="inlineStr">
        <is>
          <t>Mathis, L.-A.; Widlroither, H.; Traub, N.</t>
        </is>
      </c>
      <c r="D273" s="6" t="n">
        <v>2021</v>
      </c>
      <c r="E273" s="3" t="inlineStr">
        <is>
          <t>Towards Future Interior Concepts: User Perception and Requirements for the Use Case Working in the Autonomous Car</t>
        </is>
      </c>
      <c r="F273" s="3" t="n"/>
      <c r="G273" s="5" t="inlineStr">
        <is>
          <t>Conference paper</t>
        </is>
      </c>
      <c r="H273" s="5" t="inlineStr">
        <is>
          <t>10.1007/978-3-030-80012-3_37</t>
        </is>
      </c>
      <c r="I273" s="5" t="n"/>
      <c r="J273" s="3" t="n"/>
    </row>
    <row r="274" ht="28.5" customHeight="1" s="18">
      <c r="A274" s="5" t="inlineStr">
        <is>
          <t>S2-0268</t>
        </is>
      </c>
      <c r="B274" s="5" t="inlineStr">
        <is>
          <t>A</t>
        </is>
      </c>
      <c r="C274" s="3" t="inlineStr">
        <is>
          <t>Bloom, C.; Tan, J.; Ramjohn, J.; Bauer, L.</t>
        </is>
      </c>
      <c r="D274" s="6" t="n">
        <v>2017</v>
      </c>
      <c r="E274" s="3" t="inlineStr">
        <is>
          <t>Self-driving cars and data collection: Privacy perceptions of networked autonomous vehicles</t>
        </is>
      </c>
      <c r="F274" s="3" t="n"/>
      <c r="G274" s="5" t="inlineStr">
        <is>
          <t>Conference paper</t>
        </is>
      </c>
      <c r="H274" s="5" t="n"/>
      <c r="I274" s="5" t="n"/>
      <c r="J274" s="3" t="n"/>
    </row>
    <row r="275" ht="42.75" customHeight="1" s="18">
      <c r="A275" s="5" t="inlineStr">
        <is>
          <t>S2-0269</t>
        </is>
      </c>
      <c r="B275" s="5" t="inlineStr">
        <is>
          <t>A</t>
        </is>
      </c>
      <c r="C275" s="3" t="inlineStr">
        <is>
          <t>Nwokoye, C.N.H.; Okeke, V.O.S.; Roseline, P.; Okoronkwo, E.</t>
        </is>
      </c>
      <c r="D275" s="6" t="n">
        <v>2022</v>
      </c>
      <c r="E275" s="3" t="inlineStr">
        <is>
          <t>The Mythical or Realistic Implementation of AI-powered Driverless Cars in Africa: A Review of Challenges and Risks</t>
        </is>
      </c>
      <c r="F275" s="3" t="n"/>
      <c r="G275" s="5" t="inlineStr">
        <is>
          <t>Conference paper</t>
        </is>
      </c>
      <c r="H275" s="5" t="inlineStr">
        <is>
          <t>10.1007/978-981-16-4016-2_65</t>
        </is>
      </c>
      <c r="I275" s="5" t="n"/>
      <c r="J275" s="3" t="n"/>
    </row>
    <row r="276" ht="42.75" customHeight="1" s="18">
      <c r="A276" s="5" t="inlineStr">
        <is>
          <t>S2-0270</t>
        </is>
      </c>
      <c r="B276" s="5" t="inlineStr">
        <is>
          <t>A</t>
        </is>
      </c>
      <c r="C276" s="3" t="inlineStr">
        <is>
          <t>Woldeamanuel, M.; Nguyen, D.</t>
        </is>
      </c>
      <c r="D276" s="6" t="n">
        <v>2018</v>
      </c>
      <c r="E276" s="3" t="inlineStr">
        <is>
          <t>Perceived benefits and concerns of autonomous vehicles: An exploratory study of millennials’ sentiments of an emerging market</t>
        </is>
      </c>
      <c r="F276" s="3" t="n"/>
      <c r="G276" s="5" t="inlineStr">
        <is>
          <t>Journal article</t>
        </is>
      </c>
      <c r="H276" s="5" t="inlineStr">
        <is>
          <t>10.1016/j.retrec.2018.06.006</t>
        </is>
      </c>
      <c r="I276" s="5" t="n"/>
      <c r="J276" s="3" t="n"/>
    </row>
    <row r="277" ht="42.75" customHeight="1" s="18">
      <c r="A277" s="5" t="inlineStr">
        <is>
          <t>S2-0271</t>
        </is>
      </c>
      <c r="B277" s="5" t="inlineStr">
        <is>
          <t>A</t>
        </is>
      </c>
      <c r="C277" s="3" t="inlineStr">
        <is>
          <t>Pervez, A.; Marazi, N.F.; Majumdar, B.B.; Ruizhi, M.; Lee, J.; Sahu, P.K.</t>
        </is>
      </c>
      <c r="D277" s="6" t="n">
        <v>2025</v>
      </c>
      <c r="E277" s="3" t="inlineStr">
        <is>
          <t>Investigating Indian Commuters’ Perceived Crime Risk on Autonomous Public Buses and Ride-Pooling Services</t>
        </is>
      </c>
      <c r="F277" s="3" t="n"/>
      <c r="G277" s="5" t="inlineStr">
        <is>
          <t>Journal article</t>
        </is>
      </c>
      <c r="H277" s="5" t="inlineStr">
        <is>
          <t>10.1177/03611981241257514</t>
        </is>
      </c>
      <c r="I277" s="5" t="n"/>
      <c r="J277" s="3" t="n"/>
    </row>
    <row r="278" ht="42.75" customHeight="1" s="18">
      <c r="A278" s="5" t="inlineStr">
        <is>
          <t>S2-0272</t>
        </is>
      </c>
      <c r="B278" s="5" t="inlineStr">
        <is>
          <t>A</t>
        </is>
      </c>
      <c r="C278" s="3" t="inlineStr">
        <is>
          <t>Sharma, I.; Mishra, S.</t>
        </is>
      </c>
      <c r="D278" s="6" t="n">
        <v>2022</v>
      </c>
      <c r="E278" s="3" t="inlineStr">
        <is>
          <t>Quantifying the consumer's dependence on different information sources on acceptance of autonomous vehicles</t>
        </is>
      </c>
      <c r="F278" s="3" t="n"/>
      <c r="G278" s="5" t="inlineStr">
        <is>
          <t>Journal article</t>
        </is>
      </c>
      <c r="H278" s="5" t="inlineStr">
        <is>
          <t>10.1016/j.tra.2022.04.009</t>
        </is>
      </c>
      <c r="I278" s="5" t="n"/>
      <c r="J278" s="3" t="n"/>
    </row>
    <row r="279" ht="85.5" customHeight="1" s="18">
      <c r="A279" s="5" t="inlineStr">
        <is>
          <t>S2-0273</t>
        </is>
      </c>
      <c r="B279" s="5" t="inlineStr">
        <is>
          <t>A</t>
        </is>
      </c>
      <c r="C279" s="3" t="inlineStr">
        <is>
          <t>Hussein, S.; Nasiruddeen Muhammad, N.M.; Eman Abu Shabab, E.; Saad Amin, S.; Hussain Al-Ahmad, H.; Mukhtar, H.; Mohammad Rababa, M.; Burkhard Schafer, B.</t>
        </is>
      </c>
      <c r="D279" s="6" t="n">
        <v>2023</v>
      </c>
      <c r="E279" s="3" t="inlineStr">
        <is>
          <t>Users' Perception of Data Privacy in Self-Driving Vehicles in Dubai</t>
        </is>
      </c>
      <c r="F279" s="3" t="n"/>
      <c r="G279" s="5" t="inlineStr">
        <is>
          <t>Conference paper</t>
        </is>
      </c>
      <c r="H279" s="5" t="inlineStr">
        <is>
          <t>10.4271/2023-01-1908</t>
        </is>
      </c>
      <c r="I279" s="5" t="n"/>
      <c r="J279" s="3" t="n"/>
    </row>
    <row r="280" ht="42.75" customHeight="1" s="18">
      <c r="A280" s="5" t="inlineStr">
        <is>
          <t>S2-0274</t>
        </is>
      </c>
      <c r="B280" s="5" t="inlineStr">
        <is>
          <t>A</t>
        </is>
      </c>
      <c r="C280" s="3" t="inlineStr">
        <is>
          <t>Gurumurthy, K.M.; Kockelman, K.M.</t>
        </is>
      </c>
      <c r="D280" s="6" t="n">
        <v>2020</v>
      </c>
      <c r="E280" s="3" t="inlineStr">
        <is>
          <t>Modeling Americans’ autonomous vehicle preferences: A focus on dynamic ride-sharing, privacy &amp; long-distance mode choices</t>
        </is>
      </c>
      <c r="F280" s="3" t="n"/>
      <c r="G280" s="5" t="inlineStr">
        <is>
          <t>Journal article</t>
        </is>
      </c>
      <c r="H280" s="5" t="inlineStr">
        <is>
          <t>10.1016/j.techfore.2019.119792</t>
        </is>
      </c>
      <c r="I280" s="5" t="n"/>
      <c r="J280" s="3" t="n"/>
    </row>
    <row r="281" ht="28.5" customHeight="1" s="18">
      <c r="A281" s="5" t="inlineStr">
        <is>
          <t>S2-0275</t>
        </is>
      </c>
      <c r="B281" s="5" t="inlineStr">
        <is>
          <t>A</t>
        </is>
      </c>
      <c r="C281" s="3" t="inlineStr">
        <is>
          <t>Vongvit, R.; Lee, J.; Itoh, M.; Lee, S.C.</t>
        </is>
      </c>
      <c r="D281" s="6" t="n">
        <v>2022</v>
      </c>
      <c r="E281" s="3" t="inlineStr">
        <is>
          <t>Meta-Trend of Trust Factors in Autonomous Vehicles</t>
        </is>
      </c>
      <c r="F281" s="3" t="n"/>
      <c r="G281" s="5" t="inlineStr">
        <is>
          <t>Conference paper</t>
        </is>
      </c>
      <c r="H281" s="5" t="inlineStr">
        <is>
          <t>10.1145/3544999.3552528</t>
        </is>
      </c>
      <c r="I281" s="5" t="n"/>
      <c r="J281" s="3" t="n"/>
    </row>
    <row r="282" ht="28.5" customHeight="1" s="18">
      <c r="A282" s="5" t="inlineStr">
        <is>
          <t>S2-0276</t>
        </is>
      </c>
      <c r="B282" s="5" t="inlineStr">
        <is>
          <t>A</t>
        </is>
      </c>
      <c r="C282" s="3" t="inlineStr">
        <is>
          <t>Wakam Younang, V.C.; Yang, J.; Jacuinde, L.G.; Sen, A.</t>
        </is>
      </c>
      <c r="D282" s="6" t="n">
        <v>2023</v>
      </c>
      <c r="E282" s="3" t="inlineStr">
        <is>
          <t>A Comparative Analysis of User’s Concerns and Government Policies on Autonomous Vehicles</t>
        </is>
      </c>
      <c r="F282" s="3" t="n"/>
      <c r="G282" s="5" t="inlineStr">
        <is>
          <t>Conference paper</t>
        </is>
      </c>
      <c r="H282" s="5" t="inlineStr">
        <is>
          <t>10.1007/978-3-031-23582-5_4</t>
        </is>
      </c>
      <c r="I282" s="5" t="n"/>
      <c r="J282" s="3" t="n"/>
    </row>
    <row r="283" ht="28.5" customHeight="1" s="18">
      <c r="A283" s="5" t="inlineStr">
        <is>
          <t>S2-0277</t>
        </is>
      </c>
      <c r="B283" s="5" t="inlineStr">
        <is>
          <t>A</t>
        </is>
      </c>
      <c r="C283" s="3" t="inlineStr">
        <is>
          <t>Koul, S.; Eydgahi, A.</t>
        </is>
      </c>
      <c r="D283" s="6" t="n">
        <v>2018</v>
      </c>
      <c r="E283" s="3" t="inlineStr">
        <is>
          <t>Utilizing technology acceptance model (Tam) for driverless car technology adoption</t>
        </is>
      </c>
      <c r="F283" s="3" t="n"/>
      <c r="G283" s="5" t="inlineStr">
        <is>
          <t>Journal article</t>
        </is>
      </c>
      <c r="H283" s="5" t="inlineStr">
        <is>
          <t>10.4067/s0718-27242018000400037</t>
        </is>
      </c>
      <c r="I283" s="5" t="n"/>
      <c r="J283" s="3" t="n"/>
    </row>
    <row r="284" ht="42.75" customHeight="1" s="18">
      <c r="A284" s="5" t="inlineStr">
        <is>
          <t>S2-0278</t>
        </is>
      </c>
      <c r="B284" s="5" t="inlineStr">
        <is>
          <t>A</t>
        </is>
      </c>
      <c r="C284" s="3" t="inlineStr">
        <is>
          <t>Dichabeng, P.; Merat, N.; Markkula, G.</t>
        </is>
      </c>
      <c r="D284" s="6" t="n">
        <v>2021</v>
      </c>
      <c r="E284" s="3" t="inlineStr">
        <is>
          <t>Factors that influence the acceptance of future shared automated vehicles – A focus group study with United Kingdom drivers</t>
        </is>
      </c>
      <c r="F284" s="3" t="n"/>
      <c r="G284" s="5" t="inlineStr">
        <is>
          <t>Journal article</t>
        </is>
      </c>
      <c r="H284" s="5" t="inlineStr">
        <is>
          <t>10.1016/j.trf.2021.08.009</t>
        </is>
      </c>
      <c r="I284" s="5" t="n"/>
      <c r="J284" s="3" t="n"/>
    </row>
    <row r="285" ht="42.75" customHeight="1" s="18">
      <c r="A285" s="5" t="inlineStr">
        <is>
          <t>S2-0279</t>
        </is>
      </c>
      <c r="B285" s="5" t="inlineStr">
        <is>
          <t>A</t>
        </is>
      </c>
      <c r="C285" s="3" t="inlineStr">
        <is>
          <t>Ka, E.; Ukkusuri, S.V.</t>
        </is>
      </c>
      <c r="D285" s="6" t="n">
        <v>2025</v>
      </c>
      <c r="E285" s="3" t="inlineStr">
        <is>
          <t>Route guidance attacks in cyber transportation networks: a user-centered study of behavioral sensitivity</t>
        </is>
      </c>
      <c r="F285" s="3" t="n"/>
      <c r="G285" s="5" t="inlineStr">
        <is>
          <t>Journal article</t>
        </is>
      </c>
      <c r="H285" s="5" t="inlineStr">
        <is>
          <t>10.1016/j.trf.2025.103354</t>
        </is>
      </c>
      <c r="I285" s="5" t="n"/>
      <c r="J285" s="3" t="n"/>
    </row>
    <row r="286" ht="42.75" customHeight="1" s="18">
      <c r="A286" s="5" t="inlineStr">
        <is>
          <t>S2-0280</t>
        </is>
      </c>
      <c r="B286" s="5" t="inlineStr">
        <is>
          <t>A</t>
        </is>
      </c>
      <c r="C286" s="3" t="inlineStr">
        <is>
          <t>Sangrar, R.; Murphy, D.J.; Porter, M.M.</t>
        </is>
      </c>
      <c r="D286" s="6" t="n">
        <v>2025</v>
      </c>
      <c r="E286" s="3" t="inlineStr">
        <is>
          <t>Inclusive autonomous shuttles as public transportation options for older people: A qualitative study of user and service provider perspectives</t>
        </is>
      </c>
      <c r="F286" s="3" t="n"/>
      <c r="G286" s="5" t="inlineStr">
        <is>
          <t>Journal article</t>
        </is>
      </c>
      <c r="H286" s="5" t="inlineStr">
        <is>
          <t>10.1016/j.jth.2025.102080</t>
        </is>
      </c>
      <c r="I286" s="5" t="n"/>
      <c r="J286" s="3" t="n"/>
    </row>
    <row r="287" ht="42.75" customHeight="1" s="18">
      <c r="A287" s="5" t="inlineStr">
        <is>
          <t>S2-0281</t>
        </is>
      </c>
      <c r="B287" s="5" t="inlineStr">
        <is>
          <t>A</t>
        </is>
      </c>
      <c r="C287" s="3" t="inlineStr">
        <is>
          <t>Hussain, Q.; Alhajyaseen, W.K.M.; Adnan, M.; Almallah, M.; Almukdad, A.; Alqaradawi, M.</t>
        </is>
      </c>
      <c r="D287" s="6" t="n">
        <v>2021</v>
      </c>
      <c r="E287" s="3" t="inlineStr">
        <is>
          <t>Autonomous vehicles between anticipation and apprehension: Investigations through safety and security perceptions</t>
        </is>
      </c>
      <c r="F287" s="3" t="n"/>
      <c r="G287" s="5" t="inlineStr">
        <is>
          <t>Journal article</t>
        </is>
      </c>
      <c r="H287" s="5" t="inlineStr">
        <is>
          <t>10.1016/j.tranpol.2021.07.001</t>
        </is>
      </c>
      <c r="I287" s="5" t="n"/>
      <c r="J287" s="3" t="n"/>
    </row>
    <row r="288" ht="42.75" customHeight="1" s="18">
      <c r="A288" s="5" t="inlineStr">
        <is>
          <t>S2-0282</t>
        </is>
      </c>
      <c r="B288" s="5" t="inlineStr">
        <is>
          <t>A</t>
        </is>
      </c>
      <c r="C288" s="3" t="inlineStr">
        <is>
          <t>Rodwell, D.; Ho, B.; Pascale, M.T.; Elrose, F.; Neary, A.; Lewis, I.</t>
        </is>
      </c>
      <c r="D288" s="6" t="n">
        <v>2023</v>
      </c>
      <c r="E288" s="3" t="inlineStr">
        <is>
          <t>In their own words: A qualitative study of users’ acceptance of connected vehicle technology after nine months of experience with the technology</t>
        </is>
      </c>
      <c r="F288" s="3" t="n"/>
      <c r="G288" s="5" t="inlineStr">
        <is>
          <t>Journal article</t>
        </is>
      </c>
      <c r="H288" s="5" t="inlineStr">
        <is>
          <t>10.1016/j.trf.2023.07.004</t>
        </is>
      </c>
      <c r="I288" s="5" t="n"/>
      <c r="J288" s="3" t="n"/>
    </row>
    <row r="289" ht="28.5" customHeight="1" s="18">
      <c r="A289" s="5" t="inlineStr">
        <is>
          <t>S2-0283</t>
        </is>
      </c>
      <c r="B289" s="5" t="inlineStr">
        <is>
          <t>A</t>
        </is>
      </c>
      <c r="C289" s="3" t="inlineStr">
        <is>
          <t>Chandrahas Reddy Biddala, S.; Ibikunle, O.; Duffy, V.G.</t>
        </is>
      </c>
      <c r="D289" s="6" t="n">
        <v>2023</v>
      </c>
      <c r="E289" s="3" t="inlineStr">
        <is>
          <t>Systematic Review on Safety of Artificial Intelligence and Transportation</t>
        </is>
      </c>
      <c r="F289" s="3" t="n"/>
      <c r="G289" s="5" t="inlineStr">
        <is>
          <t>Conference paper</t>
        </is>
      </c>
      <c r="H289" s="5" t="inlineStr">
        <is>
          <t>10.1007/978-3-031-48047-8_16</t>
        </is>
      </c>
      <c r="I289" s="5" t="n"/>
      <c r="J289" s="3" t="n"/>
    </row>
    <row r="290" ht="28.5" customHeight="1" s="18">
      <c r="A290" s="5" t="inlineStr">
        <is>
          <t>S2-0284</t>
        </is>
      </c>
      <c r="B290" s="5" t="inlineStr">
        <is>
          <t>A</t>
        </is>
      </c>
      <c r="C290" s="3" t="inlineStr">
        <is>
          <t>Jacob, A.; Ahrens, A.; Zascerinska, J.; Benavente-Peces, C.</t>
        </is>
      </c>
      <c r="D290" s="6" t="n">
        <v>2020</v>
      </c>
      <c r="E290" s="3" t="inlineStr">
        <is>
          <t>AHP-based evaluation of the acceptance of autonomous driving</t>
        </is>
      </c>
      <c r="F290" s="3" t="n"/>
      <c r="G290" s="5" t="inlineStr">
        <is>
          <t>Conference paper</t>
        </is>
      </c>
      <c r="H290" s="5" t="inlineStr">
        <is>
          <t>10.5220/0010144100610065</t>
        </is>
      </c>
      <c r="I290" s="5" t="n"/>
      <c r="J290" s="3" t="n"/>
    </row>
    <row r="291" ht="28.5" customHeight="1" s="18">
      <c r="A291" s="5" t="inlineStr">
        <is>
          <t>S2-0285</t>
        </is>
      </c>
      <c r="B291" s="5" t="inlineStr">
        <is>
          <t>A</t>
        </is>
      </c>
      <c r="C291" s="3" t="inlineStr">
        <is>
          <t>Gaitanidou, E.; Loukea, M.; Alertas, I.; Spanidis, P.; Bekiaris, E.</t>
        </is>
      </c>
      <c r="D291" s="6" t="n">
        <v>2023</v>
      </c>
      <c r="E291" s="3" t="inlineStr">
        <is>
          <t>E-arning Training Tool for Automated Transport Systems</t>
        </is>
      </c>
      <c r="F291" s="3" t="n"/>
      <c r="G291" s="5" t="inlineStr">
        <is>
          <t>Conference paper</t>
        </is>
      </c>
      <c r="H291" s="5" t="inlineStr">
        <is>
          <t>10.3233/atde230004</t>
        </is>
      </c>
      <c r="I291" s="5" t="n"/>
      <c r="J291" s="3" t="n"/>
    </row>
    <row r="292">
      <c r="A292" s="5" t="inlineStr">
        <is>
          <t>S2-0286</t>
        </is>
      </c>
      <c r="B292" s="5" t="inlineStr">
        <is>
          <t>A</t>
        </is>
      </c>
      <c r="C292" s="3" t="inlineStr">
        <is>
          <t>Kendall Roundtree, A.</t>
        </is>
      </c>
      <c r="D292" s="6" t="n">
        <v>2024</v>
      </c>
      <c r="E292" s="3" t="inlineStr">
        <is>
          <t>Public Perception of AI: A Review</t>
        </is>
      </c>
      <c r="F292" s="3" t="n"/>
      <c r="G292" s="5" t="inlineStr">
        <is>
          <t>Conference paper</t>
        </is>
      </c>
      <c r="H292" s="5" t="inlineStr">
        <is>
          <t>10.1007/978-3-031-76827-9_5</t>
        </is>
      </c>
      <c r="I292" s="5" t="n"/>
      <c r="J292" s="3" t="n"/>
    </row>
    <row r="293" ht="42.75" customHeight="1" s="18">
      <c r="A293" s="5" t="inlineStr">
        <is>
          <t>S2-0287</t>
        </is>
      </c>
      <c r="B293" s="5" t="inlineStr">
        <is>
          <t>A</t>
        </is>
      </c>
      <c r="C293" s="3" t="inlineStr">
        <is>
          <t>Hafiz, D.; Hou, Q.; Zohdy, I.</t>
        </is>
      </c>
      <c r="D293" s="6" t="n">
        <v>2025</v>
      </c>
      <c r="E293" s="3" t="inlineStr">
        <is>
          <t>Advancing Sustainable Urban Mobility: Public Acceptance and Perceived Risks of Autonomous Vehicle Deployment in Dubai</t>
        </is>
      </c>
      <c r="F293" s="3" t="n"/>
      <c r="G293" s="5" t="inlineStr">
        <is>
          <t>Journal article</t>
        </is>
      </c>
      <c r="H293" s="5" t="inlineStr">
        <is>
          <t>10.3390/su172411021</t>
        </is>
      </c>
      <c r="I293" s="5" t="n"/>
      <c r="J293" s="3" t="n"/>
    </row>
    <row r="294" ht="42.75" customHeight="1" s="18">
      <c r="A294" s="5" t="inlineStr">
        <is>
          <t>S2-0288</t>
        </is>
      </c>
      <c r="B294" s="5" t="inlineStr">
        <is>
          <t>A</t>
        </is>
      </c>
      <c r="C294" s="3" t="inlineStr">
        <is>
          <t>Kurse, T.K.; Gebresenbet, G.; Daba, G.F.</t>
        </is>
      </c>
      <c r="D294" s="6" t="n">
        <v>2024</v>
      </c>
      <c r="E294" s="3" t="inlineStr">
        <is>
          <t>Prospects for Implementation of Autonomous Vehicles and Associated Infrastructure in Developing Countries</t>
        </is>
      </c>
      <c r="F294" s="3" t="n"/>
      <c r="G294" s="5" t="inlineStr">
        <is>
          <t>Journal article</t>
        </is>
      </c>
      <c r="H294" s="5" t="inlineStr">
        <is>
          <t>10.3390/infrastructures9120237</t>
        </is>
      </c>
      <c r="I294" s="5" t="n"/>
      <c r="J294" s="3" t="n"/>
    </row>
    <row r="295" ht="28.5" customHeight="1" s="18">
      <c r="A295" s="5" t="inlineStr">
        <is>
          <t>S2-0289</t>
        </is>
      </c>
      <c r="B295" s="5" t="inlineStr">
        <is>
          <t>A</t>
        </is>
      </c>
      <c r="C295" s="3" t="inlineStr">
        <is>
          <t>Gokasar, I.; Başaran, G.G.</t>
        </is>
      </c>
      <c r="D295" s="6" t="n">
        <v>2025</v>
      </c>
      <c r="E295" s="3" t="inlineStr">
        <is>
          <t>The Effects of Public Transit in Vehicle Safety Measures for Women on Gender Equity</t>
        </is>
      </c>
      <c r="F295" s="3" t="n"/>
      <c r="G295" s="5" t="inlineStr">
        <is>
          <t>Journal article</t>
        </is>
      </c>
      <c r="H295" s="5" t="inlineStr">
        <is>
          <t>10.31181/jopi31202540</t>
        </is>
      </c>
      <c r="I295" s="5" t="n"/>
      <c r="J295" s="3" t="n"/>
    </row>
    <row r="296" ht="28.5" customHeight="1" s="18">
      <c r="A296" s="5" t="inlineStr">
        <is>
          <t>S2-0290</t>
        </is>
      </c>
      <c r="B296" s="5" t="inlineStr">
        <is>
          <t>A</t>
        </is>
      </c>
      <c r="C296" s="3" t="inlineStr">
        <is>
          <t>Dagliyan, G.; Granados, N.F.; Russell, C.A.</t>
        </is>
      </c>
      <c r="D296" s="6" t="n">
        <v>2022</v>
      </c>
      <c r="E296" s="3" t="inlineStr">
        <is>
          <t>Adopting AI-Enabled Technology: Taking the Bad with the Good</t>
        </is>
      </c>
      <c r="F296" s="3" t="n"/>
      <c r="G296" s="5" t="inlineStr">
        <is>
          <t>Conference paper</t>
        </is>
      </c>
      <c r="H296" s="5" t="n"/>
      <c r="I296" s="5" t="n"/>
      <c r="J296" s="3" t="n"/>
    </row>
    <row r="297" ht="42.75" customHeight="1" s="18">
      <c r="A297" s="5" t="inlineStr">
        <is>
          <t>S2-0291</t>
        </is>
      </c>
      <c r="B297" s="5" t="inlineStr">
        <is>
          <t>A</t>
        </is>
      </c>
      <c r="C297" s="3" t="inlineStr">
        <is>
          <t>Song, M.; Stević, Ž.; Badi, I.; Marinković, D.; Lv, Y.; Zhong, K.</t>
        </is>
      </c>
      <c r="D297" s="6" t="n">
        <v>2025</v>
      </c>
      <c r="E297" s="3" t="inlineStr">
        <is>
          <t>ASSESSING PUBLIC ACCEPTANCE OF AUTONOMOUS VEHICLES USING A NOVEL IRN PIPRECIA – IRN AROMAN MODEL</t>
        </is>
      </c>
      <c r="F297" s="3" t="n"/>
      <c r="G297" s="5" t="inlineStr">
        <is>
          <t>Journal article</t>
        </is>
      </c>
      <c r="H297" s="5" t="inlineStr">
        <is>
          <t>10.22190/fume240729040s</t>
        </is>
      </c>
      <c r="I297" s="5" t="n"/>
      <c r="J297" s="3" t="n"/>
    </row>
    <row r="298" ht="28.5" customHeight="1" s="18">
      <c r="A298" s="5" t="inlineStr">
        <is>
          <t>S2-0292</t>
        </is>
      </c>
      <c r="B298" s="5" t="inlineStr">
        <is>
          <t>A</t>
        </is>
      </c>
      <c r="C298" s="3" t="inlineStr">
        <is>
          <t>Olaru, D.; Greaves, S.; Leighton, C.; Smith, B.; Arnold, T.</t>
        </is>
      </c>
      <c r="D298" s="6" t="n">
        <v>2021</v>
      </c>
      <c r="E298" s="3" t="inlineStr">
        <is>
          <t>Peer-to-Peer (P2P) carsharing and driverless vehicles: Attitudes and values of vehicle owners</t>
        </is>
      </c>
      <c r="F298" s="3" t="n"/>
      <c r="G298" s="5" t="inlineStr">
        <is>
          <t>Journal article</t>
        </is>
      </c>
      <c r="H298" s="5" t="inlineStr">
        <is>
          <t>10.1016/j.tra.2021.07.008</t>
        </is>
      </c>
      <c r="I298" s="5" t="n"/>
      <c r="J298" s="3" t="n"/>
    </row>
    <row r="299" ht="42.75" customHeight="1" s="18">
      <c r="A299" s="5" t="inlineStr">
        <is>
          <t>S2-0293</t>
        </is>
      </c>
      <c r="B299" s="5" t="inlineStr">
        <is>
          <t>A</t>
        </is>
      </c>
      <c r="C299" s="3" t="inlineStr">
        <is>
          <t>Liao, F.</t>
        </is>
      </c>
      <c r="D299" s="6" t="n">
        <v>2025</v>
      </c>
      <c r="E299" s="3" t="inlineStr">
        <is>
          <t>Detecting Public Perceptions of Apollo Go on Chinese Social Media Based on Topic Modeling and Sentiment analysis</t>
        </is>
      </c>
      <c r="F299" s="3" t="n"/>
      <c r="G299" s="5" t="inlineStr">
        <is>
          <t>Conference paper</t>
        </is>
      </c>
      <c r="H299" s="5" t="inlineStr">
        <is>
          <t>10.1145/3708036.3708046</t>
        </is>
      </c>
      <c r="I299" s="5" t="n"/>
      <c r="J299" s="3" t="n"/>
    </row>
    <row r="300" ht="28.5" customHeight="1" s="18">
      <c r="A300" s="5" t="inlineStr">
        <is>
          <t>S2-0294</t>
        </is>
      </c>
      <c r="B300" s="5" t="inlineStr">
        <is>
          <t>A</t>
        </is>
      </c>
      <c r="C300" s="3" t="inlineStr">
        <is>
          <t>Schuß, M.; Manger, C.; Löcken, A.; Riener, A.</t>
        </is>
      </c>
      <c r="D300" s="6" t="n">
        <v>2022</v>
      </c>
      <c r="E300" s="3" t="inlineStr">
        <is>
          <t>You'll Never Ride Alone: Insights into Women's Security Needs in Shared Automated Vehicles</t>
        </is>
      </c>
      <c r="F300" s="3" t="n"/>
      <c r="G300" s="5" t="inlineStr">
        <is>
          <t>Conference paper</t>
        </is>
      </c>
      <c r="H300" s="5" t="inlineStr">
        <is>
          <t>10.1145/3543174.3546848</t>
        </is>
      </c>
      <c r="I300" s="5" t="n"/>
      <c r="J300" s="3" t="n"/>
    </row>
    <row r="301" ht="28.5" customHeight="1" s="18">
      <c r="A301" s="5" t="inlineStr">
        <is>
          <t>S2-0295</t>
        </is>
      </c>
      <c r="B301" s="5" t="inlineStr">
        <is>
          <t>A</t>
        </is>
      </c>
      <c r="C301" s="3" t="inlineStr">
        <is>
          <t>Zmud, J.; Sener, I.N.; Wagner, J.</t>
        </is>
      </c>
      <c r="D301" s="6" t="n">
        <v>2016</v>
      </c>
      <c r="E301" s="3" t="inlineStr">
        <is>
          <t>Self-driving vehicles: Determinants of adoption and conditions of usage</t>
        </is>
      </c>
      <c r="F301" s="3" t="n"/>
      <c r="G301" s="5" t="inlineStr">
        <is>
          <t>Journal article</t>
        </is>
      </c>
      <c r="H301" s="5" t="inlineStr">
        <is>
          <t>10.3141/2565-07</t>
        </is>
      </c>
      <c r="I301" s="5" t="n"/>
      <c r="J301" s="3" t="n"/>
    </row>
    <row r="302" ht="42.75" customHeight="1" s="18">
      <c r="A302" s="5" t="inlineStr">
        <is>
          <t>S2-0296</t>
        </is>
      </c>
      <c r="B302" s="5" t="inlineStr">
        <is>
          <t>A</t>
        </is>
      </c>
      <c r="C302" s="3" t="inlineStr">
        <is>
          <t>Salonen, A.O.</t>
        </is>
      </c>
      <c r="D302" s="6" t="n">
        <v>2018</v>
      </c>
      <c r="E302" s="3" t="inlineStr">
        <is>
          <t>Passenger's subjective traffic safety, in-vehicle security and emergency management in the driverless shuttle bus in Finland</t>
        </is>
      </c>
      <c r="F302" s="3" t="n"/>
      <c r="G302" s="5" t="inlineStr">
        <is>
          <t>Journal article</t>
        </is>
      </c>
      <c r="H302" s="5" t="inlineStr">
        <is>
          <t>10.1016/j.tranpol.2017.10.011</t>
        </is>
      </c>
      <c r="I302" s="5" t="n"/>
      <c r="J302" s="3" t="n"/>
    </row>
    <row r="303" ht="28.5" customHeight="1" s="18">
      <c r="A303" s="5" t="inlineStr">
        <is>
          <t>S2-0297</t>
        </is>
      </c>
      <c r="B303" s="5" t="inlineStr">
        <is>
          <t>A</t>
        </is>
      </c>
      <c r="C303" s="3" t="inlineStr">
        <is>
          <t>Smyth, J.; Chen, H.; Donzella, V.; Woodman, R.</t>
        </is>
      </c>
      <c r="D303" s="6" t="n">
        <v>2021</v>
      </c>
      <c r="E303" s="3" t="inlineStr">
        <is>
          <t>Public acceptance of driver state monitoring for automated vehicles: Applying the UTAUT framework</t>
        </is>
      </c>
      <c r="F303" s="3" t="n"/>
      <c r="G303" s="5" t="inlineStr">
        <is>
          <t>Journal article</t>
        </is>
      </c>
      <c r="H303" s="5" t="inlineStr">
        <is>
          <t>10.1016/j.trf.2021.10.003</t>
        </is>
      </c>
      <c r="I303" s="5" t="n"/>
      <c r="J303" s="3" t="n"/>
    </row>
    <row r="304" ht="28.5" customHeight="1" s="18">
      <c r="A304" s="5" t="inlineStr">
        <is>
          <t>S2-0298</t>
        </is>
      </c>
      <c r="B304" s="5" t="inlineStr">
        <is>
          <t>A</t>
        </is>
      </c>
      <c r="C304" s="3" t="inlineStr">
        <is>
          <t>Zhang, T.; Tao, D.; Qu, X.; Zhang, X.; Lin, R.; Zhang, W.</t>
        </is>
      </c>
      <c r="D304" s="6" t="n">
        <v>2019</v>
      </c>
      <c r="E304" s="3" t="inlineStr">
        <is>
          <t>The roles of initial trust and perceived risk in public's acceptance of automated vehicles</t>
        </is>
      </c>
      <c r="F304" s="3" t="n"/>
      <c r="G304" s="5" t="inlineStr">
        <is>
          <t>Journal article</t>
        </is>
      </c>
      <c r="H304" s="5" t="inlineStr">
        <is>
          <t>10.1016/j.trc.2018.11.018</t>
        </is>
      </c>
      <c r="I304" s="5" t="n"/>
      <c r="J304" s="3" t="n"/>
    </row>
    <row r="305" ht="28.5" customHeight="1" s="18">
      <c r="A305" s="5" t="inlineStr">
        <is>
          <t>S2-0299</t>
        </is>
      </c>
      <c r="B305" s="5" t="inlineStr">
        <is>
          <t>A</t>
        </is>
      </c>
      <c r="C305" s="3" t="inlineStr">
        <is>
          <t>Hind, S.; Kanderske, M.; van der Vlist, F.</t>
        </is>
      </c>
      <c r="D305" s="6" t="n">
        <v>2022</v>
      </c>
      <c r="E305" s="3" t="inlineStr">
        <is>
          <t>Making the Car “Platform Ready”: How Big Tech Is Driving the Platformization of Automobility</t>
        </is>
      </c>
      <c r="F305" s="3" t="n"/>
      <c r="G305" s="5" t="inlineStr">
        <is>
          <t>Journal article</t>
        </is>
      </c>
      <c r="H305" s="5" t="inlineStr">
        <is>
          <t>10.1177/20563051221098697</t>
        </is>
      </c>
      <c r="I305" s="5" t="n"/>
      <c r="J305" s="3" t="n"/>
    </row>
    <row r="306" ht="28.5" customHeight="1" s="18">
      <c r="A306" s="5" t="inlineStr">
        <is>
          <t>S2-0300</t>
        </is>
      </c>
      <c r="B306" s="5" t="inlineStr">
        <is>
          <t>A</t>
        </is>
      </c>
      <c r="C306" s="3" t="inlineStr">
        <is>
          <t>Zmud, J.P.; Sener, I.N.</t>
        </is>
      </c>
      <c r="D306" s="6" t="n">
        <v>2017</v>
      </c>
      <c r="E306" s="3" t="inlineStr">
        <is>
          <t>Towards an Understanding of the Travel Behavior Impact of Autonomous Vehicles</t>
        </is>
      </c>
      <c r="F306" s="3" t="n"/>
      <c r="G306" s="5" t="inlineStr">
        <is>
          <t>Conference paper</t>
        </is>
      </c>
      <c r="H306" s="5" t="inlineStr">
        <is>
          <t>10.1016/j.trpro.2017.05.281</t>
        </is>
      </c>
      <c r="I306" s="5" t="n"/>
      <c r="J306" s="3" t="n"/>
    </row>
    <row r="307" ht="28.5" customHeight="1" s="18">
      <c r="A307" s="5" t="inlineStr">
        <is>
          <t>S2-0301</t>
        </is>
      </c>
      <c r="B307" s="5" t="inlineStr">
        <is>
          <t>A</t>
        </is>
      </c>
      <c r="C307" s="3" t="inlineStr">
        <is>
          <t>Cheng, S.; Dong, H.; Yue, Y.; Tan, H.</t>
        </is>
      </c>
      <c r="D307" s="6" t="n">
        <v>2021</v>
      </c>
      <c r="E307" s="3" t="inlineStr">
        <is>
          <t>Automated Driving: Acceptance and Chances for Young People</t>
        </is>
      </c>
      <c r="F307" s="3" t="n"/>
      <c r="G307" s="5" t="inlineStr">
        <is>
          <t>Conference paper</t>
        </is>
      </c>
      <c r="H307" s="5" t="inlineStr">
        <is>
          <t>10.1007/978-3-030-77080-8_16</t>
        </is>
      </c>
      <c r="I307" s="5" t="n"/>
      <c r="J307" s="3" t="n"/>
    </row>
    <row r="308" ht="42.75" customHeight="1" s="18">
      <c r="A308" s="5" t="inlineStr">
        <is>
          <t>S2-0302</t>
        </is>
      </c>
      <c r="B308" s="5" t="inlineStr">
        <is>
          <t>A</t>
        </is>
      </c>
      <c r="C308" s="3" t="inlineStr">
        <is>
          <t>Aasvik, O.; Ulleberg, P.; Hagenzieker, M.</t>
        </is>
      </c>
      <c r="D308" s="6" t="n">
        <v>2024</v>
      </c>
      <c r="E308" s="3" t="inlineStr">
        <is>
          <t>Simplifying acceptance: A general acceptance factor predicting intentions to use shared autonomous vehicles</t>
        </is>
      </c>
      <c r="F308" s="3" t="n"/>
      <c r="G308" s="5" t="inlineStr">
        <is>
          <t>Journal article</t>
        </is>
      </c>
      <c r="H308" s="5" t="inlineStr">
        <is>
          <t>10.1016/j.trf.2024.10.025</t>
        </is>
      </c>
      <c r="I308" s="5" t="n"/>
      <c r="J308" s="3" t="n"/>
    </row>
    <row r="309" ht="42.75" customHeight="1" s="18">
      <c r="A309" s="5" t="inlineStr">
        <is>
          <t>S2-0303</t>
        </is>
      </c>
      <c r="B309" s="5" t="inlineStr">
        <is>
          <t>B-i</t>
        </is>
      </c>
      <c r="C309" s="3" t="inlineStr">
        <is>
          <t>Shelat, Shlok; Salvi, Shrey; Roy, Souvik; Gaur, Manas; Sheth, Amit</t>
        </is>
      </c>
      <c r="D309" s="6" t="n">
        <v>2026</v>
      </c>
      <c r="E309" s="3" t="inlineStr">
        <is>
          <t>Bag of Tricks or Bag of Myths? Reducing Modeling Complexity with Task Knowledge in Explainable Suicide Risk Assessment</t>
        </is>
      </c>
      <c r="F309" s="3" t="inlineStr">
        <is>
          <t>Assessing suicide risk from social...</t>
        </is>
      </c>
      <c r="G309" s="5" t="inlineStr">
        <is>
          <t>Preprint (arXiv)</t>
        </is>
      </c>
      <c r="H309" s="5" t="n"/>
      <c r="I309" s="5" t="n"/>
      <c r="J309" s="3" t="n"/>
    </row>
    <row r="310" ht="42.75" customHeight="1" s="18">
      <c r="A310" s="5" t="inlineStr">
        <is>
          <t>S2-0304</t>
        </is>
      </c>
      <c r="B310" s="5" t="inlineStr">
        <is>
          <t>B-i</t>
        </is>
      </c>
      <c r="C310" s="3" t="inlineStr">
        <is>
          <t>Ding, Yuzhe; He, Kang; Zheng, Li; Zheng, Shengwu; Shi, Teng; Li, Fei; Teng, Chong; Ji, Donghong</t>
        </is>
      </c>
      <c r="D310" s="6" t="n">
        <v>2026</v>
      </c>
      <c r="E310" s="3" t="inlineStr">
        <is>
          <t>MMDS-Bench: Benchmarking Multimodal Large Language Models on Dynamic Stance in Social Media Interactions</t>
        </is>
      </c>
      <c r="F310" s="3" t="inlineStr">
        <is>
          <t>...how a reply responds to its direct parent message, rather than how a post relates to a fixed topic. Existing work has mainly studied this problem in text-only settings, while social...</t>
        </is>
      </c>
      <c r="G310" s="5" t="inlineStr">
        <is>
          <t>Preprint (arXiv)</t>
        </is>
      </c>
      <c r="H310" s="5" t="n"/>
      <c r="I310" s="5" t="n"/>
      <c r="J310" s="3" t="n"/>
    </row>
    <row r="311" ht="28.5" customHeight="1" s="18">
      <c r="A311" s="5" t="inlineStr">
        <is>
          <t>S2-0305</t>
        </is>
      </c>
      <c r="B311" s="5" t="inlineStr">
        <is>
          <t>B-i</t>
        </is>
      </c>
      <c r="C311" s="3" t="inlineStr">
        <is>
          <t>Zafeiropoulos, Michail; Antonakaki, Despoina; Ioannidis, Sotiris</t>
        </is>
      </c>
      <c r="D311" s="6" t="n">
        <v>2026</v>
      </c>
      <c r="E311" s="3" t="inlineStr">
        <is>
          <t>A Social Media Analysis of Discourse on the Israel--Palestine Conflict on Telegram</t>
        </is>
      </c>
      <c r="F311" s="3" t="inlineStr">
        <is>
          <t>Social...</t>
        </is>
      </c>
      <c r="G311" s="5" t="inlineStr">
        <is>
          <t>Preprint (arXiv)</t>
        </is>
      </c>
      <c r="H311" s="5" t="n"/>
      <c r="I311" s="5" t="n"/>
      <c r="J311" s="3" t="n"/>
    </row>
    <row r="312" ht="57" customHeight="1" s="18">
      <c r="A312" s="5" t="inlineStr">
        <is>
          <t>S2-0306</t>
        </is>
      </c>
      <c r="B312" s="5" t="inlineStr">
        <is>
          <t>B-i</t>
        </is>
      </c>
      <c r="C312" s="3" t="inlineStr">
        <is>
          <t>Yao, Ruichen; Dasari, Tejna; Baispay, Gulshat; Zaurbek, Aizhan; Liu, Yifan; Liu, Yaokun; Li, Zelin; Wang, Dong</t>
        </is>
      </c>
      <c r="D312" s="6" t="n">
        <v>2026</v>
      </c>
      <c r="E312" s="3" t="inlineStr">
        <is>
          <t>Beyond Truth Discovery: A Two-Stage Framework to Assess the Severity of False Claim during Disasters</t>
        </is>
      </c>
      <c r="F312" s="3" t="inlineStr">
        <is>
          <t>False information spreads rapidly on social...</t>
        </is>
      </c>
      <c r="G312" s="5" t="inlineStr">
        <is>
          <t>Preprint (arXiv)</t>
        </is>
      </c>
      <c r="H312" s="5" t="inlineStr">
        <is>
          <t>10.1145/3834580.3838746</t>
        </is>
      </c>
      <c r="I312" s="5" t="n"/>
      <c r="J312" s="3" t="n"/>
    </row>
    <row r="313" ht="57" customHeight="1" s="18">
      <c r="A313" s="5" t="inlineStr">
        <is>
          <t>S2-0307</t>
        </is>
      </c>
      <c r="B313" s="5" t="inlineStr">
        <is>
          <t>B-i</t>
        </is>
      </c>
      <c r="C313" s="3" t="inlineStr">
        <is>
          <t>Zubair, Toneema; Asif, Muhammad Junaid; Kamiran, Faisal; Saeed, Hafiz Hassan; Ahmad, Rana Fayyaz</t>
        </is>
      </c>
      <c r="D313" s="6" t="n">
        <v>2026</v>
      </c>
      <c r="E313" s="3" t="inlineStr">
        <is>
          <t>Efficient Adaptation of LLMs for Hate Speech Detection in Low-Resource Languages: A Comparative Study on Roman Urdu</t>
        </is>
      </c>
      <c r="F313" s="3" t="inlineStr">
        <is>
          <t>It is challenging to detect hate speech in Low...</t>
        </is>
      </c>
      <c r="G313" s="5" t="inlineStr">
        <is>
          <t>Preprint (arXiv)</t>
        </is>
      </c>
      <c r="H313" s="5" t="n"/>
      <c r="I313" s="5" t="n"/>
      <c r="J313" s="3" t="n"/>
    </row>
    <row r="314" ht="28.5" customHeight="1" s="18">
      <c r="A314" s="5" t="inlineStr">
        <is>
          <t>S2-0308</t>
        </is>
      </c>
      <c r="B314" s="5" t="inlineStr">
        <is>
          <t>B-i</t>
        </is>
      </c>
      <c r="C314" s="3" t="inlineStr">
        <is>
          <t>Kilian, Paul; Kleffmann, Markus</t>
        </is>
      </c>
      <c r="D314" s="6" t="n">
        <v>2026</v>
      </c>
      <c r="E314" s="3" t="inlineStr">
        <is>
          <t>LLM-Based vs. Lexicon-Based Sentiment Signals for Tail-Risk Detection in Meme Stocks</t>
        </is>
      </c>
      <c r="F314" s="3" t="inlineStr">
        <is>
          <t>This paper presents an empirical comparison of lexicon-based and...</t>
        </is>
      </c>
      <c r="G314" s="5" t="inlineStr">
        <is>
          <t>Preprint (arXiv)</t>
        </is>
      </c>
      <c r="H314" s="5" t="n"/>
      <c r="I314" s="5" t="n"/>
      <c r="J314" s="3" t="n"/>
    </row>
    <row r="315" ht="42.75" customHeight="1" s="18">
      <c r="A315" s="5" t="inlineStr">
        <is>
          <t>S2-0309</t>
        </is>
      </c>
      <c r="B315" s="5" t="inlineStr">
        <is>
          <t>B-i</t>
        </is>
      </c>
      <c r="C315" s="3" t="inlineStr">
        <is>
          <t>Akinde, Abdullah; Akinde, Mariam; Emiola, Rasheedat; Akinsola, Ahmed</t>
        </is>
      </c>
      <c r="D315" s="6" t="n">
        <v>2026</v>
      </c>
      <c r="E315" s="3" t="inlineStr">
        <is>
          <t>So Many Opinions, So Many LLMs: Comparing Large Language Models to Traditional Machine Learning for Open- Ended Survey Analysis</t>
        </is>
      </c>
      <c r="F315" s="3" t="inlineStr">
        <is>
          <t>...to classify text ("So Many Responses, So Little Time: A Machine-Learning Approach to Analyzing Open-Ended Survey Data") [1], this study investigates how different large...</t>
        </is>
      </c>
      <c r="G315" s="5" t="inlineStr">
        <is>
          <t>Preprint (arXiv)</t>
        </is>
      </c>
      <c r="H315" s="5" t="inlineStr">
        <is>
          <t>10.54536/ari.v4i1.6586</t>
        </is>
      </c>
      <c r="I315" s="5" t="n"/>
      <c r="J315" s="3" t="n"/>
    </row>
    <row r="316" ht="57" customHeight="1" s="18">
      <c r="A316" s="5" t="inlineStr">
        <is>
          <t>S2-0310</t>
        </is>
      </c>
      <c r="B316" s="5" t="inlineStr">
        <is>
          <t>B-i</t>
        </is>
      </c>
      <c r="C316" s="3" t="inlineStr">
        <is>
          <t>Tisha, Faria Afrin; Tabassum, Fariya; Kibria, Hafsa Binte; Nahiduzzaman, Md.; Ahsan, Mominul</t>
        </is>
      </c>
      <c r="D316" s="6" t="n">
        <v>2026</v>
      </c>
      <c r="E316" s="3" t="inlineStr">
        <is>
          <t>Beyond Benchmarks: Exposing the Hidden Crisis in Bangla Hate Speech Detection</t>
        </is>
      </c>
      <c r="F316" s="3" t="inlineStr">
        <is>
          <t>The spread of hate speech (HS) across different social...</t>
        </is>
      </c>
      <c r="G316" s="5" t="inlineStr">
        <is>
          <t>Preprint (arXiv)</t>
        </is>
      </c>
      <c r="H316" s="5" t="n"/>
      <c r="I316" s="5" t="n"/>
      <c r="J316" s="3" t="n"/>
    </row>
    <row r="317" ht="57" customHeight="1" s="18">
      <c r="A317" s="5" t="inlineStr">
        <is>
          <t>S2-0311</t>
        </is>
      </c>
      <c r="B317" s="5" t="inlineStr">
        <is>
          <t>B-i</t>
        </is>
      </c>
      <c r="C317" s="3" t="inlineStr">
        <is>
          <t>Nguyen, Trang; Zhang, Sidong; Shankar, Shiv; Jagatap, Gauri; Chandran, Deepak; Fanelli, Andrea; Fiterau, Madalina</t>
        </is>
      </c>
      <c r="D317" s="6" t="n">
        <v>2026</v>
      </c>
      <c r="E317" s="3" t="inlineStr">
        <is>
          <t>Video2Reaction: Mapping Video to Audience Reaction Distribution in the Wild</t>
        </is>
      </c>
      <c r="F317" s="3" t="inlineStr">
        <is>
          <t>...of viewers in the wild, as expressed through social media. Video2Reaction spans more than 10,000 videos and serves as a reliable...</t>
        </is>
      </c>
      <c r="G317" s="5" t="inlineStr">
        <is>
          <t>Preprint (arXiv)</t>
        </is>
      </c>
      <c r="H317" s="5" t="n"/>
      <c r="I317" s="5" t="n"/>
      <c r="J317" s="3" t="n"/>
    </row>
    <row r="318" ht="28.5" customHeight="1" s="18">
      <c r="A318" s="5" t="inlineStr">
        <is>
          <t>S2-0312</t>
        </is>
      </c>
      <c r="B318" s="5" t="inlineStr">
        <is>
          <t>B-i</t>
        </is>
      </c>
      <c r="C318" s="3" t="inlineStr">
        <is>
          <t>Kula, Sebastian; Tamajka, Martin</t>
        </is>
      </c>
      <c r="D318" s="6" t="n">
        <v>2026</v>
      </c>
      <c r="E318" s="3" t="inlineStr">
        <is>
          <t>Multi-Agentic System Leveraging Open-Source LLMs to Mitigate Disinformation Threats</t>
        </is>
      </c>
      <c r="F318" s="3" t="inlineStr">
        <is>
          <t>In contemporary societies, the threat of disinformation has reached alarming levels, exacerbated by the proliferation of electronic communication, social...</t>
        </is>
      </c>
      <c r="G318" s="5" t="inlineStr">
        <is>
          <t>Preprint (arXiv)</t>
        </is>
      </c>
      <c r="H318" s="5" t="n"/>
      <c r="I318" s="5" t="n"/>
      <c r="J318" s="3" t="n"/>
    </row>
    <row r="319" ht="42.75" customHeight="1" s="18">
      <c r="A319" s="5" t="inlineStr">
        <is>
          <t>S2-0313</t>
        </is>
      </c>
      <c r="B319" s="5" t="inlineStr">
        <is>
          <t>B-i</t>
        </is>
      </c>
      <c r="C319" s="3" t="inlineStr">
        <is>
          <t>Firoozfar, Hamid Reza; Abolhasani, Mohammadsadegh; Mousavi, Reza; Hu, Paul Jen-Hwa</t>
        </is>
      </c>
      <c r="D319" s="6" t="n">
        <v>2026</v>
      </c>
      <c r="E319" s="3" t="inlineStr">
        <is>
          <t>Beyond Surface Forms: A Comprehensive, Mechanism-Oriented Taxonomy of Indirect Linguistic Encoding for LLM-Based Coded Language Detection</t>
        </is>
      </c>
      <c r="F319" s="3" t="inlineStr">
        <is>
          <t>To avoid moderation and surveillance on social...</t>
        </is>
      </c>
      <c r="G319" s="5" t="inlineStr">
        <is>
          <t>Preprint (arXiv)</t>
        </is>
      </c>
      <c r="H319" s="5" t="n"/>
      <c r="I319" s="5" t="n"/>
      <c r="J319" s="3" t="n"/>
    </row>
    <row r="320" ht="57" customHeight="1" s="18">
      <c r="A320" s="5" t="inlineStr">
        <is>
          <t>S2-0314</t>
        </is>
      </c>
      <c r="B320" s="5" t="inlineStr">
        <is>
          <t>B-i</t>
        </is>
      </c>
      <c r="C320" s="3" t="inlineStr">
        <is>
          <t>Vangapandu, Parmitha; Mokkapati, Sai Ganesh; Narkedimilli, Sathwik; Sathvik, MSVPJ; Liu, Timothy; See, Simon; Eichstaedt, Johannes C.</t>
        </is>
      </c>
      <c r="D320" s="6" t="n">
        <v>2026</v>
      </c>
      <c r="E320" s="3" t="inlineStr">
        <is>
          <t>RSPC: A Benchmark for Modeling Stress and Psychiatric Conditions in Digitally Mediated Relationships using Psychiatrist Annotations</t>
        </is>
      </c>
      <c r="F320" s="3" t="inlineStr">
        <is>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is>
      </c>
      <c r="G320" s="5" t="inlineStr">
        <is>
          <t>Preprint (arXiv)</t>
        </is>
      </c>
      <c r="H320" s="5" t="n"/>
      <c r="I320" s="5" t="n"/>
      <c r="J320" s="3" t="n"/>
    </row>
    <row r="321" ht="42.75" customHeight="1" s="18">
      <c r="A321" s="5" t="inlineStr">
        <is>
          <t>S2-0315</t>
        </is>
      </c>
      <c r="B321" s="5" t="inlineStr">
        <is>
          <t>B-i</t>
        </is>
      </c>
      <c r="C321" s="3" t="inlineStr">
        <is>
          <t>Ferrara, Emilio</t>
        </is>
      </c>
      <c r="D321" s="6" t="n">
        <v>2026</v>
      </c>
      <c r="E321" s="3" t="inlineStr">
        <is>
          <t>Cultural Targets, Structural Frames, Binding Morals: A Cross-Lingual Audit of Online Hate in Multicultural Singapore</t>
        </is>
      </c>
      <c r="F321" s="3" t="inlineStr">
        <is>
          <t>.... From a Singapore-centric 2025 Facebook, Reddit, and YouTube corpus (31.0M items; 1.76M comments mentioning eleven identity groups), we...</t>
        </is>
      </c>
      <c r="G321" s="5" t="inlineStr">
        <is>
          <t>Preprint (arXiv)</t>
        </is>
      </c>
      <c r="H321" s="5" t="n"/>
      <c r="I321" s="5" t="n"/>
      <c r="J321" s="3" t="n"/>
    </row>
    <row r="322" ht="42.75" customHeight="1" s="18">
      <c r="A322" s="5" t="inlineStr">
        <is>
          <t>S2-0316</t>
        </is>
      </c>
      <c r="B322" s="5" t="inlineStr">
        <is>
          <t>B-i</t>
        </is>
      </c>
      <c r="C322" s="3" t="inlineStr">
        <is>
          <t>Balloli, Vaibhav; Ellis, Laura Peyton; Mishra, Vishala; Chi, Alice; Peahl, Alex; Kelly, Elizabeth Bondi-</t>
        </is>
      </c>
      <c r="D322" s="6" t="n">
        <v>2026</v>
      </c>
      <c r="E322" s="3" t="inlineStr">
        <is>
          <t>RELIANCE: Curating and Evaluating Reproductive Health Information on Social Media</t>
        </is>
      </c>
      <c r="F322" s="3" t="inlineStr">
        <is>
          <t>Social...</t>
        </is>
      </c>
      <c r="G322" s="5" t="inlineStr">
        <is>
          <t>Preprint (arXiv)</t>
        </is>
      </c>
      <c r="H322" s="5" t="n"/>
      <c r="I322" s="5" t="n"/>
      <c r="J322" s="3" t="n"/>
    </row>
    <row r="323" ht="42.75" customHeight="1" s="18">
      <c r="A323" s="5" t="inlineStr">
        <is>
          <t>S2-0317</t>
        </is>
      </c>
      <c r="B323" s="5" t="inlineStr">
        <is>
          <t>B-i</t>
        </is>
      </c>
      <c r="C323" s="3" t="inlineStr">
        <is>
          <t>Beck, Tilman; Yazdani, Shakib; Kruschinski, Simon; Maurer, Marcus; Gurevych, Iryna</t>
        </is>
      </c>
      <c r="D323" s="6" t="n">
        <v>2026</v>
      </c>
      <c r="E323" s="3" t="inlineStr">
        <is>
          <t>Contextualized Prompting For Stance Detection On Social Media</t>
        </is>
      </c>
      <c r="F323" s="3" t="inlineStr">
        <is>
          <t>Stance...</t>
        </is>
      </c>
      <c r="G323" s="5" t="inlineStr">
        <is>
          <t>Preprint (arXiv)</t>
        </is>
      </c>
      <c r="H323" s="5" t="n"/>
      <c r="I323" s="5" t="n"/>
      <c r="J323" s="3" t="n"/>
    </row>
    <row r="324" ht="42.75" customHeight="1" s="18">
      <c r="A324" s="5" t="inlineStr">
        <is>
          <t>S2-0318</t>
        </is>
      </c>
      <c r="B324" s="5" t="inlineStr">
        <is>
          <t>B-i</t>
        </is>
      </c>
      <c r="C324" s="3" t="inlineStr">
        <is>
          <t>Ren, Yanjing; Ebrahimi, Reza; Ma, TengTeng</t>
        </is>
      </c>
      <c r="D324" s="6" t="n">
        <v>2026</v>
      </c>
      <c r="E324" s="3" t="inlineStr">
        <is>
          <t>AICompanionBench: Benchmarking LLMs-as-Judges for AI Companion Safety</t>
        </is>
      </c>
      <c r="F324" s="3" t="inlineStr">
        <is>
          <t>...Character.AI rapidly grow, concerns about unsafe human-AI interactions have intensified. This study introduces AICompanionBench, to our knowledge the first publicly available benchmark dataset of human-AI companion conversations...</t>
        </is>
      </c>
      <c r="G324" s="5" t="inlineStr">
        <is>
          <t>Preprint (arXiv)</t>
        </is>
      </c>
      <c r="H324" s="5" t="n"/>
      <c r="I324" s="5" t="n"/>
      <c r="J324" s="3" t="n"/>
    </row>
    <row r="325" ht="42.75" customHeight="1" s="18">
      <c r="A325" s="5" t="inlineStr">
        <is>
          <t>S2-0319</t>
        </is>
      </c>
      <c r="B325" s="5" t="inlineStr">
        <is>
          <t>B-i</t>
        </is>
      </c>
      <c r="C325" s="3" t="inlineStr">
        <is>
          <t>Wang, Sizhe; Duan, Feiyu; Wang, Juelin; Zhang, Liwen; Wei, Zhongyu</t>
        </is>
      </c>
      <c r="D325" s="6" t="n">
        <v>2026</v>
      </c>
      <c r="E325" s="3" t="inlineStr">
        <is>
          <t>StreamProfileBench: A Benchmark for Fine-Grained User Profile Inference in Real-World Streaming Scenarios</t>
        </is>
      </c>
      <c r="F325" s="3" t="inlineStr">
        <is>
          <t>Large...</t>
        </is>
      </c>
      <c r="G325" s="5" t="inlineStr">
        <is>
          <t>Preprint (arXiv)</t>
        </is>
      </c>
      <c r="H325" s="5" t="n"/>
      <c r="I325" s="5" t="n"/>
      <c r="J325" s="3" t="n"/>
    </row>
    <row r="326" ht="42.75" customHeight="1" s="18">
      <c r="A326" s="5" t="inlineStr">
        <is>
          <t>S2-0320</t>
        </is>
      </c>
      <c r="B326" s="5" t="inlineStr">
        <is>
          <t>B-i</t>
        </is>
      </c>
      <c r="C326" s="3" t="inlineStr">
        <is>
          <t>Sharqawi, Esra'a; Zaghouani, Wajdi</t>
        </is>
      </c>
      <c r="D326" s="6" t="n">
        <v>2026</v>
      </c>
      <c r="E326" s="3" t="inlineStr">
        <is>
          <t>AraHopeCorpus: Annotation Guidelines and Dataset for Hope Speech in Arabic Social Media Crisis Discourse</t>
        </is>
      </c>
      <c r="F326" s="3" t="inlineStr">
        <is>
          <t>Social...</t>
        </is>
      </c>
      <c r="G326" s="5" t="inlineStr">
        <is>
          <t>Preprint (arXiv)</t>
        </is>
      </c>
      <c r="H326" s="5" t="n"/>
      <c r="I326" s="5" t="n"/>
      <c r="J326" s="3" t="n"/>
    </row>
    <row r="327" ht="71.25" customHeight="1" s="18">
      <c r="A327" s="5" t="inlineStr">
        <is>
          <t>S2-0321</t>
        </is>
      </c>
      <c r="B327" s="5" t="inlineStr">
        <is>
          <t>B-i</t>
        </is>
      </c>
      <c r="C327" s="3" t="inlineStr">
        <is>
          <t>Stähelin, Lukas; Solopova, Veronika; Upravitelev, Max; Kaplan, David; Sahitaj, Ariana; Sahitaj, Premtim; Jakob, Charlott; Möller, Sebastian; Schmitt, Vera</t>
        </is>
      </c>
      <c r="D327" s="6" t="n">
        <v>2026</v>
      </c>
      <c r="E327" s="3" t="inlineStr">
        <is>
          <t>Fine-tuning with Hierarchical Prompting for Robust Propaganda Classification Across Annotation Schemas</t>
        </is>
      </c>
      <c r="F327" s="3" t="inlineStr">
        <is>
          <t>Propaganda detection in social...</t>
        </is>
      </c>
      <c r="G327" s="5" t="inlineStr">
        <is>
          <t>Preprint (arXiv)</t>
        </is>
      </c>
      <c r="H327" s="5" t="n"/>
      <c r="I327" s="5" t="n"/>
      <c r="J327" s="3" t="n"/>
    </row>
    <row r="328" ht="42.75" customHeight="1" s="18">
      <c r="A328" s="5" t="inlineStr">
        <is>
          <t>S2-0322</t>
        </is>
      </c>
      <c r="B328" s="5" t="inlineStr">
        <is>
          <t>B-i</t>
        </is>
      </c>
      <c r="C328" s="3" t="inlineStr">
        <is>
          <t>Liao, Jian; Zheng, Yujin; Wang, Suge; Zheng, Jianxing; Li, Deyu</t>
        </is>
      </c>
      <c r="D328" s="6" t="n">
        <v>2026</v>
      </c>
      <c r="E328" s="3" t="inlineStr">
        <is>
          <t>PERCEIVE: A Benchmark for Personalized Emotion and Communication Behavior Understanding on Social Media</t>
        </is>
      </c>
      <c r="F328" s="3" t="inlineStr">
        <is>
          <t>Current emotion analysis in social...</t>
        </is>
      </c>
      <c r="G328" s="5" t="inlineStr">
        <is>
          <t>Preprint (arXiv)</t>
        </is>
      </c>
      <c r="H328" s="5" t="n"/>
      <c r="I328" s="5" t="n"/>
      <c r="J328" s="3" t="n"/>
    </row>
    <row r="329" ht="114" customHeight="1" s="18">
      <c r="A329" s="5" t="inlineStr">
        <is>
          <t>S2-0323</t>
        </is>
      </c>
      <c r="B329" s="5" t="inlineStr">
        <is>
          <t>B-i</t>
        </is>
      </c>
      <c r="C329" s="3" t="inlineStr">
        <is>
          <t>Santos, Jônatas H. dos; Reis, Julio C. S.; Melo, Philipe; Olivetti, João F. H.; Silva, Thales H.; Guimaraes, Matheus Gontijo; Souza, Glaucio de; Gonçalves, Marcos A.; Benevenuto, Fabricio; Zanovello, Filipe B. B.; Rodrigues, Marco A. G.; Lima, Cristiano X.</t>
        </is>
      </c>
      <c r="D329" s="6" t="n">
        <v>2026</v>
      </c>
      <c r="E329" s="3" t="inlineStr">
        <is>
          <t>WhatsApp Vaccine Discourse (WhaVax): An Expert-Annotated Dataset and Benchmark for Health Misinformation Detection</t>
        </is>
      </c>
      <c r="F329" s="3" t="inlineStr">
        <is>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is>
      </c>
      <c r="G329" s="5" t="inlineStr">
        <is>
          <t>Preprint (arXiv)</t>
        </is>
      </c>
      <c r="H329" s="5" t="n"/>
      <c r="I329" s="5" t="n"/>
      <c r="J329" s="3" t="n"/>
    </row>
    <row r="330" ht="57" customHeight="1" s="18">
      <c r="A330" s="5" t="inlineStr">
        <is>
          <t>S2-0324</t>
        </is>
      </c>
      <c r="B330" s="5" t="inlineStr">
        <is>
          <t>B-i</t>
        </is>
      </c>
      <c r="C330" s="3" t="inlineStr">
        <is>
          <t>Pramanik, Souvik; Antu, S. M. Riaz Rahman; Abyad, Shak Mohammad; Khalil, Md. Ibrahim; Hussain, Md. Shahriar</t>
        </is>
      </c>
      <c r="D330" s="6" t="n">
        <v>2026</v>
      </c>
      <c r="E330" s="3" t="inlineStr">
        <is>
          <t>MultiSoc-4D: A Benchmark for Diagnosing Instruction-Induced Label Collapse in Closed-Set LLM Annotation of Bengali Social Media</t>
        </is>
      </c>
      <c r="F330" s="3" t="inlineStr">
        <is>
          <t>Annotation automation via...</t>
        </is>
      </c>
      <c r="G330" s="5" t="inlineStr">
        <is>
          <t>Preprint (arXiv)</t>
        </is>
      </c>
      <c r="H330" s="5" t="n"/>
      <c r="I330" s="5" t="n"/>
      <c r="J330" s="3" t="n"/>
    </row>
    <row r="331" ht="71.25" customHeight="1" s="18">
      <c r="A331" s="5" t="inlineStr">
        <is>
          <t>S2-0325</t>
        </is>
      </c>
      <c r="B331" s="5" t="inlineStr">
        <is>
          <t>B-i</t>
        </is>
      </c>
      <c r="C331" s="3" t="inlineStr">
        <is>
          <t>Thuy, Ta Thanh; Zhu, Jiaqi; Liu, Xuan; Shang, Lin; Rabbany, Reihaneh; Rabusseau, Guillaume; Chen, Lihui; Yilun, Zheng; Luan, Sitao</t>
        </is>
      </c>
      <c r="D331" s="6" t="n">
        <v>2026</v>
      </c>
      <c r="E331" s="3" t="inlineStr">
        <is>
          <t>ControBench: An Interaction-Aware Benchmark for Controversial Discourse Analysis on Social Networks</t>
        </is>
      </c>
      <c r="F331" s="3" t="inlineStr">
        <is>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is>
      </c>
      <c r="G331" s="5" t="inlineStr">
        <is>
          <t>Preprint (arXiv)</t>
        </is>
      </c>
      <c r="H331" s="5" t="n"/>
      <c r="I331" s="5" t="n"/>
      <c r="J331" s="3" t="n"/>
    </row>
    <row r="332" ht="57" customHeight="1" s="18">
      <c r="A332" s="5" t="inlineStr">
        <is>
          <t>S2-0326</t>
        </is>
      </c>
      <c r="B332" s="5" t="inlineStr">
        <is>
          <t>B-i</t>
        </is>
      </c>
      <c r="C332" s="3" t="inlineStr">
        <is>
          <t>Prasse, Katharina; Jung, Steffen; Bravo, Isaac; Walter, Stefanie; Knab, Patrick; Bartelt, Christian; Keuper, Margret</t>
        </is>
      </c>
      <c r="D332" s="6" t="n">
        <v>2026</v>
      </c>
      <c r="E332" s="3" t="inlineStr">
        <is>
          <t>From Codebooks to VLMs: Evaluating Automated Visual Discourse Analysis for Climate Change on Social Media</t>
        </is>
      </c>
      <c r="F332" s="3" t="inlineStr">
        <is>
          <t>Social...</t>
        </is>
      </c>
      <c r="G332" s="5" t="inlineStr">
        <is>
          <t>Preprint (arXiv)</t>
        </is>
      </c>
      <c r="H332" s="5" t="n"/>
      <c r="I332" s="5" t="n"/>
      <c r="J332" s="3" t="n"/>
    </row>
    <row r="333" ht="42.75" customHeight="1" s="18">
      <c r="A333" s="5" t="inlineStr">
        <is>
          <t>S2-0327</t>
        </is>
      </c>
      <c r="B333" s="5" t="inlineStr">
        <is>
          <t>B-i</t>
        </is>
      </c>
      <c r="C333" s="3" t="inlineStr">
        <is>
          <t>Zheng, Jingyi; Hu, Tianyi; Liu, Yule; Sun, Zhen; Zhang, Zongmin; Peng, Zifan; Dong, Wenhan; He, Xinlei</t>
        </is>
      </c>
      <c r="D333" s="6" t="n">
        <v>2026</v>
      </c>
      <c r="E333" s="3" t="inlineStr">
        <is>
          <t>CHASM: Unveiling Covert Advertisements on Chinese Social Media</t>
        </is>
      </c>
      <c r="F333" s="3" t="inlineStr">
        <is>
          <t>Current benchmarks for evaluating...</t>
        </is>
      </c>
      <c r="G333" s="5" t="inlineStr">
        <is>
          <t>Preprint (arXiv)</t>
        </is>
      </c>
      <c r="H333" s="5" t="n"/>
      <c r="I333" s="5" t="n"/>
      <c r="J333" s="3" t="n"/>
    </row>
    <row r="334" ht="42.75" customHeight="1" s="18">
      <c r="A334" s="5" t="inlineStr">
        <is>
          <t>S2-0328</t>
        </is>
      </c>
      <c r="B334" s="5" t="inlineStr">
        <is>
          <t>B-i</t>
        </is>
      </c>
      <c r="C334" s="3" t="inlineStr">
        <is>
          <t>Davoudi, Ramtin; Thakkar, Kartik; Donyapour, Nazanin; Derr, Tyler; Karimi, Hamid</t>
        </is>
      </c>
      <c r="D334" s="6" t="n">
        <v>2026</v>
      </c>
      <c r="E334" s="3" t="inlineStr">
        <is>
          <t>Assessing Capabilities of Large Language Models in Social Media Analytics: A Multi-task Quest</t>
        </is>
      </c>
      <c r="F334" s="3" t="inlineStr">
        <is>
          <t>...we present the first comprehensive evaluation of modern LLMs - including GPT-4, GPT- 4o, GPT-3.5-Turbo, Gemini 1.5 Pro, DeepSeek-V3, Llama 3.2, and BERT - across three core social...</t>
        </is>
      </c>
      <c r="G334" s="5" t="inlineStr">
        <is>
          <t>Preprint (arXiv)</t>
        </is>
      </c>
      <c r="H334" s="5" t="n"/>
      <c r="I334" s="5" t="n"/>
      <c r="J334" s="3" t="n"/>
    </row>
    <row r="335" ht="42.75" customHeight="1" s="18">
      <c r="A335" s="5" t="inlineStr">
        <is>
          <t>S2-0329</t>
        </is>
      </c>
      <c r="B335" s="5" t="inlineStr">
        <is>
          <t>B-i</t>
        </is>
      </c>
      <c r="C335" s="3" t="inlineStr">
        <is>
          <t>Gupta, Atharva; Kumar, Dhruv; Sinha, Yash</t>
        </is>
      </c>
      <c r="D335" s="6" t="n">
        <v>2026</v>
      </c>
      <c r="E335" s="3" t="inlineStr">
        <is>
          <t>BITS Pilani at SemEval-2026 Task 9: Structured Supervised Fine-Tuning with DPO Refinement for Polarization Detection</t>
        </is>
      </c>
      <c r="F335" s="3" t="inlineStr">
        <is>
          <t>...polarization. Accurate computational detection of online polarization is challenging due to nuanced rhetoric, implicit framing, and the high cost of human-in-the-loop annotation. Building on recent findings that contextual prompting enables...</t>
        </is>
      </c>
      <c r="G335" s="5" t="inlineStr">
        <is>
          <t>Preprint (arXiv)</t>
        </is>
      </c>
      <c r="H335" s="5" t="n"/>
      <c r="I335" s="5" t="n"/>
      <c r="J335" s="3" t="n"/>
    </row>
    <row r="336" ht="42.75" customHeight="1" s="18">
      <c r="A336" s="5" t="inlineStr">
        <is>
          <t>S2-0330</t>
        </is>
      </c>
      <c r="B336" s="5" t="inlineStr">
        <is>
          <t>B-i</t>
        </is>
      </c>
      <c r="C336" s="3" t="inlineStr">
        <is>
          <t>Stanley, Miles; Datta, Soumyajit; Kumar, Ashutosh; KhudaBukhsh, Ashiqur R.</t>
        </is>
      </c>
      <c r="D336" s="6" t="n">
        <v>2026</v>
      </c>
      <c r="E336" s="3" t="inlineStr">
        <is>
          <t>Investigating Vaccine Buyer's Remorse: Post-Vaccination Decision Regret in COVID-19 Social Media Using Politically Diverse Human Annotation</t>
        </is>
      </c>
      <c r="F336" s="3" t="inlineStr">
        <is>
          <t>...and refining public health communication. In this paper, we curate a novel dataset from a large YouTube news corpus capturing COVID-19 vaccination experiences, and construct a benchmark subset focused on vaccine regret,...</t>
        </is>
      </c>
      <c r="G336" s="5" t="inlineStr">
        <is>
          <t>Preprint (arXiv)</t>
        </is>
      </c>
      <c r="H336" s="5" t="n"/>
      <c r="I336" s="5" t="n"/>
      <c r="J336" s="3" t="n"/>
    </row>
    <row r="337" ht="42.75" customHeight="1" s="18">
      <c r="A337" s="5" t="inlineStr">
        <is>
          <t>S2-0331</t>
        </is>
      </c>
      <c r="B337" s="5" t="inlineStr">
        <is>
          <t>B-i</t>
        </is>
      </c>
      <c r="C337" s="3" t="inlineStr">
        <is>
          <t>Togay, Özgür; Garcia-Bernardo, Javier; Kunneman, Florian; Giachanou, Anastasia</t>
        </is>
      </c>
      <c r="D337" s="6" t="n">
        <v>2026</v>
      </c>
      <c r="E337" s="3" t="inlineStr">
        <is>
          <t>Large Language Models Unpack Complex Political Opinions through Target- Stance Extraction</t>
        </is>
      </c>
      <c r="F337" s="3" t="inlineStr">
        <is>
          <t>...a wide range of subjects, making it difficult to automatically identify the target of discussion and the opinion expressed toward them. In this study, we investigate whether Large...</t>
        </is>
      </c>
      <c r="G337" s="5" t="inlineStr">
        <is>
          <t>Preprint (arXiv)</t>
        </is>
      </c>
      <c r="H337" s="5" t="n"/>
      <c r="I337" s="5" t="n"/>
      <c r="J337" s="3" t="n"/>
    </row>
    <row r="338" ht="28.5" customHeight="1" s="18">
      <c r="A338" s="5" t="inlineStr">
        <is>
          <t>S2-0332</t>
        </is>
      </c>
      <c r="B338" s="5" t="inlineStr">
        <is>
          <t>B-i</t>
        </is>
      </c>
      <c r="C338" s="3" t="inlineStr">
        <is>
          <t>Nguyen, Thi Huyen; Rudra, Koustav; Nejdl, Wolfgang</t>
        </is>
      </c>
      <c r="D338" s="6" t="n">
        <v>2026</v>
      </c>
      <c r="E338" s="3" t="inlineStr">
        <is>
          <t>Cross-Modal Rationale Transfer for Explainable Humanitarian Classification on Social Media</t>
        </is>
      </c>
      <c r="F338" s="3" t="inlineStr">
        <is>
          <t>Advances in social...</t>
        </is>
      </c>
      <c r="G338" s="5" t="inlineStr">
        <is>
          <t>Preprint (arXiv)</t>
        </is>
      </c>
      <c r="H338" s="5" t="inlineStr">
        <is>
          <t>10.1145/3774904.3792991</t>
        </is>
      </c>
      <c r="I338" s="5" t="n"/>
      <c r="J338" s="3" t="n"/>
    </row>
    <row r="339" ht="71.25" customHeight="1" s="18">
      <c r="A339" s="5" t="inlineStr">
        <is>
          <t>S2-0333</t>
        </is>
      </c>
      <c r="B339" s="5" t="inlineStr">
        <is>
          <t>B-i</t>
        </is>
      </c>
      <c r="C339" s="3" t="inlineStr">
        <is>
          <t>Zhu, Yuxin; Lakamana, Sahithi; Rouhizadeh, Masoud; Bozkurt, Selen; Hershenberg, Rachel; Sarker, Abeed</t>
        </is>
      </c>
      <c r="D339" s="6" t="n">
        <v>2026</v>
      </c>
      <c r="E339" s="3" t="inlineStr">
        <is>
          <t>LLM-Augmented Therapy Normalization and Aspect-Based Sentiment Analysis for Treatment-Resistant Depression on Reddit</t>
        </is>
      </c>
      <c r="F339" s="3" t="inlineStr">
        <is>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is>
      </c>
      <c r="G339" s="5" t="inlineStr">
        <is>
          <t>Preprint (arXiv)</t>
        </is>
      </c>
      <c r="H339" s="5" t="n"/>
      <c r="I339" s="5" t="n"/>
      <c r="J339" s="3" t="n"/>
    </row>
    <row r="340" ht="28.5" customHeight="1" s="18">
      <c r="A340" s="5" t="inlineStr">
        <is>
          <t>S2-0334</t>
        </is>
      </c>
      <c r="B340" s="5" t="inlineStr">
        <is>
          <t>B-i</t>
        </is>
      </c>
      <c r="C340" s="3" t="inlineStr">
        <is>
          <t>Haman, Michael</t>
        </is>
      </c>
      <c r="D340" s="6" t="n">
        <v>2026</v>
      </c>
      <c r="E340" s="3" t="inlineStr">
        <is>
          <t>Can Large Language Models Replace Human Coders? Introducing ContentBench</t>
        </is>
      </c>
      <c r="F340" s="3" t="inlineStr">
        <is>
          <t>Can low-cost large...</t>
        </is>
      </c>
      <c r="G340" s="5" t="inlineStr">
        <is>
          <t>Preprint (arXiv)</t>
        </is>
      </c>
      <c r="H340" s="5" t="n"/>
      <c r="I340" s="5" t="n"/>
      <c r="J340" s="3" t="n"/>
    </row>
    <row r="341" ht="28.5" customHeight="1" s="18">
      <c r="A341" s="5" t="inlineStr">
        <is>
          <t>S2-0335</t>
        </is>
      </c>
      <c r="B341" s="5" t="inlineStr">
        <is>
          <t>B-i</t>
        </is>
      </c>
      <c r="C341" s="3" t="inlineStr">
        <is>
          <t>Chehreh, Isun; Ansari, Ebrahim</t>
        </is>
      </c>
      <c r="D341" s="6" t="n">
        <v>2026</v>
      </c>
      <c r="E341" s="3" t="inlineStr">
        <is>
          <t>PerSoMed: A Large-Scale Balanced Dataset for Persian Social Media Text Classification</t>
        </is>
      </c>
      <c r="F341" s="3" t="inlineStr">
        <is>
          <t>This research introduces the first large-scale, well-balanced Persian social...</t>
        </is>
      </c>
      <c r="G341" s="5" t="inlineStr">
        <is>
          <t>Preprint (arXiv)</t>
        </is>
      </c>
      <c r="H341" s="5" t="n"/>
      <c r="I341" s="5" t="n"/>
      <c r="J341" s="3" t="n"/>
    </row>
    <row r="342" ht="57" customHeight="1" s="18">
      <c r="A342" s="5" t="inlineStr">
        <is>
          <t>S2-0336</t>
        </is>
      </c>
      <c r="B342" s="5" t="inlineStr">
        <is>
          <t>B-i</t>
        </is>
      </c>
      <c r="C342" s="3" t="inlineStr">
        <is>
          <t>Wang, Qile; Khatiwada, Prerana; Vieira, Carolina Coimbra; Bagozzi, Benjamin E.; Barner, Kenneth E.; Mauriello, Matthew Louis</t>
        </is>
      </c>
      <c r="D342" s="6" t="n">
        <v>2026</v>
      </c>
      <c r="E342" s="3" t="inlineStr">
        <is>
          <t>Wisdom of the LLM Crowd: A Large Scale Benchmark of Multi-Label U.S. Election-Related Harmful Social Media Content</t>
        </is>
      </c>
      <c r="F342" s="3" t="inlineStr">
        <is>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is>
      </c>
      <c r="G342" s="5" t="inlineStr">
        <is>
          <t>Preprint (arXiv)</t>
        </is>
      </c>
      <c r="H342" s="5" t="n"/>
      <c r="I342" s="5" t="n"/>
      <c r="J342" s="3" t="n"/>
    </row>
    <row r="343" ht="28.5" customHeight="1" s="18">
      <c r="A343" s="5" t="inlineStr">
        <is>
          <t>S2-0337</t>
        </is>
      </c>
      <c r="B343" s="5" t="inlineStr">
        <is>
          <t>B-i</t>
        </is>
      </c>
      <c r="C343" s="3" t="inlineStr">
        <is>
          <t>Chou, Hsuan-Yu; Naveed, Wajiha; Zhou, Shuyan; Yang, Xiaowei</t>
        </is>
      </c>
      <c r="D343" s="6" t="n">
        <v>2026</v>
      </c>
      <c r="E343" s="3" t="inlineStr">
        <is>
          <t>Are Open-Weight LLMs Ready for Social Media Moderation? A Comparative Study on Bluesky</t>
        </is>
      </c>
      <c r="F343" s="3" t="inlineStr">
        <is>
          <t>As internet access expands, so does exposure to harmful content, increasing the need for effective moderation. Research has demonstrated that large...</t>
        </is>
      </c>
      <c r="G343" s="5" t="inlineStr">
        <is>
          <t>Preprint (arXiv)</t>
        </is>
      </c>
      <c r="H343" s="5" t="n"/>
      <c r="I343" s="5" t="n"/>
      <c r="J343" s="3" t="n"/>
    </row>
    <row r="344" ht="28.5" customHeight="1" s="18">
      <c r="A344" s="5" t="inlineStr">
        <is>
          <t>S2-0338</t>
        </is>
      </c>
      <c r="B344" s="5" t="inlineStr">
        <is>
          <t>B-i</t>
        </is>
      </c>
      <c r="C344" s="3" t="inlineStr">
        <is>
          <t>Garg, Aashi; Das, Aneshya; Arya, Arshi; Goyal, Anushka; Aditi</t>
        </is>
      </c>
      <c r="D344" s="6" t="n">
        <v>2026</v>
      </c>
      <c r="E344" s="3" t="inlineStr">
        <is>
          <t>Code-Mix Sentiment Analysis on Hinglish Tweets</t>
        </is>
      </c>
      <c r="F344" s="3" t="inlineStr">
        <is>
          <t>The effectiveness of brand monitoring in India is increasingly challenged by the rise of Hinglish--a hybrid of Hindi and English--used widely in user-...</t>
        </is>
      </c>
      <c r="G344" s="5" t="inlineStr">
        <is>
          <t>Preprint (arXiv)</t>
        </is>
      </c>
      <c r="H344" s="5" t="n"/>
      <c r="I344" s="5" t="n"/>
      <c r="J344" s="3" t="n"/>
    </row>
    <row r="345" ht="42.75" customHeight="1" s="18">
      <c r="A345" s="5" t="inlineStr">
        <is>
          <t>S2-0339</t>
        </is>
      </c>
      <c r="B345" s="5" t="inlineStr">
        <is>
          <t>B-i</t>
        </is>
      </c>
      <c r="C345" s="3" t="inlineStr">
        <is>
          <t>Agarwal, Siddhant; Dhuler, Adya; Ruhnke, Polly; Speisman, Melvin; Akhtar, Md Shad; Yadav, Shweta</t>
        </is>
      </c>
      <c r="D345" s="6" t="n">
        <v>2025</v>
      </c>
      <c r="E345" s="3" t="inlineStr">
        <is>
          <t>MAMA-Memeia! Multi-Aspect Multi-Agent Collaboration for Depressive Symptoms Identification in Memes</t>
        </is>
      </c>
      <c r="F345" s="3" t="inlineStr">
        <is>
          <t>...the ever-growing utilization of memes in expressing depressive sentiments, we conduct a study on identifying depressive symptoms exhibited by memes shared by users of online social...</t>
        </is>
      </c>
      <c r="G345" s="5" t="inlineStr">
        <is>
          <t>Preprint (arXiv)</t>
        </is>
      </c>
      <c r="H345" s="5" t="n"/>
      <c r="I345" s="5" t="n"/>
      <c r="J345" s="3" t="n"/>
    </row>
    <row r="346" ht="71.25" customHeight="1" s="18">
      <c r="A346" s="5" t="inlineStr">
        <is>
          <t>S2-0340</t>
        </is>
      </c>
      <c r="B346" s="5" t="inlineStr">
        <is>
          <t>B-i</t>
        </is>
      </c>
      <c r="C346" s="3" t="inlineStr">
        <is>
          <t>Yan, Xueming; Xu, Boyan; Jin, Yaochu; Xiao, Lixian; Ye, Wenlong; Cai, Runyang; Zheng, Zeqi; Liu, Jingfa; Yang, Aimin; Song, Yongduan</t>
        </is>
      </c>
      <c r="D346" s="6" t="n">
        <v>2026</v>
      </c>
      <c r="E346" s="3" t="inlineStr">
        <is>
          <t>OmniMER: Auxiliary-Enhanced LLM Adaptation for Indonesian Multimodal Emotion Recognition</t>
        </is>
      </c>
      <c r="F346" s="3" t="inlineStr">
        <is>
          <t>Indonesian, spoken by over 200 million people, remains underserved in multimodal emotion recognition research despite its dominant presence on Southeast Asian social...</t>
        </is>
      </c>
      <c r="G346" s="5" t="inlineStr">
        <is>
          <t>Preprint (arXiv)</t>
        </is>
      </c>
      <c r="H346" s="5" t="n"/>
      <c r="I346" s="5" t="n"/>
      <c r="J346" s="3" t="n"/>
    </row>
    <row r="347" ht="28.5" customHeight="1" s="18">
      <c r="A347" s="5" t="inlineStr">
        <is>
          <t>S2-0341</t>
        </is>
      </c>
      <c r="B347" s="5" t="inlineStr">
        <is>
          <t>B-i</t>
        </is>
      </c>
      <c r="C347" s="3" t="inlineStr">
        <is>
          <t>Haak, Fabian; Schaer, Philipp</t>
        </is>
      </c>
      <c r="D347" s="6" t="n">
        <v>2025</v>
      </c>
      <c r="E347" s="3" t="inlineStr">
        <is>
          <t>Pairwise Comparison for Bias Identification and Quantification</t>
        </is>
      </c>
      <c r="F347" s="3" t="inlineStr">
        <is>
          <t>Linguistic bias in online news and social...</t>
        </is>
      </c>
      <c r="G347" s="5" t="inlineStr">
        <is>
          <t>Preprint (arXiv)</t>
        </is>
      </c>
      <c r="H347" s="5" t="n"/>
      <c r="I347" s="5" t="n"/>
      <c r="J347" s="3" t="n"/>
    </row>
    <row r="348" ht="42.75" customHeight="1" s="18">
      <c r="A348" s="5" t="inlineStr">
        <is>
          <t>S2-0342</t>
        </is>
      </c>
      <c r="B348" s="5" t="inlineStr">
        <is>
          <t>B-i</t>
        </is>
      </c>
      <c r="C348" s="3" t="inlineStr">
        <is>
          <t>Amorin, Alvaro Paredes; Python, Andre; Weisser, Christoph</t>
        </is>
      </c>
      <c r="D348" s="6" t="n">
        <v>2025</v>
      </c>
      <c r="E348" s="3" t="inlineStr">
        <is>
          <t>Fine-tuning of lightweight large language models for sentiment classification on heterogeneous financial textual data</t>
        </is>
      </c>
      <c r="F348" s="3" t="inlineStr">
        <is>
          <t>Large...</t>
        </is>
      </c>
      <c r="G348" s="5" t="inlineStr">
        <is>
          <t>Preprint (arXiv)</t>
        </is>
      </c>
      <c r="H348" s="5" t="n"/>
      <c r="I348" s="5" t="n"/>
      <c r="J348" s="3" t="n"/>
    </row>
    <row r="349" ht="57" customHeight="1" s="18">
      <c r="A349" s="5" t="inlineStr">
        <is>
          <t>S2-0343</t>
        </is>
      </c>
      <c r="B349" s="5" t="inlineStr">
        <is>
          <t>B-i</t>
        </is>
      </c>
      <c r="C349" s="3" t="inlineStr">
        <is>
          <t>Green, Breanna E.; Shea, Ashley L.; Zhao, Pengfei; Margolin, Drew B.</t>
        </is>
      </c>
      <c r="D349" s="6" t="n">
        <v>2025</v>
      </c>
      <c r="E349" s="3" t="inlineStr">
        <is>
          <t>A Comparison of Human and ChatGPT Classification Performance on Complex Social Media Data</t>
        </is>
      </c>
      <c r="F349" s="3" t="inlineStr">
        <is>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is>
      </c>
      <c r="G349" s="5" t="inlineStr">
        <is>
          <t>Preprint (arXiv)</t>
        </is>
      </c>
      <c r="H349" s="5" t="n"/>
      <c r="I349" s="5" t="n"/>
      <c r="J349" s="3" t="n"/>
    </row>
    <row r="350" ht="42.75" customHeight="1" s="18">
      <c r="A350" s="5" t="inlineStr">
        <is>
          <t>S2-0344</t>
        </is>
      </c>
      <c r="B350" s="5" t="inlineStr">
        <is>
          <t>B-i</t>
        </is>
      </c>
      <c r="C350" s="3" t="inlineStr">
        <is>
          <t>Islam, Ariful; Hossen, Md Rifat; Mahmud, Tanvir</t>
        </is>
      </c>
      <c r="D350" s="6" t="n">
        <v>2025</v>
      </c>
      <c r="E350" s="3" t="inlineStr">
        <is>
          <t>BanglaSentNet: An Explainable Hybrid Deep Learning Framework for Multi- Aspect Sentiment Analysis with Cross-Domain Transfer Learning</t>
        </is>
      </c>
      <c r="F350" s="3" t="inlineStr">
        <is>
          <t>Multi-aspect sentiment...</t>
        </is>
      </c>
      <c r="G350" s="5" t="inlineStr">
        <is>
          <t>Preprint (arXiv)</t>
        </is>
      </c>
      <c r="H350" s="5" t="n"/>
      <c r="I350" s="5" t="n"/>
      <c r="J350" s="3" t="n"/>
    </row>
    <row r="351" ht="57" customHeight="1" s="18">
      <c r="A351" s="5" t="inlineStr">
        <is>
          <t>S2-0345</t>
        </is>
      </c>
      <c r="B351" s="5" t="inlineStr">
        <is>
          <t>B-i</t>
        </is>
      </c>
      <c r="C351" s="3" t="inlineStr">
        <is>
          <t>Wang, Han; Ji, Deyi; Lu, Junyu; Zhu, Lanyun; Zhang, Hailong; Wu, Haiyang; Liu, Liqun; Shu, Peng; Lee, Roy Ka-Wei</t>
        </is>
      </c>
      <c r="D351" s="6" t="n">
        <v>2025</v>
      </c>
      <c r="E351" s="3" t="inlineStr">
        <is>
          <t>Multi-Agent VLMs Guided Self-Training with PNU Loss for Low-Resource Offensive Content Detection</t>
        </is>
      </c>
      <c r="F351" s="3" t="inlineStr">
        <is>
          <t>Accurate detection of offensive content on social...</t>
        </is>
      </c>
      <c r="G351" s="5" t="inlineStr">
        <is>
          <t>Preprint (arXiv)</t>
        </is>
      </c>
      <c r="H351" s="5" t="n"/>
      <c r="I351" s="5" t="n"/>
      <c r="J351" s="3" t="n"/>
    </row>
    <row r="352" ht="28.5" customHeight="1" s="18">
      <c r="A352" s="5" t="inlineStr">
        <is>
          <t>S2-0346</t>
        </is>
      </c>
      <c r="B352" s="5" t="inlineStr">
        <is>
          <t>B-i</t>
        </is>
      </c>
      <c r="C352" s="3" t="inlineStr">
        <is>
          <t>Upadhyaya, Apoorva; Nejdl, Wolfgang; Fisichella, Marco</t>
        </is>
      </c>
      <c r="D352" s="6" t="n">
        <v>2025</v>
      </c>
      <c r="E352" s="3" t="inlineStr">
        <is>
          <t>Towards Transparent Stance Detection: A Zero-Shot Approach Using Implicit and Explicit Interpretability</t>
        </is>
      </c>
      <c r="F352" s="3" t="inlineStr">
        <is>
          <t>Zero-...</t>
        </is>
      </c>
      <c r="G352" s="5" t="inlineStr">
        <is>
          <t>Preprint (arXiv)</t>
        </is>
      </c>
      <c r="H352" s="5" t="n"/>
      <c r="I352" s="5" t="n"/>
      <c r="J352" s="3" t="n"/>
    </row>
    <row r="353" ht="42.75" customHeight="1" s="18">
      <c r="A353" s="5" t="inlineStr">
        <is>
          <t>S2-0347</t>
        </is>
      </c>
      <c r="B353" s="5" t="inlineStr">
        <is>
          <t>B-i</t>
        </is>
      </c>
      <c r="C353" s="3" t="inlineStr">
        <is>
          <t>Islam, Akif; Ameen, Mohd Ruhul</t>
        </is>
      </c>
      <c r="D353" s="6" t="n">
        <v>2025</v>
      </c>
      <c r="E353" s="3" t="inlineStr">
        <is>
          <t>Parameter-Efficient Fine-Tuning for Low-Resource Languages: A Comparative Study of LLMs for Bengali Hate Speech Detection</t>
        </is>
      </c>
      <c r="F353" s="3" t="inlineStr">
        <is>
          <t>Bengali social...</t>
        </is>
      </c>
      <c r="G353" s="5" t="inlineStr">
        <is>
          <t>Preprint (arXiv)</t>
        </is>
      </c>
      <c r="H353" s="5" t="inlineStr">
        <is>
          <t>10.1109/compas67506.2025.11381789</t>
        </is>
      </c>
      <c r="I353" s="5" t="n"/>
      <c r="J353" s="3" t="n"/>
    </row>
    <row r="354" ht="142.5" customHeight="1" s="18">
      <c r="A354" s="5" t="inlineStr">
        <is>
          <t>S2-0348</t>
        </is>
      </c>
      <c r="B354" s="5" t="inlineStr">
        <is>
          <t>B-i</t>
        </is>
      </c>
      <c r="C354" s="3" t="inlineStr">
        <is>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is>
      </c>
      <c r="D354" s="6" t="n">
        <v>2026</v>
      </c>
      <c r="E354" s="3" t="inlineStr">
        <is>
          <t>Camellia: Benchmarking Cultural Biases in LLMs for Asian Languages</t>
        </is>
      </c>
      <c r="F354" s="3" t="inlineStr">
        <is>
          <t>As Large...</t>
        </is>
      </c>
      <c r="G354" s="5" t="inlineStr">
        <is>
          <t>Preprint (arXiv)</t>
        </is>
      </c>
      <c r="H354" s="5" t="n"/>
      <c r="I354" s="5" t="n"/>
      <c r="J354" s="3" t="n"/>
    </row>
    <row r="355" ht="42.75" customHeight="1" s="18">
      <c r="A355" s="5" t="inlineStr">
        <is>
          <t>S2-0349</t>
        </is>
      </c>
      <c r="B355" s="5" t="inlineStr">
        <is>
          <t>B-i</t>
        </is>
      </c>
      <c r="C355" s="3" t="inlineStr">
        <is>
          <t>Hasan, Md Arid; Alam, Firoj; Hossain, Md Fahad; Naseem, Usman; Ahmed, Syed Ishtiaque</t>
        </is>
      </c>
      <c r="D355" s="6" t="n">
        <v>2025</v>
      </c>
      <c r="E355" s="3" t="inlineStr">
        <is>
          <t>LLM-Based Multi-Task Bangla Hate Speech Detection: Type, Severity, and Target</t>
        </is>
      </c>
      <c r="F355" s="3" t="inlineStr">
        <is>
          <t>Online social...</t>
        </is>
      </c>
      <c r="G355" s="5" t="inlineStr">
        <is>
          <t>Preprint (arXiv)</t>
        </is>
      </c>
      <c r="H355" s="5" t="n"/>
      <c r="I355" s="5" t="n"/>
      <c r="J355" s="3" t="n"/>
    </row>
    <row r="356" ht="71.25" customHeight="1" s="18">
      <c r="A356" s="5" t="inlineStr">
        <is>
          <t>S2-0350</t>
        </is>
      </c>
      <c r="B356" s="5" t="inlineStr">
        <is>
          <t>B-i</t>
        </is>
      </c>
      <c r="C356" s="3" t="inlineStr">
        <is>
          <t>Goncharok, Dvora; Shifman, Arbel; Apartsin, Alexander; Aperstein, Yehudit</t>
        </is>
      </c>
      <c r="D356" s="6" t="n">
        <v>2025</v>
      </c>
      <c r="E356" s="3" t="inlineStr">
        <is>
          <t>When Curiosity Signals Danger: Predicting Health Crises Through Online Medication Inquiries</t>
        </is>
      </c>
      <c r="F356" s="3" t="inlineStr">
        <is>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is>
      </c>
      <c r="G356" s="5" t="inlineStr">
        <is>
          <t>Preprint (arXiv)</t>
        </is>
      </c>
      <c r="H356" s="5" t="n"/>
      <c r="I356" s="5" t="n"/>
      <c r="J356" s="3" t="n"/>
    </row>
    <row r="357" ht="42.75" customHeight="1" s="18">
      <c r="A357" s="5" t="inlineStr">
        <is>
          <t>S2-0351</t>
        </is>
      </c>
      <c r="B357" s="5" t="inlineStr">
        <is>
          <t>B-i</t>
        </is>
      </c>
      <c r="C357" s="3" t="inlineStr">
        <is>
          <t>Zhou, Xiaofan; Wang, Zisu; Krieger, Janice; Zalake, Mohan; Cheng, Lu</t>
        </is>
      </c>
      <c r="D357" s="6" t="n">
        <v>2025</v>
      </c>
      <c r="E357" s="3" t="inlineStr">
        <is>
          <t>Smart Trial: Evaluating the Use of Large Language Models for Recruiting Clinical Trial Participants via Social Media</t>
        </is>
      </c>
      <c r="F357" s="3" t="inlineStr">
        <is>
          <t>...time-consuming and geographically constrained. This work addresses the recruitment challenge by leveraging the vast amount of health-related information individuals share on social...</t>
        </is>
      </c>
      <c r="G357" s="5" t="inlineStr">
        <is>
          <t>Preprint (arXiv)</t>
        </is>
      </c>
      <c r="H357" s="5" t="n"/>
      <c r="I357" s="5" t="n"/>
      <c r="J357" s="3" t="n"/>
    </row>
    <row r="358" ht="42.75" customHeight="1" s="18">
      <c r="A358" s="5" t="inlineStr">
        <is>
          <t>S2-0352</t>
        </is>
      </c>
      <c r="B358" s="5" t="inlineStr">
        <is>
          <t>B-i</t>
        </is>
      </c>
      <c r="C358" s="3" t="inlineStr">
        <is>
          <t>Pangtey, Lata; Kabde, Omkar; Dar, Shahid Shafi; Kumar, Nagendra</t>
        </is>
      </c>
      <c r="D358" s="6" t="n">
        <v>2025</v>
      </c>
      <c r="E358" s="3" t="inlineStr">
        <is>
          <t>Two Stage Context Learning with Large Language Models for Multimodal Stance Detection on Climate Change</t>
        </is>
      </c>
      <c r="F358" s="3" t="inlineStr">
        <is>
          <t>With the rapid proliferation of information across digital platforms, stance...</t>
        </is>
      </c>
      <c r="G358" s="5" t="inlineStr">
        <is>
          <t>Preprint (arXiv)</t>
        </is>
      </c>
      <c r="H358" s="5" t="n"/>
      <c r="I358" s="5" t="n"/>
      <c r="J358" s="3" t="n"/>
    </row>
    <row r="359" ht="42.75" customHeight="1" s="18">
      <c r="A359" s="5" t="inlineStr">
        <is>
          <t>S2-0353</t>
        </is>
      </c>
      <c r="B359" s="5" t="inlineStr">
        <is>
          <t>B-i</t>
        </is>
      </c>
      <c r="C359" s="3" t="inlineStr">
        <is>
          <t>Dey, Sumon Kanti; Powell, Jeanne M.; Ismail, Azra; Perrone, Jeanmarie; Sarker, Abeed</t>
        </is>
      </c>
      <c r="D359" s="6" t="n">
        <v>2025</v>
      </c>
      <c r="E359" s="3" t="inlineStr">
        <is>
          <t>Inference Gap in Domain Expertise and Machine Intelligence in Named Entity Recognition: Creation of and Insights from a Substance Use-related Dataset</t>
        </is>
      </c>
      <c r="F359" s="3" t="inlineStr">
        <is>
          <t>Nonmedical opioid use is an urgent public health challenge, with far-reaching clinical and social consequences that are often underreported in traditional healthcare settings. Social...</t>
        </is>
      </c>
      <c r="G359" s="5" t="inlineStr">
        <is>
          <t>Preprint (arXiv)</t>
        </is>
      </c>
      <c r="H359" s="5" t="n"/>
      <c r="I359" s="5" t="n"/>
      <c r="J359" s="3" t="n"/>
    </row>
    <row r="360" ht="28.5" customHeight="1" s="18">
      <c r="A360" s="5" t="inlineStr">
        <is>
          <t>S2-0354</t>
        </is>
      </c>
      <c r="B360" s="5" t="inlineStr">
        <is>
          <t>B-i</t>
        </is>
      </c>
      <c r="C360" s="3" t="inlineStr">
        <is>
          <t>Skorski, Maciej; Landowska, Alina</t>
        </is>
      </c>
      <c r="D360" s="6" t="n">
        <v>2025</v>
      </c>
      <c r="E360" s="3" t="inlineStr">
        <is>
          <t>Beyond Human Judgment: A Bayesian Evaluation of LLMs' Moral Values Understanding</t>
        </is>
      </c>
      <c r="F360" s="3" t="inlineStr">
        <is>
          <t>How do Large...</t>
        </is>
      </c>
      <c r="G360" s="5" t="inlineStr">
        <is>
          <t>Preprint (arXiv)</t>
        </is>
      </c>
      <c r="H360" s="5" t="inlineStr">
        <is>
          <t>10.18653/v1/2025.uncertainlp-main.3</t>
        </is>
      </c>
      <c r="I360" s="5" t="n"/>
      <c r="J360" s="3" t="n"/>
    </row>
    <row r="361" ht="28.5" customHeight="1" s="18">
      <c r="A361" s="5" t="inlineStr">
        <is>
          <t>S2-0355</t>
        </is>
      </c>
      <c r="B361" s="5" t="inlineStr">
        <is>
          <t>B-i</t>
        </is>
      </c>
      <c r="C361" s="3" t="inlineStr">
        <is>
          <t>Zerkouk, Meriem; Mihoubi, Miloud; Chikhaoui, Belkacem</t>
        </is>
      </c>
      <c r="D361" s="6" t="n">
        <v>2025</v>
      </c>
      <c r="E361" s="3" t="inlineStr">
        <is>
          <t>Contextual Attention-Based Multimodal Fusion of LLM and CNN for Sentiment Analysis</t>
        </is>
      </c>
      <c r="F361" s="3" t="inlineStr">
        <is>
          <t>This paper introduces a novel approach for multimodal sentiment...</t>
        </is>
      </c>
      <c r="G361" s="5" t="inlineStr">
        <is>
          <t>Preprint (arXiv)</t>
        </is>
      </c>
      <c r="H361" s="5" t="n"/>
      <c r="I361" s="5" t="n"/>
      <c r="J361" s="3" t="n"/>
    </row>
    <row r="362" ht="42.75" customHeight="1" s="18">
      <c r="A362" s="5" t="inlineStr">
        <is>
          <t>S2-0356</t>
        </is>
      </c>
      <c r="B362" s="5" t="inlineStr">
        <is>
          <t>B-i</t>
        </is>
      </c>
      <c r="C362" s="3" t="inlineStr">
        <is>
          <t>Thakur, Rakesh; Sharma, Sneha; Chopra, Gauri</t>
        </is>
      </c>
      <c r="D362" s="6" t="n">
        <v>2025</v>
      </c>
      <c r="E362" s="3" t="inlineStr">
        <is>
          <t>HiFACTMix: A Code-Mixed Benchmark and Graph-Aware Model for EvidenceBased Political Claim Verification in Hinglish</t>
        </is>
      </c>
      <c r="F362" s="3" t="inlineStr">
        <is>
          <t>Fact-checking in code-mixed, low-...</t>
        </is>
      </c>
      <c r="G362" s="5" t="inlineStr">
        <is>
          <t>Preprint (arXiv)</t>
        </is>
      </c>
      <c r="H362" s="5" t="n"/>
      <c r="I362" s="5" t="n"/>
      <c r="J362" s="3" t="n"/>
    </row>
    <row r="363" ht="28.5" customHeight="1" s="18">
      <c r="A363" s="5" t="inlineStr">
        <is>
          <t>S2-0357</t>
        </is>
      </c>
      <c r="B363" s="5" t="inlineStr">
        <is>
          <t>B-i</t>
        </is>
      </c>
      <c r="C363" s="3" t="inlineStr">
        <is>
          <t>Šmíd, Jakub; Přibáň, Pavel; Král, Pavel</t>
        </is>
      </c>
      <c r="D363" s="6" t="n">
        <v>2025</v>
      </c>
      <c r="E363" s="3" t="inlineStr">
        <is>
          <t>LLaMA-Based Models for Aspect-Based Sentiment Analysis</t>
        </is>
      </c>
      <c r="F363" s="3" t="inlineStr">
        <is>
          <t>While large...</t>
        </is>
      </c>
      <c r="G363" s="5" t="inlineStr">
        <is>
          <t>Preprint (arXiv)</t>
        </is>
      </c>
      <c r="H363" s="5" t="inlineStr">
        <is>
          <t>10.18653/v1/2024.wassa-1.6</t>
        </is>
      </c>
      <c r="I363" s="5" t="n"/>
      <c r="J363" s="3" t="n"/>
    </row>
    <row r="364" ht="42.75" customHeight="1" s="18">
      <c r="A364" s="5" t="inlineStr">
        <is>
          <t>S2-0358</t>
        </is>
      </c>
      <c r="B364" s="5" t="inlineStr">
        <is>
          <t>B-i</t>
        </is>
      </c>
      <c r="C364" s="3" t="inlineStr">
        <is>
          <t>Nasuto, Andrea; Iacus, Stefano Maria; Rowe, Francisco; Jain, Devika</t>
        </is>
      </c>
      <c r="D364" s="6" t="n">
        <v>2025</v>
      </c>
      <c r="E364" s="3" t="inlineStr">
        <is>
          <t>Learning the Topic, Not the Language: How LLMs Classify Online Immigration Discourse Across Languages</t>
        </is>
      </c>
      <c r="F364" s="3" t="inlineStr">
        <is>
          <t>Large...</t>
        </is>
      </c>
      <c r="G364" s="5" t="inlineStr">
        <is>
          <t>Preprint (arXiv)</t>
        </is>
      </c>
      <c r="H364" s="5" t="n"/>
      <c r="I364" s="5" t="n"/>
      <c r="J364" s="3" t="n"/>
    </row>
    <row r="365" ht="57" customHeight="1" s="18">
      <c r="A365" s="5" t="inlineStr">
        <is>
          <t>S2-0359</t>
        </is>
      </c>
      <c r="B365" s="5" t="inlineStr">
        <is>
          <t>B-i</t>
        </is>
      </c>
      <c r="C365" s="3" t="inlineStr">
        <is>
          <t>Dzafic, Amina; Kavut, Merve; Bayram, Ulya</t>
        </is>
      </c>
      <c r="D365" s="6" t="n">
        <v>2025</v>
      </c>
      <c r="E365" s="3" t="inlineStr">
        <is>
          <t>Rethinking Suicidal Ideation Detection: A Trustworthy Annotation Framework and Cross-Lingual Model Evaluation</t>
        </is>
      </c>
      <c r="F365" s="3" t="inlineStr">
        <is>
          <t>Suicidal ideation detection is critical for real-time suicide prevention, yet its progress faces two under-explored challenges: limited language coverage and unreliable annotation practices. Most available datasets are in English, but even among these, high-quality, human-...</t>
        </is>
      </c>
      <c r="G365" s="5" t="inlineStr">
        <is>
          <t>Preprint (arXiv)</t>
        </is>
      </c>
      <c r="H365" s="5" t="n"/>
      <c r="I365" s="5" t="n"/>
      <c r="J365" s="3" t="n"/>
    </row>
    <row r="366" ht="71.25" customHeight="1" s="18">
      <c r="A366" s="5" t="inlineStr">
        <is>
          <t>S2-0360</t>
        </is>
      </c>
      <c r="B366" s="5" t="inlineStr">
        <is>
          <t>B-i</t>
        </is>
      </c>
      <c r="C366" s="3" t="inlineStr">
        <is>
          <t>Almeida, Vinicius Anjos de; Camargo, Vinicius de; Gómez-Bravo, Raquel; Haring, Egbert van der; Boven, Kees van; Finger, Marcelo; Lopez, Luis Fernandez</t>
        </is>
      </c>
      <c r="D366" s="6" t="n">
        <v>2025</v>
      </c>
      <c r="E366" s="3" t="inlineStr">
        <is>
          <t>Large Language Models as Medical Codes Selectors: a benchmark using the International Classification of Primary Care</t>
        </is>
      </c>
      <c r="F366" s="3" t="inlineStr">
        <is>
          <t>Background: Medical coding structures healthcare data for research, quality monitoring, and policy. This study assesses the potential of large...</t>
        </is>
      </c>
      <c r="G366" s="5" t="inlineStr">
        <is>
          <t>Preprint (arXiv)</t>
        </is>
      </c>
      <c r="H366" s="5" t="n"/>
      <c r="I366" s="5" t="n"/>
      <c r="J366" s="3" t="n"/>
    </row>
    <row r="367" ht="28.5" customHeight="1" s="18">
      <c r="A367" s="5" t="inlineStr">
        <is>
          <t>S2-0361</t>
        </is>
      </c>
      <c r="B367" s="5" t="inlineStr">
        <is>
          <t>B-i</t>
        </is>
      </c>
      <c r="C367" s="3" t="inlineStr">
        <is>
          <t>Liu, Junjie; Tian, Yuanhe; Song, Yan</t>
        </is>
      </c>
      <c r="D367" s="6" t="n">
        <v>2025</v>
      </c>
      <c r="E367" s="3" t="inlineStr">
        <is>
          <t>Balanced Training Data Augmentation for Aspect-Based Sentiment Analysis</t>
        </is>
      </c>
      <c r="F367" s="3" t="inlineStr">
        <is>
          <t>Aspect-based sentiment...</t>
        </is>
      </c>
      <c r="G367" s="5" t="inlineStr">
        <is>
          <t>Preprint (arXiv)</t>
        </is>
      </c>
      <c r="H367" s="5" t="n"/>
      <c r="I367" s="5" t="n"/>
      <c r="J367" s="3" t="n"/>
    </row>
    <row r="368" ht="42.75" customHeight="1" s="18">
      <c r="A368" s="5" t="inlineStr">
        <is>
          <t>S2-0362</t>
        </is>
      </c>
      <c r="B368" s="5" t="inlineStr">
        <is>
          <t>B-i</t>
        </is>
      </c>
      <c r="C368" s="3" t="inlineStr">
        <is>
          <t>Sharma, Vivek; Shokri, Mohammad Mahdi; Levitan, Sarah Ita; Filatova, Elena; Jain, Shweta</t>
        </is>
      </c>
      <c r="D368" s="6" t="n">
        <v>2025</v>
      </c>
      <c r="E368" s="3" t="inlineStr">
        <is>
          <t>Analysis of Propaganda in Tweets From Politically Biased Sources</t>
        </is>
      </c>
      <c r="F368" s="3" t="inlineStr">
        <is>
          <t>...with popular news outlets, in propagating their bias using some form of propaganda- like language. We introduce JMBX(Journalist Media Bias on X), a systematically collected and annotated dataset of 1874 tweets from...</t>
        </is>
      </c>
      <c r="G368" s="5" t="inlineStr">
        <is>
          <t>Preprint (arXiv)</t>
        </is>
      </c>
      <c r="H368" s="5" t="inlineStr">
        <is>
          <t>10.32473/flairs.38.1.138706</t>
        </is>
      </c>
      <c r="I368" s="5" t="n"/>
      <c r="J368" s="3" t="n"/>
    </row>
    <row r="369" ht="28.5" customHeight="1" s="18">
      <c r="A369" s="5" t="inlineStr">
        <is>
          <t>S2-0363</t>
        </is>
      </c>
      <c r="B369" s="5" t="inlineStr">
        <is>
          <t>B-i</t>
        </is>
      </c>
      <c r="C369" s="3" t="inlineStr">
        <is>
          <t>Fan, Wenlu; Xu, Wentao</t>
        </is>
      </c>
      <c r="D369" s="6" t="n">
        <v>2025</v>
      </c>
      <c r="E369" s="3" t="inlineStr">
        <is>
          <t>Artificial Intelligence and Civil Discourse: How LLMs Moderate Climate Change Conversations</t>
        </is>
      </c>
      <c r="F369" s="3" t="inlineStr">
        <is>
          <t>As large...</t>
        </is>
      </c>
      <c r="G369" s="5" t="inlineStr">
        <is>
          <t>Preprint (arXiv)</t>
        </is>
      </c>
      <c r="H369" s="5" t="n"/>
      <c r="I369" s="5" t="n"/>
      <c r="J369" s="3" t="n"/>
    </row>
    <row r="370" ht="57" customHeight="1" s="18">
      <c r="A370" s="5" t="inlineStr">
        <is>
          <t>S2-0364</t>
        </is>
      </c>
      <c r="B370" s="5" t="inlineStr">
        <is>
          <t>B-i</t>
        </is>
      </c>
      <c r="C370" s="3" t="inlineStr">
        <is>
          <t>Usman, Muhammad; Ahmad, Muhammad; Tash, M. Shahiki; Gelbukh, Irina; Tellez, Rolando Quintero; Sidorov, Grigori</t>
        </is>
      </c>
      <c r="D370" s="6" t="n">
        <v>2025</v>
      </c>
      <c r="E370" s="3" t="inlineStr">
        <is>
          <t>Multilingual Hate Speech Detection in Social Media Using Translation-Based Approaches with Large Language Models</t>
        </is>
      </c>
      <c r="F370" s="3" t="inlineStr">
        <is>
          <t>Social...</t>
        </is>
      </c>
      <c r="G370" s="5" t="inlineStr">
        <is>
          <t>Preprint (arXiv)</t>
        </is>
      </c>
      <c r="H370" s="5" t="n"/>
      <c r="I370" s="5" t="n"/>
      <c r="J370" s="3" t="n"/>
    </row>
    <row r="371" ht="42.75" customHeight="1" s="18">
      <c r="A371" s="5" t="inlineStr">
        <is>
          <t>S2-0365</t>
        </is>
      </c>
      <c r="B371" s="5" t="inlineStr">
        <is>
          <t>B-i</t>
        </is>
      </c>
      <c r="C371" s="3" t="inlineStr">
        <is>
          <t>Li, Yue; Vasilakes, Jake; Zhao, Zhixue; Scarton, Carolina</t>
        </is>
      </c>
      <c r="D371" s="6" t="n">
        <v>2025</v>
      </c>
      <c r="E371" s="3" t="inlineStr">
        <is>
          <t>SCRum-9: Multilingual Stance Classification over Rumours on Social Media</t>
        </is>
      </c>
      <c r="F371" s="3" t="inlineStr">
        <is>
          <t>...SCRum-9 goes beyond existing stance classification datasets by covering more languages, linking examples to more fact-checked claims (2.1k), and including confidence-related annotations from multiple...</t>
        </is>
      </c>
      <c r="G371" s="5" t="inlineStr">
        <is>
          <t>Preprint (arXiv)</t>
        </is>
      </c>
      <c r="H371" s="5" t="n"/>
      <c r="I371" s="5" t="n"/>
      <c r="J371" s="3" t="n"/>
    </row>
    <row r="372" ht="71.25" customHeight="1" s="18">
      <c r="A372" s="5" t="inlineStr">
        <is>
          <t>S2-0366</t>
        </is>
      </c>
      <c r="B372" s="5" t="inlineStr">
        <is>
          <t>B-i</t>
        </is>
      </c>
      <c r="C372" s="3" t="inlineStr">
        <is>
          <t>Liu, Mengzhu; Zhu, Zhengqiu; Ai, Chuan; Gao, Chen; Li, Xinghong; He, Lingnan; Lai, Kaisheng; Chen, Yingfeng; Lu, Xin; Li, Yong; Yin, Quanjun</t>
        </is>
      </c>
      <c r="D372" s="6" t="n">
        <v>2025</v>
      </c>
      <c r="E372" s="3" t="inlineStr">
        <is>
          <t>Psychology-driven LLM Agents for Explainable Panic Prediction on Social Media during Sudden Disaster Events</t>
        </is>
      </c>
      <c r="F372" s="3" t="inlineStr">
        <is>
          <t>During sudden disaster events, accurately predicting public panic sentiment on social...</t>
        </is>
      </c>
      <c r="G372" s="5" t="inlineStr">
        <is>
          <t>Preprint (arXiv)</t>
        </is>
      </c>
      <c r="H372" s="5" t="n"/>
      <c r="I372" s="5" t="n"/>
      <c r="J372" s="3" t="n"/>
    </row>
    <row r="373" ht="28.5" customHeight="1" s="18">
      <c r="A373" s="5" t="inlineStr">
        <is>
          <t>S2-0367</t>
        </is>
      </c>
      <c r="B373" s="5" t="inlineStr">
        <is>
          <t>B-i</t>
        </is>
      </c>
      <c r="C373" s="3" t="inlineStr">
        <is>
          <t>Elumar, Eray Can; Tekin, Cem; Yagan, Osman</t>
        </is>
      </c>
      <c r="D373" s="6" t="n">
        <v>2025</v>
      </c>
      <c r="E373" s="3" t="inlineStr">
        <is>
          <t>Cost-aware LLM-based Online Dataset Annotation</t>
        </is>
      </c>
      <c r="F373" s="3" t="inlineStr">
        <is>
          <t>Recent advances in large...</t>
        </is>
      </c>
      <c r="G373" s="5" t="inlineStr">
        <is>
          <t>Preprint (arXiv)</t>
        </is>
      </c>
      <c r="H373" s="5" t="n"/>
      <c r="I373" s="5" t="n"/>
      <c r="J373" s="3" t="n"/>
    </row>
    <row r="374" ht="42.75" customHeight="1" s="18">
      <c r="A374" s="5" t="inlineStr">
        <is>
          <t>S2-0368</t>
        </is>
      </c>
      <c r="B374" s="5" t="inlineStr">
        <is>
          <t>B-i</t>
        </is>
      </c>
      <c r="C374" s="3" t="inlineStr">
        <is>
          <t>Huang, Chen; Luo, Junkai; Wang, Xinzuo; Lei, Wenqiang; Lv, Jiancheng</t>
        </is>
      </c>
      <c r="D374" s="6" t="n">
        <v>2025</v>
      </c>
      <c r="E374" s="3" t="inlineStr">
        <is>
          <t>Can Large Language Models Understand Internet Buzzwords Through User- Generated Content</t>
        </is>
      </c>
      <c r="F374" s="3" t="inlineStr">
        <is>
          <t>The massive user-...</t>
        </is>
      </c>
      <c r="G374" s="5" t="inlineStr">
        <is>
          <t>Preprint (arXiv)</t>
        </is>
      </c>
      <c r="H374" s="5" t="n"/>
      <c r="I374" s="5" t="n"/>
      <c r="J374" s="3" t="n"/>
    </row>
    <row r="375" ht="28.5" customHeight="1" s="18">
      <c r="A375" s="5" t="inlineStr">
        <is>
          <t>S2-0369</t>
        </is>
      </c>
      <c r="B375" s="5" t="inlineStr">
        <is>
          <t>B-i</t>
        </is>
      </c>
      <c r="C375" s="3" t="inlineStr">
        <is>
          <t>Qin, Zhenkai; He, Jiajing; Fang, Qiao</t>
        </is>
      </c>
      <c r="D375" s="6" t="n">
        <v>2025</v>
      </c>
      <c r="E375" s="3" t="inlineStr">
        <is>
          <t>PL-FGSA: A Prompt Learning Framework for Fine-Grained Sentiment Analysis Based on MindSpore</t>
        </is>
      </c>
      <c r="F375" s="3" t="inlineStr">
        <is>
          <t>Fine-grained sentiment...</t>
        </is>
      </c>
      <c r="G375" s="5" t="inlineStr">
        <is>
          <t>Preprint (arXiv)</t>
        </is>
      </c>
      <c r="H375" s="5" t="n"/>
      <c r="I375" s="5" t="n"/>
      <c r="J375" s="3" t="n"/>
    </row>
    <row r="376" ht="28.5" customHeight="1" s="18">
      <c r="A376" s="5" t="inlineStr">
        <is>
          <t>S2-0370</t>
        </is>
      </c>
      <c r="B376" s="5" t="inlineStr">
        <is>
          <t>B-i</t>
        </is>
      </c>
      <c r="C376" s="3" t="inlineStr">
        <is>
          <t>Nemkova, Poli Apollinaire; Ubani, Solomon; Albert, Mark V.</t>
        </is>
      </c>
      <c r="D376" s="6" t="n">
        <v>2025</v>
      </c>
      <c r="E376" s="3" t="inlineStr">
        <is>
          <t>Comparing LLM Text Annotation Skills: A Study on Human Rights Violations in Social Media Data</t>
        </is>
      </c>
      <c r="F376" s="3" t="inlineStr">
        <is>
          <t>In the era of increasingly sophisticated natural language processing (NLP) systems, large...</t>
        </is>
      </c>
      <c r="G376" s="5" t="inlineStr">
        <is>
          <t>Preprint (arXiv)</t>
        </is>
      </c>
      <c r="H376" s="5" t="n"/>
      <c r="I376" s="5" t="n"/>
      <c r="J376" s="3" t="n"/>
    </row>
    <row r="377" ht="71.25" customHeight="1" s="18">
      <c r="A377" s="5" t="inlineStr">
        <is>
          <t>S2-0371</t>
        </is>
      </c>
      <c r="B377" s="5" t="inlineStr">
        <is>
          <t>B-i</t>
        </is>
      </c>
      <c r="C377" s="3" t="inlineStr">
        <is>
          <t>Zhou, Sulong; Huang, Qunying; Zhou, Shaoheng; Hang, Yun; Ye, Xinyue; Mei, Aodong; Phung, Kathryn; Ye, Yuning; Govindswamy, Uma; Li, Zehan</t>
        </is>
      </c>
      <c r="D377" s="6" t="n">
        <v>2026</v>
      </c>
      <c r="E377" s="3" t="inlineStr">
        <is>
          <t>Tales of the 2025 Los Angeles Fire: Hotwash for Public Health Concerns in Reddit via LLM-Enhanced Topic Modeling</t>
        </is>
      </c>
      <c r="F377" s="3" t="inlineStr">
        <is>
          <t>...and severe in recent years. Understanding how affected populations perceive and respond during wildfire crises is critical for timely and empathetic disaster response. Social...</t>
        </is>
      </c>
      <c r="G377" s="5" t="inlineStr">
        <is>
          <t>Preprint (arXiv)</t>
        </is>
      </c>
      <c r="H377" s="5" t="n"/>
      <c r="I377" s="5" t="n"/>
      <c r="J377" s="3" t="n"/>
    </row>
    <row r="378" ht="42.75" customHeight="1" s="18">
      <c r="A378" s="5" t="inlineStr">
        <is>
          <t>S2-0372</t>
        </is>
      </c>
      <c r="B378" s="5" t="inlineStr">
        <is>
          <t>B-i</t>
        </is>
      </c>
      <c r="C378" s="3" t="inlineStr">
        <is>
          <t>Pangtey, Lata; Bhatnagar, Anukriti; Bansal, Shubhi; Dar, Shahid Shafi; Kumar, Nagendra</t>
        </is>
      </c>
      <c r="D378" s="6" t="n">
        <v>2026</v>
      </c>
      <c r="E378" s="3" t="inlineStr">
        <is>
          <t>Large Language Models Meet Stance Detection: A Survey of Tasks, Methods, Applications, Challenges and Future Directions</t>
        </is>
      </c>
      <c r="F378" s="3" t="inlineStr">
        <is>
          <t>Stance...</t>
        </is>
      </c>
      <c r="G378" s="5" t="inlineStr">
        <is>
          <t>Preprint (arXiv)</t>
        </is>
      </c>
      <c r="H378" s="5" t="n"/>
      <c r="I378" s="5" t="n"/>
      <c r="J378" s="3" t="n"/>
    </row>
    <row r="379" ht="57" customHeight="1" s="18">
      <c r="A379" s="5" t="inlineStr">
        <is>
          <t>S2-0373</t>
        </is>
      </c>
      <c r="B379" s="5" t="inlineStr">
        <is>
          <t>B-i</t>
        </is>
      </c>
      <c r="C379" s="3" t="inlineStr">
        <is>
          <t>Pandey, Manish; Yadav, Nageshwar Prasad; Adduru, Mokshada; Rai, Sawan</t>
        </is>
      </c>
      <c r="D379" s="6" t="n">
        <v>2025</v>
      </c>
      <c r="E379" s="3" t="inlineStr">
        <is>
          <t>Creating and Evaluating Code-Mixed Nepali-English and Telugu-English Datasets for Abusive Language Detection Using Traditional and Deep Learning Models</t>
        </is>
      </c>
      <c r="F379" s="3" t="inlineStr">
        <is>
          <t>With the growing presence of multilingual users on social...</t>
        </is>
      </c>
      <c r="G379" s="5" t="inlineStr">
        <is>
          <t>Preprint (arXiv)</t>
        </is>
      </c>
      <c r="H379" s="5" t="n"/>
      <c r="I379" s="5" t="n"/>
      <c r="J379" s="3" t="n"/>
    </row>
    <row r="380" ht="28.5" customHeight="1" s="18">
      <c r="A380" s="5" t="inlineStr">
        <is>
          <t>S2-0374</t>
        </is>
      </c>
      <c r="B380" s="5" t="inlineStr">
        <is>
          <t>B-i</t>
        </is>
      </c>
      <c r="C380" s="3" t="inlineStr">
        <is>
          <t>Qin, Zhenkai; Wu, Dongze; Liu, Yuxin; Yang, Guifang</t>
        </is>
      </c>
      <c r="D380" s="6" t="n">
        <v>2025</v>
      </c>
      <c r="E380" s="3" t="inlineStr">
        <is>
          <t>Few-shot Hate Speech Detection Based on the MindSpore Framework</t>
        </is>
      </c>
      <c r="F380" s="3" t="inlineStr">
        <is>
          <t>The proliferation of hate speech on social...</t>
        </is>
      </c>
      <c r="G380" s="5" t="inlineStr">
        <is>
          <t>Preprint (arXiv)</t>
        </is>
      </c>
      <c r="H380" s="5" t="n"/>
      <c r="I380" s="5" t="n"/>
      <c r="J380" s="3" t="n"/>
    </row>
    <row r="381" ht="28.5" customHeight="1" s="18">
      <c r="A381" s="5" t="inlineStr">
        <is>
          <t>S2-0375</t>
        </is>
      </c>
      <c r="B381" s="5" t="inlineStr">
        <is>
          <t>B-i</t>
        </is>
      </c>
      <c r="C381" s="3" t="inlineStr">
        <is>
          <t>Meguellati, Elyas; Zeghina, Assaad; Sadiq, Shazia; Demartini, Gianluca</t>
        </is>
      </c>
      <c r="D381" s="6" t="n">
        <v>2025</v>
      </c>
      <c r="E381" s="3" t="inlineStr">
        <is>
          <t>LLM-based Semantic Augmentation for Harmful Content Detection</t>
        </is>
      </c>
      <c r="F381" s="3" t="inlineStr">
        <is>
          <t>Recent advances in large...</t>
        </is>
      </c>
      <c r="G381" s="5" t="inlineStr">
        <is>
          <t>Preprint (arXiv)</t>
        </is>
      </c>
      <c r="H381" s="5" t="n"/>
      <c r="I381" s="5" t="n"/>
      <c r="J381" s="3" t="n"/>
    </row>
    <row r="382" ht="42.75" customHeight="1" s="18">
      <c r="A382" s="5" t="inlineStr">
        <is>
          <t>S2-0376</t>
        </is>
      </c>
      <c r="B382" s="5" t="inlineStr">
        <is>
          <t>B-i</t>
        </is>
      </c>
      <c r="C382" s="3" t="inlineStr">
        <is>
          <t>Sherritt, Braeden; Nejadgholi, Isar; Aivaliotis, Efstratios; Mslmani, Khaled; Amini, Marzieh</t>
        </is>
      </c>
      <c r="D382" s="6" t="n">
        <v>2025</v>
      </c>
      <c r="E382" s="3" t="inlineStr">
        <is>
          <t>WildFireCan-MMD: A Multimodal Dataset for Classification of User- Generated Content During Wildfires in Canada</t>
        </is>
      </c>
      <c r="F382" s="3" t="inlineStr">
        <is>
          <t>Rapid information access is vital during wildfires, yet traditional data sources are slow and costly. Social...</t>
        </is>
      </c>
      <c r="G382" s="5" t="inlineStr">
        <is>
          <t>Preprint (arXiv)</t>
        </is>
      </c>
      <c r="H382" s="5" t="n"/>
      <c r="I382" s="5" t="n"/>
      <c r="J382" s="3" t="n"/>
    </row>
    <row r="383" ht="42.75" customHeight="1" s="18">
      <c r="A383" s="5" t="inlineStr">
        <is>
          <t>S2-0377</t>
        </is>
      </c>
      <c r="B383" s="5" t="inlineStr">
        <is>
          <t>B-i</t>
        </is>
      </c>
      <c r="C383" s="3" t="inlineStr">
        <is>
          <t>Gole, Montgomery; Miranskyy, Andriy</t>
        </is>
      </c>
      <c r="D383" s="6" t="n">
        <v>2025</v>
      </c>
      <c r="E383" s="3" t="inlineStr">
        <is>
          <t>Assessing how hyperparameters impact Large Language Models' sarcasm detection performance</t>
        </is>
      </c>
      <c r="F383" s="3" t="inlineStr">
        <is>
          <t>...impact sarcasm detection in OpenAI's GPT, and Meta's Llama-2 models, given their strong natural language understanding, and popularity. We evaluate fine-tuned and zero-...</t>
        </is>
      </c>
      <c r="G383" s="5" t="inlineStr">
        <is>
          <t>Preprint (arXiv)</t>
        </is>
      </c>
      <c r="H383" s="5" t="n"/>
      <c r="I383" s="5" t="n"/>
      <c r="J383" s="3" t="n"/>
    </row>
    <row r="384" ht="57" customHeight="1" s="18">
      <c r="A384" s="5" t="inlineStr">
        <is>
          <t>S2-0378</t>
        </is>
      </c>
      <c r="B384" s="5" t="inlineStr">
        <is>
          <t>B-i</t>
        </is>
      </c>
      <c r="C384" s="3" t="inlineStr">
        <is>
          <t>Xiao, Yunze; He, Tingyu; Wang, Lionel Z.; Ma, Yiming; Song, Xingyu; Xu, Xiaohang; Diab, Mona; Li, Irene; Ng, Ka Chung</t>
        </is>
      </c>
      <c r="D384" s="6" t="n">
        <v>2026</v>
      </c>
      <c r="E384" s="3" t="inlineStr">
        <is>
          <t>JiraiBench: A Bilingual Benchmark for Evaluating Large Language Models' Detection of Human Self-Destructive Behavior Content in Jirai Community</t>
        </is>
      </c>
      <c r="F384" s="3" t="inlineStr">
        <is>
          <t>This paper introduces JiraiBench, the first bilingual benchmark for evaluating...</t>
        </is>
      </c>
      <c r="G384" s="5" t="inlineStr">
        <is>
          <t>Preprint (arXiv)</t>
        </is>
      </c>
      <c r="H384" s="5" t="n"/>
      <c r="I384" s="5" t="n"/>
      <c r="J384" s="3" t="n"/>
    </row>
    <row r="385" ht="28.5" customHeight="1" s="18">
      <c r="A385" s="5" t="inlineStr">
        <is>
          <t>S2-0379</t>
        </is>
      </c>
      <c r="B385" s="5" t="inlineStr">
        <is>
          <t>B-i</t>
        </is>
      </c>
      <c r="C385" s="3" t="inlineStr">
        <is>
          <t>Guo, Yuting; Sarker, Abeed</t>
        </is>
      </c>
      <c r="D385" s="6" t="n">
        <v>2025</v>
      </c>
      <c r="E385" s="3" t="inlineStr">
        <is>
          <t>Benchmarking Open-Source Large Language Models on Healthcare Text Classification Tasks</t>
        </is>
      </c>
      <c r="F385" s="3" t="inlineStr">
        <is>
          <t>The application of large...</t>
        </is>
      </c>
      <c r="G385" s="5" t="inlineStr">
        <is>
          <t>Preprint (arXiv)</t>
        </is>
      </c>
      <c r="H385" s="5" t="n"/>
      <c r="I385" s="5" t="n"/>
      <c r="J385" s="3" t="n"/>
    </row>
    <row r="386" ht="42.75" customHeight="1" s="18">
      <c r="A386" s="5" t="inlineStr">
        <is>
          <t>S2-0380</t>
        </is>
      </c>
      <c r="B386" s="5" t="inlineStr">
        <is>
          <t>B-i</t>
        </is>
      </c>
      <c r="C386" s="3" t="inlineStr">
        <is>
          <t>Patil, Avinash; Gedhu, Amardeep Kour</t>
        </is>
      </c>
      <c r="D386" s="6" t="n">
        <v>2026</v>
      </c>
      <c r="E386" s="3" t="inlineStr">
        <is>
          <t>Cognitive-Mental-LLM: Evaluating Reasoning in Large Language Models for Mental Health Prediction via Online Text</t>
        </is>
      </c>
      <c r="F386" s="3" t="inlineStr">
        <is>
          <t>Large...</t>
        </is>
      </c>
      <c r="G386" s="5" t="inlineStr">
        <is>
          <t>Preprint (arXiv)</t>
        </is>
      </c>
      <c r="H386" s="5" t="n"/>
      <c r="I386" s="5" t="n"/>
      <c r="J386" s="3" t="n"/>
    </row>
    <row r="387" ht="28.5" customHeight="1" s="18">
      <c r="A387" s="5" t="inlineStr">
        <is>
          <t>S2-0381</t>
        </is>
      </c>
      <c r="B387" s="5" t="inlineStr">
        <is>
          <t>B-i</t>
        </is>
      </c>
      <c r="C387" s="3" t="inlineStr">
        <is>
          <t>Wei, Tianjun; Wen, Wei; Qiao, Ruizhi; Sun, Xing; Ma, Jianghong</t>
        </is>
      </c>
      <c r="D387" s="6" t="n">
        <v>2025</v>
      </c>
      <c r="E387" s="3" t="inlineStr">
        <is>
          <t>RocketEval: Efficient Automated LLM Evaluation via Grading Checklist</t>
        </is>
      </c>
      <c r="F387" s="3" t="inlineStr">
        <is>
          <t>Evaluating large...</t>
        </is>
      </c>
      <c r="G387" s="5" t="inlineStr">
        <is>
          <t>Preprint (arXiv)</t>
        </is>
      </c>
      <c r="H387" s="5" t="n"/>
      <c r="I387" s="5" t="n"/>
      <c r="J387" s="3" t="n"/>
    </row>
    <row r="388" ht="28.5" customHeight="1" s="18">
      <c r="A388" s="5" t="inlineStr">
        <is>
          <t>S2-0382</t>
        </is>
      </c>
      <c r="B388" s="5" t="inlineStr">
        <is>
          <t>B-i</t>
        </is>
      </c>
      <c r="C388" s="3" t="inlineStr">
        <is>
          <t>Yan, Yu; Sun, Sheng; Tang, Zixiang; Liu, Teli; Liu, Min</t>
        </is>
      </c>
      <c r="D388" s="6" t="n">
        <v>2025</v>
      </c>
      <c r="E388" s="3" t="inlineStr">
        <is>
          <t>Collaborative Stance Detection via Small-Large Language Model Consistency Verification</t>
        </is>
      </c>
      <c r="F388" s="3" t="inlineStr">
        <is>
          <t>Stance...</t>
        </is>
      </c>
      <c r="G388" s="5" t="inlineStr">
        <is>
          <t>Preprint (arXiv)</t>
        </is>
      </c>
      <c r="H388" s="5" t="n"/>
      <c r="I388" s="5" t="n"/>
      <c r="J388" s="3" t="n"/>
    </row>
    <row r="389" ht="42.75" customHeight="1" s="18">
      <c r="A389" s="5" t="inlineStr">
        <is>
          <t>S2-0383</t>
        </is>
      </c>
      <c r="B389" s="5" t="inlineStr">
        <is>
          <t>B-i</t>
        </is>
      </c>
      <c r="C389" s="3" t="inlineStr">
        <is>
          <t>Zeng, Linda; Gupta, Rithwik; Motwani, Divij; Zhang, Yi; Yang, Diji</t>
        </is>
      </c>
      <c r="D389" s="6" t="n">
        <v>2026</v>
      </c>
      <c r="E389" s="3" t="inlineStr">
        <is>
          <t>Worse than Zero-shot? A Fact-Checking Dataset for Evaluating the Robustness of RAG Against Misleading Retrievals</t>
        </is>
      </c>
      <c r="F389" s="3" t="inlineStr">
        <is>
          <t>Retrieval-augmented generation (RAG) has shown impressive capabilities in mitigating hallucinations in large...</t>
        </is>
      </c>
      <c r="G389" s="5" t="inlineStr">
        <is>
          <t>Preprint (arXiv)</t>
        </is>
      </c>
      <c r="H389" s="5" t="n"/>
      <c r="I389" s="5" t="n"/>
      <c r="J389" s="3" t="n"/>
    </row>
    <row r="390" ht="28.5" customHeight="1" s="18">
      <c r="A390" s="5" t="inlineStr">
        <is>
          <t>S2-0384</t>
        </is>
      </c>
      <c r="B390" s="5" t="inlineStr">
        <is>
          <t>B-i</t>
        </is>
      </c>
      <c r="C390" s="3" t="inlineStr">
        <is>
          <t>Murad, Saydul Akbar; Dahal, Ashim; Rahimi, Nick</t>
        </is>
      </c>
      <c r="D390" s="6" t="n">
        <v>2025</v>
      </c>
      <c r="E390" s="3" t="inlineStr">
        <is>
          <t>Multi-Lingual Cyber Threat Detection in Tweets/X Using ML, DL, and LLM: A Comparative Analysis</t>
        </is>
      </c>
      <c r="F390" s="3" t="inlineStr">
        <is>
          <t>Cyber threat detection has become an important area of focus in today's digital age due to the growing spread of fake information and harmful content on social...</t>
        </is>
      </c>
      <c r="G390" s="5" t="inlineStr">
        <is>
          <t>Preprint (arXiv)</t>
        </is>
      </c>
      <c r="H390" s="5" t="inlineStr">
        <is>
          <t>10.1109/tcss.2025.3623021</t>
        </is>
      </c>
      <c r="I390" s="5" t="n"/>
      <c r="J390" s="3" t="n"/>
    </row>
    <row r="391" ht="42.75" customHeight="1" s="18">
      <c r="A391" s="5" t="inlineStr">
        <is>
          <t>S2-0385</t>
        </is>
      </c>
      <c r="B391" s="5" t="inlineStr">
        <is>
          <t>B-i</t>
        </is>
      </c>
      <c r="C391" s="3" t="inlineStr">
        <is>
          <t>Ali, Hasin Jawad; Abrar, Ajwad; Hossain, S. M. Hozaifa; Mridha, M. Firoz</t>
        </is>
      </c>
      <c r="D391" s="6" t="n">
        <v>2026</v>
      </c>
      <c r="E391" s="3" t="inlineStr">
        <is>
          <t>Social media polarization during conflict: Insights from an ideological stance dataset on Israel-Palestine Reddit comments</t>
        </is>
      </c>
      <c r="F391" s="3" t="inlineStr">
        <is>
          <t>In politically sensitive scenarios like wars, social...</t>
        </is>
      </c>
      <c r="G391" s="5" t="inlineStr">
        <is>
          <t>Preprint (arXiv)</t>
        </is>
      </c>
      <c r="H391" s="5" t="n"/>
      <c r="I391" s="5" t="n"/>
      <c r="J391" s="3" t="n"/>
    </row>
    <row r="392" ht="42.75" customHeight="1" s="18">
      <c r="A392" s="5" t="inlineStr">
        <is>
          <t>S2-0386</t>
        </is>
      </c>
      <c r="B392" s="5" t="inlineStr">
        <is>
          <t>B-i</t>
        </is>
      </c>
      <c r="C392" s="3" t="inlineStr">
        <is>
          <t>Sperduti, Gianluca; Moreo, Alejandro</t>
        </is>
      </c>
      <c r="D392" s="6" t="n">
        <v>2025</v>
      </c>
      <c r="E392" s="3" t="inlineStr">
        <is>
          <t>Misspellings in Natural Language Processing: A survey</t>
        </is>
      </c>
      <c r="F392" s="3" t="inlineStr">
        <is>
          <t>...in natural language processing (NLP). While often unintentional, misspellings have become ubiquitous in digital communication, especially with the proliferation of Web 2.0, user-...</t>
        </is>
      </c>
      <c r="G392" s="5" t="inlineStr">
        <is>
          <t>Preprint (arXiv)</t>
        </is>
      </c>
      <c r="H392" s="5" t="n"/>
      <c r="I392" s="5" t="n"/>
      <c r="J392" s="3" t="n"/>
    </row>
    <row r="393" ht="42.75" customHeight="1" s="18">
      <c r="A393" s="5" t="inlineStr">
        <is>
          <t>S2-0387</t>
        </is>
      </c>
      <c r="B393" s="5" t="inlineStr">
        <is>
          <t>B-i</t>
        </is>
      </c>
      <c r="C393" s="3" t="inlineStr">
        <is>
          <t>Zhu, Jianfeng; Jiang, Hailong; Wang, Yulan; Coifman, Karin G.; Jin, Ruoming; Kenne, Deric R.</t>
        </is>
      </c>
      <c r="D393" s="6" t="n">
        <v>2025</v>
      </c>
      <c r="E393" s="3" t="inlineStr">
        <is>
          <t>Emotions, Context, and Substance Use in Adolescents: A Large Language Model Analysis of Reddit Posts</t>
        </is>
      </c>
      <c r="F393" s="3" t="inlineStr">
        <is>
          <t>...contextual factors driving these behaviors remain poorly understood. This study analyzed 23000 substance-use related posts and an equal number of non-substance posts from Reddit's r/teenagers community (2018-2022). Posts were...</t>
        </is>
      </c>
      <c r="G393" s="5" t="inlineStr">
        <is>
          <t>Preprint (arXiv)</t>
        </is>
      </c>
      <c r="H393" s="5" t="n"/>
      <c r="I393" s="5" t="n"/>
      <c r="J393" s="3" t="n"/>
    </row>
    <row r="394" ht="57" customHeight="1" s="18">
      <c r="A394" s="5" t="inlineStr">
        <is>
          <t>S2-0388</t>
        </is>
      </c>
      <c r="B394" s="5" t="inlineStr">
        <is>
          <t>B-i</t>
        </is>
      </c>
      <c r="C394" s="3" t="inlineStr">
        <is>
          <t>Allaham, Mowafak; Lokmanoglu, Ayse D.; Hart, P. Sol; Nisbet, Erik C.</t>
        </is>
      </c>
      <c r="D394" s="6" t="n">
        <v>2025</v>
      </c>
      <c r="E394" s="3" t="inlineStr">
        <is>
          <t>Enhancing LLMs for Governance with Human Oversight: Evaluating and Aligning LLMs on Expert Classification of Climate Misinformation for Detecting False or Misleading Claims about Climate Change</t>
        </is>
      </c>
      <c r="F394" s="3" t="inlineStr">
        <is>
          <t>Climate misinformation is a problem that has the potential to be substantially aggravated by the development of Large...</t>
        </is>
      </c>
      <c r="G394" s="5" t="inlineStr">
        <is>
          <t>Preprint (arXiv)</t>
        </is>
      </c>
      <c r="H394" s="5" t="n"/>
      <c r="I394" s="5" t="n"/>
      <c r="J394" s="3" t="n"/>
    </row>
    <row r="395" ht="71.25" customHeight="1" s="18">
      <c r="A395" s="5" t="inlineStr">
        <is>
          <t>S2-0389</t>
        </is>
      </c>
      <c r="B395" s="5" t="inlineStr">
        <is>
          <t>B-i</t>
        </is>
      </c>
      <c r="C395" s="3" t="inlineStr">
        <is>
          <t>Starovolsky-Shitrit, Alina; Neduva, Alon; Doron, Naama Appel; Gafni, Itamar; Daniel, Ella; Tsur, Oren</t>
        </is>
      </c>
      <c r="D395" s="6" t="n">
        <v>2026</v>
      </c>
      <c r="E395" s="3" t="inlineStr">
        <is>
          <t>The Value of Nothing: Multimodal Extraction of Human Values Expressed by TikTok Influencers</t>
        </is>
      </c>
      <c r="F395" s="3" t="inlineStr">
        <is>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is>
      </c>
      <c r="G395" s="5" t="inlineStr">
        <is>
          <t>Preprint (arXiv)</t>
        </is>
      </c>
      <c r="H395" s="5" t="n"/>
      <c r="I395" s="5" t="n"/>
      <c r="J395" s="3" t="n"/>
    </row>
    <row r="396" ht="71.25" customHeight="1" s="18">
      <c r="A396" s="5" t="inlineStr">
        <is>
          <t>S2-0390</t>
        </is>
      </c>
      <c r="B396" s="5" t="inlineStr">
        <is>
          <t>B-i</t>
        </is>
      </c>
      <c r="C396" s="3" t="inlineStr">
        <is>
          <t>Qiu, Jiaxing; Guo, Dongliang; Papini, Natalie; Peace, Noelle; Fitterman-Harris, Hannah F.; Levinson, Cheri A.; Hartvigsen, Tom; Henry, Teague R.</t>
        </is>
      </c>
      <c r="D396" s="6" t="n">
        <v>2025</v>
      </c>
      <c r="E396" s="3" t="inlineStr">
        <is>
          <t>Labeling Free-text Data using Language Model Ensembles</t>
        </is>
      </c>
      <c r="F396" s="3" t="inlineStr">
        <is>
          <t>...measures may not capture. Labeling curated topics of research interest in free-text data by multiple trained human coders is typically labor-intensive and time-consuming. Though large...</t>
        </is>
      </c>
      <c r="G396" s="5" t="inlineStr">
        <is>
          <t>Preprint (arXiv)</t>
        </is>
      </c>
      <c r="H396" s="5" t="n"/>
      <c r="I396" s="5" t="n"/>
      <c r="J396" s="3" t="n"/>
    </row>
    <row r="397" ht="57" customHeight="1" s="18">
      <c r="A397" s="5" t="inlineStr">
        <is>
          <t>S2-0391</t>
        </is>
      </c>
      <c r="B397" s="5" t="inlineStr">
        <is>
          <t>B-i</t>
        </is>
      </c>
      <c r="C397" s="3" t="inlineStr">
        <is>
          <t>Weber, Manuel; Huber, Moritz; Auch, Maximilian; Döschl, Alexander; Keller, Max-Emanuel; Mandl, Peter</t>
        </is>
      </c>
      <c r="D397" s="6" t="n">
        <v>2025</v>
      </c>
      <c r="E397" s="3" t="inlineStr">
        <is>
          <t>Digital Guardians: Can GPT-4, Perspective API, and Moderation API reliably detect hate speech in reader comments of German online newspapers?</t>
        </is>
      </c>
      <c r="F397" s="3" t="inlineStr">
        <is>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is>
      </c>
      <c r="G397" s="5" t="inlineStr">
        <is>
          <t>Preprint (arXiv)</t>
        </is>
      </c>
      <c r="H397" s="5" t="n"/>
      <c r="I397" s="5" t="n"/>
      <c r="J397" s="3" t="n"/>
    </row>
    <row r="398" ht="57" customHeight="1" s="18">
      <c r="A398" s="5" t="inlineStr">
        <is>
          <t>S2-0392</t>
        </is>
      </c>
      <c r="B398" s="5" t="inlineStr">
        <is>
          <t>B-i</t>
        </is>
      </c>
      <c r="C398" s="3" t="inlineStr">
        <is>
          <t>Philipo, Adamu Gaston; Sarwatt, Doreen Sebastian; Ding, Jianguo; Daneshmand, Mahmoud; Ning, Huansheng</t>
        </is>
      </c>
      <c r="D398" s="6" t="n">
        <v>2024</v>
      </c>
      <c r="E398" s="3" t="inlineStr">
        <is>
          <t>Assessing Text Classification Methods for Cyberbullying Detection on Social Media Platforms</t>
        </is>
      </c>
      <c r="F398" s="3" t="inlineStr">
        <is>
          <t>Cyberbullying significantly contributes to mental health issues in communities by negatively impacting the psychology of victims. It is a prevalent problem on social...</t>
        </is>
      </c>
      <c r="G398" s="5" t="inlineStr">
        <is>
          <t>Preprint (arXiv)</t>
        </is>
      </c>
      <c r="H398" s="5" t="n"/>
      <c r="I398" s="5" t="n"/>
      <c r="J398" s="3" t="n"/>
    </row>
    <row r="399" ht="71.25" customHeight="1" s="18">
      <c r="A399" s="5" t="inlineStr">
        <is>
          <t>S2-0393</t>
        </is>
      </c>
      <c r="B399" s="5" t="inlineStr">
        <is>
          <t>B-i</t>
        </is>
      </c>
      <c r="C399" s="3" t="inlineStr">
        <is>
          <t>Myoya, Rozina L.; Marivate, Vukosi; Abdulmumin, Idris</t>
        </is>
      </c>
      <c r="D399" s="6" t="n">
        <v>2024</v>
      </c>
      <c r="E399" s="3" t="inlineStr">
        <is>
          <t>Analysing Public Transport User Sentiment on Low Resource Multilingual Data</t>
        </is>
      </c>
      <c r="F399" s="3" t="inlineStr">
        <is>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is>
      </c>
      <c r="G399" s="5" t="inlineStr">
        <is>
          <t>Preprint (arXiv)</t>
        </is>
      </c>
      <c r="H399" s="5" t="n"/>
      <c r="I399" s="5" t="n"/>
      <c r="J399" s="3" t="n"/>
    </row>
    <row r="400" ht="57" customHeight="1" s="18">
      <c r="A400" s="5" t="inlineStr">
        <is>
          <t>S2-0394</t>
        </is>
      </c>
      <c r="B400" s="5" t="inlineStr">
        <is>
          <t>B-i</t>
        </is>
      </c>
      <c r="C400" s="3" t="inlineStr">
        <is>
          <t>Antypas, Dimosthenis; Sen, Indira; Perez-Almendros, Carla; Camacho-Collados, Jose; Barbieri, Francesco</t>
        </is>
      </c>
      <c r="D400" s="6" t="n">
        <v>2025</v>
      </c>
      <c r="E400" s="3" t="inlineStr">
        <is>
          <t>Sensitive Content Classification in Social Media: A Holistic Resource and Evaluation</t>
        </is>
      </c>
      <c r="F400" s="3" t="inlineStr">
        <is>
          <t>...on toxic language, leaving gaps in detecting other sensitive categories such as substance abuse or self-harm. In this paper, we put forward a unified dataset tailored for social...</t>
        </is>
      </c>
      <c r="G400" s="5" t="inlineStr">
        <is>
          <t>Preprint (arXiv)</t>
        </is>
      </c>
      <c r="H400" s="5" t="n"/>
      <c r="I400" s="5" t="n"/>
      <c r="J400" s="3" t="n"/>
    </row>
    <row r="401" ht="42.75" customHeight="1" s="18">
      <c r="A401" s="5" t="inlineStr">
        <is>
          <t>S2-0395</t>
        </is>
      </c>
      <c r="B401" s="5" t="inlineStr">
        <is>
          <t>B-i</t>
        </is>
      </c>
      <c r="C401" s="3" t="inlineStr">
        <is>
          <t>Wang, Jiahao; Shalaby, Amer</t>
        </is>
      </c>
      <c r="D401" s="6" t="n">
        <v>2024</v>
      </c>
      <c r="E401" s="3" t="inlineStr">
        <is>
          <t>Transit Pulse: Utilizing Social Media as a Source for Customer Feedback and Information Extraction with Large Language Model</t>
        </is>
      </c>
      <c r="F401" s="3" t="inlineStr">
        <is>
          <t>...makes manual analysis impractical, and standard NLP techniques like Term Frequency- Inverse Document Frequency (TF-IDF) fall short in nuanced interpretation. Traditional sentiment...</t>
        </is>
      </c>
      <c r="G401" s="5" t="inlineStr">
        <is>
          <t>Preprint (arXiv)</t>
        </is>
      </c>
      <c r="H401" s="5" t="n"/>
      <c r="I401" s="5" t="n"/>
      <c r="J401" s="3" t="n"/>
    </row>
    <row r="402" ht="42.75" customHeight="1" s="18">
      <c r="A402" s="5" t="inlineStr">
        <is>
          <t>S2-0396</t>
        </is>
      </c>
      <c r="B402" s="5" t="inlineStr">
        <is>
          <t>B-i</t>
        </is>
      </c>
      <c r="C402" s="3" t="inlineStr">
        <is>
          <t>Qian, Shenbin; Orăsan, Constantin; Kanojia, Diptesh; Carmo, Félix do</t>
        </is>
      </c>
      <c r="D402" s="6" t="n">
        <v>2024</v>
      </c>
      <c r="E402" s="3" t="inlineStr">
        <is>
          <t>Are Large Language Models State-of-the-art Quality Estimators for Machine Translation of User-generated Content?</t>
        </is>
      </c>
      <c r="F402" s="3" t="inlineStr">
        <is>
          <t>This paper investigates whether large...</t>
        </is>
      </c>
      <c r="G402" s="5" t="inlineStr">
        <is>
          <t>Preprint (arXiv)</t>
        </is>
      </c>
      <c r="H402" s="5" t="n"/>
      <c r="I402" s="5" t="n"/>
      <c r="J402" s="3" t="n"/>
    </row>
    <row r="403" ht="71.25" customHeight="1" s="18">
      <c r="A403" s="5" t="inlineStr">
        <is>
          <t>S2-0397</t>
        </is>
      </c>
      <c r="B403" s="5" t="inlineStr">
        <is>
          <t>B-i</t>
        </is>
      </c>
      <c r="C403" s="3" t="inlineStr">
        <is>
          <t>Hengle, Amey; Kulkarni, Atharva; Patankar, Shantanu; Chandrasekaran, Madhumitha; D'Silva, Sneha; Jacob, Jemima; Gupta, Rashmi</t>
        </is>
      </c>
      <c r="D403" s="6" t="n">
        <v>2024</v>
      </c>
      <c r="E403" s="3" t="inlineStr">
        <is>
          <t>Still Not Quite There! Evaluating Large Language Models for Comorbid Mental Health Diagnosis</t>
        </is>
      </c>
      <c r="F403" s="3" t="inlineStr">
        <is>
          <t>In this study, we introduce ANGST, a novel, first-of-its kind benchmark for depression- anxiety comorbidity classification from...</t>
        </is>
      </c>
      <c r="G403" s="5" t="inlineStr">
        <is>
          <t>Preprint (arXiv)</t>
        </is>
      </c>
      <c r="H403" s="5" t="inlineStr">
        <is>
          <t>10.18653/v1/2024.emnlp-main.931</t>
        </is>
      </c>
      <c r="I403" s="5" t="n"/>
      <c r="J403" s="3" t="n"/>
    </row>
    <row r="404" ht="57" customHeight="1" s="18">
      <c r="A404" s="5" t="inlineStr">
        <is>
          <t>S2-0398</t>
        </is>
      </c>
      <c r="B404" s="5" t="inlineStr">
        <is>
          <t>B-i</t>
        </is>
      </c>
      <c r="C404" s="3" t="inlineStr">
        <is>
          <t>Corral, Paulina Garcia; Green, Avishai; Meyer, Hendrik; Stoll, Anke; Yan, Xiaoyue; Reuver, Myrthe</t>
        </is>
      </c>
      <c r="D404" s="6" t="n">
        <v>2024</v>
      </c>
      <c r="E404" s="3" t="inlineStr">
        <is>
          <t>A Few Hypocrites: Few-Shot Learning and Subtype Definitions for Detecting Hypocrisy Accusations in Online Climate Change Debates</t>
        </is>
      </c>
      <c r="F404" s="3" t="inlineStr">
        <is>
          <t>...detection as an independent task in NLP, and identify different relevant subtypes of hypocrisy accusations. Our Climate Hypocrisy Accusation Corpus (CHAC) consists of 420 Reddit climate debate comments, expert-...</t>
        </is>
      </c>
      <c r="G404" s="5" t="inlineStr">
        <is>
          <t>Preprint (arXiv)</t>
        </is>
      </c>
      <c r="H404" s="5" t="n"/>
      <c r="I404" s="5" t="n"/>
      <c r="J404" s="3" t="n"/>
    </row>
    <row r="405" ht="42.75" customHeight="1" s="18">
      <c r="A405" s="5" t="inlineStr">
        <is>
          <t>S2-0399</t>
        </is>
      </c>
      <c r="B405" s="5" t="inlineStr">
        <is>
          <t>B-i</t>
        </is>
      </c>
      <c r="C405" s="3" t="inlineStr">
        <is>
          <t>González-Bustamante, Bastián</t>
        </is>
      </c>
      <c r="D405" s="6" t="n">
        <v>2024</v>
      </c>
      <c r="E405" s="3" t="inlineStr">
        <is>
          <t>Benchmarking LLMs in Political Content Text-Annotation: Proof-of-Concept with Toxicity and Incivility Data</t>
        </is>
      </c>
      <c r="F405" s="3" t="inlineStr">
        <is>
          <t>This article benchmarked the ability of OpenAI's GPTs and a number of open-source LLMs to perform...</t>
        </is>
      </c>
      <c r="G405" s="5" t="inlineStr">
        <is>
          <t>Preprint (arXiv)</t>
        </is>
      </c>
      <c r="H405" s="5" t="n"/>
      <c r="I405" s="5" t="n"/>
      <c r="J405" s="3" t="n"/>
    </row>
    <row r="406" ht="28.5" customHeight="1" s="18">
      <c r="A406" s="5" t="inlineStr">
        <is>
          <t>S2-0400</t>
        </is>
      </c>
      <c r="B406" s="5" t="inlineStr">
        <is>
          <t>B-i</t>
        </is>
      </c>
      <c r="C406" s="3" t="inlineStr">
        <is>
          <t>Pangakis, Nicholas; Wolken, Samuel</t>
        </is>
      </c>
      <c r="D406" s="6" t="n">
        <v>2024</v>
      </c>
      <c r="E406" s="3" t="inlineStr">
        <is>
          <t>Keeping Humans in the Loop: Human-Centered Automated Annotation with Generative AI</t>
        </is>
      </c>
      <c r="F406" s="3" t="inlineStr">
        <is>
          <t>Automated text annotation is a compelling use case for generative...</t>
        </is>
      </c>
      <c r="G406" s="5" t="inlineStr">
        <is>
          <t>Preprint (arXiv)</t>
        </is>
      </c>
      <c r="H406" s="5" t="n"/>
      <c r="I406" s="5" t="n"/>
      <c r="J406" s="3" t="n"/>
    </row>
    <row r="407" ht="42.75" customHeight="1" s="18">
      <c r="A407" s="5" t="inlineStr">
        <is>
          <t>S2-0401</t>
        </is>
      </c>
      <c r="B407" s="5" t="inlineStr">
        <is>
          <t>B-i</t>
        </is>
      </c>
      <c r="C407" s="3" t="inlineStr">
        <is>
          <t>Filip, Tomáš; Pavlíček, Martin; Sosík, Petr</t>
        </is>
      </c>
      <c r="D407" s="6" t="n">
        <v>2024</v>
      </c>
      <c r="E407" s="3" t="inlineStr">
        <is>
          <t>Fine-tuning multilingual language models in Twitter/X sentiment analysis: a study on Eastern-European V4 languages</t>
        </is>
      </c>
      <c r="F407" s="3" t="inlineStr">
        <is>
          <t>The aspect-based sentiment...</t>
        </is>
      </c>
      <c r="G407" s="5" t="inlineStr">
        <is>
          <t>Preprint (arXiv)</t>
        </is>
      </c>
      <c r="H407" s="5" t="n"/>
      <c r="I407" s="5" t="n"/>
      <c r="J407" s="3" t="n"/>
    </row>
    <row r="408" ht="42.75" customHeight="1" s="18">
      <c r="A408" s="5" t="inlineStr">
        <is>
          <t>S2-0402</t>
        </is>
      </c>
      <c r="B408" s="5" t="inlineStr">
        <is>
          <t>B-i</t>
        </is>
      </c>
      <c r="C408" s="3" t="inlineStr">
        <is>
          <t>Plisiecki, Hubert; Koc, Piotr; Flakus, Maria; Pokropek, Artur</t>
        </is>
      </c>
      <c r="D408" s="6" t="n">
        <v>2024</v>
      </c>
      <c r="E408" s="3" t="inlineStr">
        <is>
          <t>Predicting Emotion Intensity in Polish Political Texts: Comparing Supervised Models and Large Language Models in a Resource-Poor Language</t>
        </is>
      </c>
      <c r="F408" s="3" t="inlineStr">
        <is>
          <t>This study explores the use of large...</t>
        </is>
      </c>
      <c r="G408" s="5" t="inlineStr">
        <is>
          <t>Preprint (arXiv)</t>
        </is>
      </c>
      <c r="H408" s="5" t="n"/>
      <c r="I408" s="5" t="n"/>
      <c r="J408" s="3" t="n"/>
    </row>
    <row r="409" ht="71.25" customHeight="1" s="18">
      <c r="A409" s="5" t="inlineStr">
        <is>
          <t>S2-0403</t>
        </is>
      </c>
      <c r="B409" s="5" t="inlineStr">
        <is>
          <t>B-i</t>
        </is>
      </c>
      <c r="C409" s="3" t="inlineStr">
        <is>
          <t>Fernandez, Juan Jose Iguaran; Perez, Juan Manuel; Rosati, German</t>
        </is>
      </c>
      <c r="D409" s="6" t="n">
        <v>2024</v>
      </c>
      <c r="E409" s="3" t="inlineStr">
        <is>
          <t>Identification of emotions on Twitter during the 2022 electoral process in Colombia</t>
        </is>
      </c>
      <c r="F409" s="3" t="inlineStr">
        <is>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is>
      </c>
      <c r="G409" s="5" t="inlineStr">
        <is>
          <t>Preprint (arXiv)</t>
        </is>
      </c>
      <c r="H409" s="5" t="n"/>
      <c r="I409" s="5" t="n"/>
      <c r="J409" s="3" t="n"/>
    </row>
    <row r="410" ht="99.75" customHeight="1" s="18">
      <c r="A410" s="5" t="inlineStr">
        <is>
          <t>S2-0404</t>
        </is>
      </c>
      <c r="B410" s="5" t="inlineStr">
        <is>
          <t>B-i</t>
        </is>
      </c>
      <c r="C410" s="3" t="inlineStr">
        <is>
          <t>Vuruma, Sai Krishna Revanth; Wu, Dezhi; Gupta, Saborny Sen; Aust, Lucas; Lookingbill, Valerie; Bellamy, Wyatt; Ren, Yang; Kasson, Erin; Chen, Li-Shiun; Cavazos-Rehg, Patricia; Hu, Dian; Huang, Ming</t>
        </is>
      </c>
      <c r="D410" s="6" t="n">
        <v>2024</v>
      </c>
      <c r="E410" s="3" t="inlineStr">
        <is>
          <t>Can GPT-4 Help Detect Quit Vaping Intentions? An Exploration of Automatic Data Annotation Approach</t>
        </is>
      </c>
      <c r="F410" s="3" t="inlineStr">
        <is>
          <t>...and fatalities during the EVALI outbreak in 2019, highlighting the urgency to comprehend vaping behaviors and develop effective strategies for cessation. Due to the ubiquity of social...</t>
        </is>
      </c>
      <c r="G410" s="5" t="inlineStr">
        <is>
          <t>Preprint (arXiv)</t>
        </is>
      </c>
      <c r="H410" s="5" t="n"/>
      <c r="I410" s="5" t="n"/>
      <c r="J410" s="3" t="n"/>
    </row>
    <row r="411" ht="42.75" customHeight="1" s="18">
      <c r="A411" s="5" t="inlineStr">
        <is>
          <t>S2-0405</t>
        </is>
      </c>
      <c r="B411" s="5" t="inlineStr">
        <is>
          <t>B-i</t>
        </is>
      </c>
      <c r="C411" s="3" t="inlineStr">
        <is>
          <t>Li, Mao; Conrad, Frederick</t>
        </is>
      </c>
      <c r="D411" s="6" t="n">
        <v>2024</v>
      </c>
      <c r="E411" s="3" t="inlineStr">
        <is>
          <t>Advancing Annotation of Stance in Social Media Posts: A Comparative Analysis of Large Language Models and Crowd Sourcing</t>
        </is>
      </c>
      <c r="F411" s="3" t="inlineStr">
        <is>
          <t>In the rapidly evolving landscape of Natural Language Processing (NLP), the use of Large...</t>
        </is>
      </c>
      <c r="G411" s="5" t="inlineStr">
        <is>
          <t>Preprint (arXiv)</t>
        </is>
      </c>
      <c r="H411" s="5" t="n"/>
      <c r="I411" s="5" t="n"/>
      <c r="J411" s="3" t="n"/>
    </row>
    <row r="412" ht="42.75" customHeight="1" s="18">
      <c r="A412" s="5" t="inlineStr">
        <is>
          <t>S2-0406</t>
        </is>
      </c>
      <c r="B412" s="5" t="inlineStr">
        <is>
          <t>B-i</t>
        </is>
      </c>
      <c r="C412" s="3" t="inlineStr">
        <is>
          <t>Bandyopadhyay, Rabiraj; Assenmacher, Dennis; Moral, Jose M. Alonso; Wagner, Claudia</t>
        </is>
      </c>
      <c r="D412" s="6" t="n">
        <v>2024</v>
      </c>
      <c r="E412" s="3" t="inlineStr">
        <is>
          <t>Sexism Detection on a Data Diet</t>
        </is>
      </c>
      <c r="F412" s="3" t="inlineStr">
        <is>
          <t>There is an increase in the proliferation of online hate commensurate with the rise in the usage of social...</t>
        </is>
      </c>
      <c r="G412" s="5" t="inlineStr">
        <is>
          <t>Preprint (arXiv)</t>
        </is>
      </c>
      <c r="H412" s="5" t="n"/>
      <c r="I412" s="5" t="n"/>
      <c r="J412" s="3" t="n"/>
    </row>
    <row r="413" ht="42.75" customHeight="1" s="18">
      <c r="A413" s="5" t="inlineStr">
        <is>
          <t>S2-0407</t>
        </is>
      </c>
      <c r="B413" s="5" t="inlineStr">
        <is>
          <t>B-i</t>
        </is>
      </c>
      <c r="C413" s="3" t="inlineStr">
        <is>
          <t>Chandra, Rohitash; Zhu, Baicheng; Fang, Qingying; Shinjikashvili, Eka</t>
        </is>
      </c>
      <c r="D413" s="6" t="n">
        <v>2025</v>
      </c>
      <c r="E413" s="3" t="inlineStr">
        <is>
          <t>Large language models for newspaper sentiment analysis during COVID-19: The Guardian</t>
        </is>
      </c>
      <c r="F413" s="3" t="inlineStr">
        <is>
          <t>...coverage encompassed a wide range of topics that includes viral transmission, allocation of medical resources, and government response measures. There have been studies on sentiment...</t>
        </is>
      </c>
      <c r="G413" s="5" t="inlineStr">
        <is>
          <t>Preprint (arXiv)</t>
        </is>
      </c>
      <c r="H413" s="5" t="n"/>
      <c r="I413" s="5" t="n"/>
      <c r="J413" s="3" t="n"/>
    </row>
    <row r="414" ht="57" customHeight="1" s="18">
      <c r="A414" s="5" t="inlineStr">
        <is>
          <t>S2-0408</t>
        </is>
      </c>
      <c r="B414" s="5" t="inlineStr">
        <is>
          <t>B-i</t>
        </is>
      </c>
      <c r="C414" s="3" t="inlineStr">
        <is>
          <t>Yadav, Anjali; Garg, Tanya; Klemen, Matej; Ulcar, Matej; Agarwal, Basant; Sikonja, Marko Robnik</t>
        </is>
      </c>
      <c r="D414" s="6" t="n">
        <v>2024</v>
      </c>
      <c r="E414" s="3" t="inlineStr">
        <is>
          <t>Code-mixed Sentiment and Hate-speech Prediction</t>
        </is>
      </c>
      <c r="F414" s="3" t="inlineStr">
        <is>
          <t>...used in informal discourse in countries with several official languages, but also in many other countries in combination with English or neighboring languages. As recently large...</t>
        </is>
      </c>
      <c r="G414" s="5" t="inlineStr">
        <is>
          <t>Preprint (arXiv)</t>
        </is>
      </c>
      <c r="H414" s="5" t="inlineStr">
        <is>
          <t>10.1109/taffc.2025.3553399</t>
        </is>
      </c>
      <c r="I414" s="5" t="n"/>
      <c r="J414" s="3" t="n"/>
    </row>
    <row r="415" ht="42.75" customHeight="1" s="18">
      <c r="A415" s="5" t="inlineStr">
        <is>
          <t>S2-0409</t>
        </is>
      </c>
      <c r="B415" s="5" t="inlineStr">
        <is>
          <t>B-i</t>
        </is>
      </c>
      <c r="C415" s="3" t="inlineStr">
        <is>
          <t>Burghardt, Keith; Chen, Kai; Lerman, Kristina</t>
        </is>
      </c>
      <c r="D415" s="6" t="n">
        <v>2024</v>
      </c>
      <c r="E415" s="3" t="inlineStr">
        <is>
          <t>Large Language Models Reveal Information Operation Goals, Tactics, and Narrative Frames</t>
        </is>
      </c>
      <c r="F415" s="3" t="inlineStr">
        <is>
          <t>...is limited by manual analysis of messages and subjective interpretation of their observable behavior. In this paper, we explore whether these limitations can be mitigated with large...</t>
        </is>
      </c>
      <c r="G415" s="5" t="inlineStr">
        <is>
          <t>Preprint (arXiv)</t>
        </is>
      </c>
      <c r="H415" s="5" t="n"/>
      <c r="I415" s="5" t="n"/>
      <c r="J415" s="3" t="n"/>
    </row>
    <row r="416" ht="85.5" customHeight="1" s="18">
      <c r="A416" s="5" t="inlineStr">
        <is>
          <t>S2-0410</t>
        </is>
      </c>
      <c r="B416" s="5" t="inlineStr">
        <is>
          <t>B-i</t>
        </is>
      </c>
      <c r="C416" s="3" t="inlineStr">
        <is>
          <t>Vuruma, Sai Krishna Revanth; Wu, Dezhi; Gupta, Saborny Sen; Aust, Lucas; Lookingbill, Valerie; Henry, Caleb; Ren, Yang; Kasson, Erin; Chen, Li-Shiun; Cavazos-Rehg, Patricia; Hu, Dian; Huang, Ming</t>
        </is>
      </c>
      <c r="D416" s="6" t="n">
        <v>2024</v>
      </c>
      <c r="E416" s="3" t="inlineStr">
        <is>
          <t>Utilizing Large Language Models to Identify Reddit Users Considering Vaping Cessation for Digital Interventions</t>
        </is>
      </c>
      <c r="F416" s="3" t="inlineStr">
        <is>
          <t>The widespread adoption of social...</t>
        </is>
      </c>
      <c r="G416" s="5" t="inlineStr">
        <is>
          <t>Preprint (arXiv)</t>
        </is>
      </c>
      <c r="H416" s="5" t="n"/>
      <c r="I416" s="5" t="n"/>
      <c r="J416" s="3" t="n"/>
    </row>
    <row r="417" ht="42.75" customHeight="1" s="18">
      <c r="A417" s="5" t="inlineStr">
        <is>
          <t>S2-0411</t>
        </is>
      </c>
      <c r="B417" s="5" t="inlineStr">
        <is>
          <t>B-i</t>
        </is>
      </c>
      <c r="C417" s="3" t="inlineStr">
        <is>
          <t>Lorge, Isabelle; Joyce, Dan W.; Kormilitzin, Andrey</t>
        </is>
      </c>
      <c r="D417" s="6" t="n">
        <v>2024</v>
      </c>
      <c r="E417" s="3" t="inlineStr">
        <is>
          <t>Large Language Models Perform on Par with Experts Identifying Mental Health Factors in Adolescent Online Forums</t>
        </is>
      </c>
      <c r="F417" s="3" t="inlineStr">
        <is>
          <t>Mental health in children and adolescents has been steadily deteriorating over the past few years. The recent advent of Large...</t>
        </is>
      </c>
      <c r="G417" s="5" t="inlineStr">
        <is>
          <t>Preprint (arXiv)</t>
        </is>
      </c>
      <c r="H417" s="5" t="n"/>
      <c r="I417" s="5" t="n"/>
      <c r="J417" s="3" t="n"/>
    </row>
    <row r="418" ht="57" customHeight="1" s="18">
      <c r="A418" s="5" t="inlineStr">
        <is>
          <t>S2-0412</t>
        </is>
      </c>
      <c r="B418" s="5" t="inlineStr">
        <is>
          <t>B-i</t>
        </is>
      </c>
      <c r="C418" s="3" t="inlineStr">
        <is>
          <t>Dmonte, Alphaeus; Zampieri, Marcos; Lybarger, Kevin; Albanese, Massimiliano; Coulter, Genya</t>
        </is>
      </c>
      <c r="D418" s="6" t="n">
        <v>2024</v>
      </c>
      <c r="E418" s="3" t="inlineStr">
        <is>
          <t>Classifying Human-Generated and AI-Generated Election Claims in Social Media</t>
        </is>
      </c>
      <c r="F418" s="3" t="inlineStr">
        <is>
          <t>Politics is one of the most prevalent topics discussed on social...</t>
        </is>
      </c>
      <c r="G418" s="5" t="inlineStr">
        <is>
          <t>Preprint (arXiv)</t>
        </is>
      </c>
      <c r="H418" s="5" t="n"/>
      <c r="I418" s="5" t="n"/>
      <c r="J418" s="3" t="n"/>
    </row>
    <row r="419" ht="28.5" customHeight="1" s="18">
      <c r="A419" s="5" t="inlineStr">
        <is>
          <t>S2-0413</t>
        </is>
      </c>
      <c r="B419" s="5" t="inlineStr">
        <is>
          <t>B-i</t>
        </is>
      </c>
      <c r="C419" s="3" t="inlineStr">
        <is>
          <t>Gül, İlker; Lebret, Rémi; Aberer, Karl</t>
        </is>
      </c>
      <c r="D419" s="6" t="n">
        <v>2024</v>
      </c>
      <c r="E419" s="3" t="inlineStr">
        <is>
          <t>Stance Detection on Social Media with Fine-Tuned Large Language Models</t>
        </is>
      </c>
      <c r="F419" s="3" t="inlineStr">
        <is>
          <t>Stance...</t>
        </is>
      </c>
      <c r="G419" s="5" t="inlineStr">
        <is>
          <t>Preprint (arXiv)</t>
        </is>
      </c>
      <c r="H419" s="5" t="n"/>
      <c r="I419" s="5" t="n"/>
      <c r="J419" s="3" t="n"/>
    </row>
    <row r="420" ht="42.75" customHeight="1" s="18">
      <c r="A420" s="5" t="inlineStr">
        <is>
          <t>S2-0414</t>
        </is>
      </c>
      <c r="B420" s="5" t="inlineStr">
        <is>
          <t>B-i</t>
        </is>
      </c>
      <c r="C420" s="3" t="inlineStr">
        <is>
          <t>Zheng, Er-Te; Fu, Hui-Zhen; Thelwall, Mike; Fang, Zhichao</t>
        </is>
      </c>
      <c r="D420" s="6" t="n">
        <v>2025</v>
      </c>
      <c r="E420" s="3" t="inlineStr">
        <is>
          <t>Can social media provide early warning of retraction? Evidence from critical tweets identified by human annotation and large language models</t>
        </is>
      </c>
      <c r="F420" s="3" t="inlineStr">
        <is>
          <t>Timely detection of problematic research is essential for safeguarding scientific integrity. To explore whether social...</t>
        </is>
      </c>
      <c r="G420" s="5" t="inlineStr">
        <is>
          <t>Preprint (arXiv)</t>
        </is>
      </c>
      <c r="H420" s="5" t="inlineStr">
        <is>
          <t>10.1002/asi.70028</t>
        </is>
      </c>
      <c r="I420" s="5" t="n"/>
      <c r="J420" s="3" t="n"/>
    </row>
    <row r="421" ht="42.75" customHeight="1" s="18">
      <c r="A421" s="5" t="inlineStr">
        <is>
          <t>S2-0415</t>
        </is>
      </c>
      <c r="B421" s="5" t="inlineStr">
        <is>
          <t>B-i</t>
        </is>
      </c>
      <c r="C421" s="3" t="inlineStr">
        <is>
          <t>Chowdhury, Md Towhidul Absar; Sharma, Naveen; KhudaBukhsh, Ashiqur R.</t>
        </is>
      </c>
      <c r="D421" s="6" t="n">
        <v>2024</v>
      </c>
      <c r="E421" s="3" t="inlineStr">
        <is>
          <t>Community Needs and Assets: A Computational Analysis of Community Conversations</t>
        </is>
      </c>
      <c r="F421" s="3" t="inlineStr">
        <is>
          <t>...government agencies to quantify the strengths and issues of a community, allowing them to allocate their resources better. Such approaches are transitioning towards leveraging social...</t>
        </is>
      </c>
      <c r="G421" s="5" t="inlineStr">
        <is>
          <t>Preprint (arXiv)</t>
        </is>
      </c>
      <c r="H421" s="5" t="n"/>
      <c r="I421" s="5" t="n"/>
      <c r="J421" s="3" t="n"/>
    </row>
    <row r="422" ht="42.75" customHeight="1" s="18">
      <c r="A422" s="5" t="inlineStr">
        <is>
          <t>S2-0416</t>
        </is>
      </c>
      <c r="B422" s="5" t="inlineStr">
        <is>
          <t>B-i</t>
        </is>
      </c>
      <c r="C422" s="3" t="inlineStr">
        <is>
          <t>Khiabani, Parisa Jamadi; Zubiaga, Arkaitz</t>
        </is>
      </c>
      <c r="D422" s="6" t="n">
        <v>2024</v>
      </c>
      <c r="E422" s="3" t="inlineStr">
        <is>
          <t>SocialPET: Socially Informed Pattern Exploiting Training for Few-Shot Stance Detection in Social Media</t>
        </is>
      </c>
      <c r="F422" s="3" t="inlineStr">
        <is>
          <t>Stance...</t>
        </is>
      </c>
      <c r="G422" s="5" t="inlineStr">
        <is>
          <t>Preprint (arXiv)</t>
        </is>
      </c>
      <c r="H422" s="5" t="n"/>
      <c r="I422" s="5" t="n"/>
      <c r="J422" s="3" t="n"/>
    </row>
    <row r="423" ht="42.75" customHeight="1" s="18">
      <c r="A423" s="5" t="inlineStr">
        <is>
          <t>S2-0417</t>
        </is>
      </c>
      <c r="B423" s="5" t="inlineStr">
        <is>
          <t>B-i</t>
        </is>
      </c>
      <c r="C423" s="3" t="inlineStr">
        <is>
          <t>Dehghani, Mohammad</t>
        </is>
      </c>
      <c r="D423" s="6" t="n">
        <v>2024</v>
      </c>
      <c r="E423" s="3" t="inlineStr">
        <is>
          <t>A comprehensive cross-language framework for harmful content detection with the aid of sentiment analysis</t>
        </is>
      </c>
      <c r="F423" s="3" t="inlineStr">
        <is>
          <t>In today's digital world, social...</t>
        </is>
      </c>
      <c r="G423" s="5" t="inlineStr">
        <is>
          <t>Preprint (arXiv)</t>
        </is>
      </c>
      <c r="H423" s="5" t="n"/>
      <c r="I423" s="5" t="n"/>
      <c r="J423" s="3" t="n"/>
    </row>
    <row r="424" ht="28.5" customHeight="1" s="18">
      <c r="A424" s="5" t="inlineStr">
        <is>
          <t>S2-0418</t>
        </is>
      </c>
      <c r="B424" s="5" t="inlineStr">
        <is>
          <t>B-i</t>
        </is>
      </c>
      <c r="C424" s="3" t="inlineStr">
        <is>
          <t>Juroš, Jana; Majer, Laura; Šnajder, Jan</t>
        </is>
      </c>
      <c r="D424" s="6" t="n">
        <v>2024</v>
      </c>
      <c r="E424" s="3" t="inlineStr">
        <is>
          <t>LLMs for Targeted Sentiment in News Headlines: Exploring the Descriptive- Prescriptive Dilemma</t>
        </is>
      </c>
      <c r="F424" s="3" t="inlineStr">
        <is>
          <t>News headlines often evoke sentiment by intentionally portraying entities in particular ways, making targeted sentiment...</t>
        </is>
      </c>
      <c r="G424" s="5" t="inlineStr">
        <is>
          <t>Preprint (arXiv)</t>
        </is>
      </c>
      <c r="H424" s="5" t="n"/>
      <c r="I424" s="5" t="n"/>
      <c r="J424" s="3" t="n"/>
    </row>
    <row r="425" ht="42.75" customHeight="1" s="18">
      <c r="A425" s="5" t="inlineStr">
        <is>
          <t>S2-0419</t>
        </is>
      </c>
      <c r="B425" s="5" t="inlineStr">
        <is>
          <t>B-i</t>
        </is>
      </c>
      <c r="C425" s="3" t="inlineStr">
        <is>
          <t>Zhu, Chloe Qinyu; Stureborg, Rickard; Dhingra, Bhuwan</t>
        </is>
      </c>
      <c r="D425" s="6" t="n">
        <v>2024</v>
      </c>
      <c r="E425" s="3" t="inlineStr">
        <is>
          <t>Hierarchical Multi-Label Classification of Online Vaccine Concerns</t>
        </is>
      </c>
      <c r="F425" s="3" t="inlineStr">
        <is>
          <t>...inform the healthcare space by helping public health efforts strategically allocate resources or information campaigns. We explore the task of detecting vaccine concerns in online...</t>
        </is>
      </c>
      <c r="G425" s="5" t="inlineStr">
        <is>
          <t>Preprint (arXiv)</t>
        </is>
      </c>
      <c r="H425" s="5" t="n"/>
      <c r="I425" s="5" t="n"/>
      <c r="J425" s="3" t="n"/>
    </row>
    <row r="426" ht="57" customHeight="1" s="18">
      <c r="A426" s="5" t="inlineStr">
        <is>
          <t>S2-0420</t>
        </is>
      </c>
      <c r="B426" s="5" t="inlineStr">
        <is>
          <t>B-i</t>
        </is>
      </c>
      <c r="C426" s="3" t="inlineStr">
        <is>
          <t>Kamal, Sadia; Little, Brenner; Gullic, Jade; Harms, Trevor; Olofsson, Kristin; Bagavathi, Arunkumar</t>
        </is>
      </c>
      <c r="D426" s="6" t="n">
        <v>2023</v>
      </c>
      <c r="E426" s="3" t="inlineStr">
        <is>
          <t>Modeling Political Orientation of Social Media Posts: An Extended Analysis</t>
        </is>
      </c>
      <c r="F426" s="3" t="inlineStr">
        <is>
          <t>Developing machine learning models to characterize political polarization on online social...</t>
        </is>
      </c>
      <c r="G426" s="5" t="inlineStr">
        <is>
          <t>Preprint (arXiv)</t>
        </is>
      </c>
      <c r="H426" s="5" t="n"/>
      <c r="I426" s="5" t="n"/>
      <c r="J426" s="3" t="n"/>
    </row>
    <row r="427" ht="71.25" customHeight="1" s="18">
      <c r="A427" s="5" t="inlineStr">
        <is>
          <t>S2-0421</t>
        </is>
      </c>
      <c r="B427" s="5" t="inlineStr">
        <is>
          <t>B-i</t>
        </is>
      </c>
      <c r="C427" s="3" t="inlineStr">
        <is>
          <t>Singh, Smriti; Caragea, Cornelia; Li, Junyi Jessy</t>
        </is>
      </c>
      <c r="D427" s="6" t="n">
        <v>2024</v>
      </c>
      <c r="E427" s="3" t="inlineStr">
        <is>
          <t>Language Models (Mostly) Do Not Consider Emotion Triggers When Predicting Emotion</t>
        </is>
      </c>
      <c r="F427" s="3" t="inlineStr">
        <is>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is>
      </c>
      <c r="G427" s="5" t="inlineStr">
        <is>
          <t>Preprint (arXiv)</t>
        </is>
      </c>
      <c r="H427" s="5" t="n"/>
      <c r="I427" s="5" t="n"/>
      <c r="J427" s="3" t="n"/>
    </row>
    <row r="428" ht="42.75" customHeight="1" s="18">
      <c r="A428" s="5" t="inlineStr">
        <is>
          <t>S2-0422</t>
        </is>
      </c>
      <c r="B428" s="5" t="inlineStr">
        <is>
          <t>B-i</t>
        </is>
      </c>
      <c r="C428" s="3" t="inlineStr">
        <is>
          <t>Yang, Yongjin; Kim, Joonkee; Kim, Yujin; Ho, Namgyu; Thorne, James; Yun, Se-young</t>
        </is>
      </c>
      <c r="D428" s="6" t="n">
        <v>2023</v>
      </c>
      <c r="E428" s="3" t="inlineStr">
        <is>
          <t>HARE: Explainable Hate Speech Detection with Step-by-Step Reasoning</t>
        </is>
      </c>
      <c r="F428" s="3" t="inlineStr">
        <is>
          <t>With the proliferation of social...</t>
        </is>
      </c>
      <c r="G428" s="5" t="inlineStr">
        <is>
          <t>Preprint (arXiv)</t>
        </is>
      </c>
      <c r="H428" s="5" t="n"/>
      <c r="I428" s="5" t="n"/>
      <c r="J428" s="3" t="n"/>
    </row>
    <row r="429" ht="57" customHeight="1" s="18">
      <c r="A429" s="5" t="inlineStr">
        <is>
          <t>S2-0423</t>
        </is>
      </c>
      <c r="B429" s="5" t="inlineStr">
        <is>
          <t>B-i</t>
        </is>
      </c>
      <c r="C429" s="3" t="inlineStr">
        <is>
          <t>S, Rohith Arumugam; S, Angel Deborah</t>
        </is>
      </c>
      <c r="D429" s="6" t="n">
        <v>2023</v>
      </c>
      <c r="E429" s="3" t="inlineStr">
        <is>
          <t>Enhancing Binary Code Comment Quality Classification: Integrating Generative AI for Improved Accuracy</t>
        </is>
      </c>
      <c r="F429" s="3" t="inlineStr">
        <is>
          <t>...by integrating generated code and comment pairs, to improve model accuracy. The dataset comprises 9048 pairs of code and comments written in the C programming language, each annotated as "Useful" or "Not Useful." Additionally, code and comment pairs are generated using a...</t>
        </is>
      </c>
      <c r="G429" s="5" t="inlineStr">
        <is>
          <t>Preprint (arXiv)</t>
        </is>
      </c>
      <c r="H429" s="5" t="n"/>
      <c r="I429" s="5" t="n"/>
      <c r="J429" s="3" t="n"/>
    </row>
    <row r="430" ht="71.25" customHeight="1" s="18">
      <c r="A430" s="5" t="inlineStr">
        <is>
          <t>S2-0424</t>
        </is>
      </c>
      <c r="B430" s="5" t="inlineStr">
        <is>
          <t>B-i</t>
        </is>
      </c>
      <c r="C430" s="3" t="inlineStr">
        <is>
          <t>Zhang, Ting; Irsan, Ivana Clairine; Thung, Ferdian; Lo, David</t>
        </is>
      </c>
      <c r="D430" s="6" t="n">
        <v>2024</v>
      </c>
      <c r="E430" s="3" t="inlineStr">
        <is>
          <t>Revisiting Sentiment Analysis for Software Engineering in the Era of Large Language Models</t>
        </is>
      </c>
      <c r="F430" s="3" t="inlineStr">
        <is>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is>
      </c>
      <c r="G430" s="5" t="inlineStr">
        <is>
          <t>Preprint (arXiv)</t>
        </is>
      </c>
      <c r="H430" s="5" t="inlineStr">
        <is>
          <t>10.1145/3697009</t>
        </is>
      </c>
      <c r="I430" s="5" t="n"/>
      <c r="J430" s="3" t="n"/>
    </row>
    <row r="431" ht="71.25" customHeight="1" s="18">
      <c r="A431" s="5" t="inlineStr">
        <is>
          <t>S2-0425</t>
        </is>
      </c>
      <c r="B431" s="5" t="inlineStr">
        <is>
          <t>B-i</t>
        </is>
      </c>
      <c r="C431" s="3" t="inlineStr">
        <is>
          <t>Roy, Shamik; Goldwasser, Dan</t>
        </is>
      </c>
      <c r="D431" s="6" t="n">
        <v>2023</v>
      </c>
      <c r="E431" s="3" t="inlineStr">
        <is>
          <t>"A Tale of Two Movements": Identifying and Comparing Perspectives in #BlackLivesMatter and #BlueLivesMatter Movements-related Tweets using Weakly Supervised Graph-based Structured Prediction</t>
        </is>
      </c>
      <c r="F431" s="3" t="inlineStr">
        <is>
          <t>Social...</t>
        </is>
      </c>
      <c r="G431" s="5" t="inlineStr">
        <is>
          <t>Preprint (arXiv)</t>
        </is>
      </c>
      <c r="H431" s="5" t="n"/>
      <c r="I431" s="5" t="n"/>
      <c r="J431" s="3" t="n"/>
    </row>
    <row r="432" ht="42.75" customHeight="1" s="18">
      <c r="A432" s="5" t="inlineStr">
        <is>
          <t>S2-0426</t>
        </is>
      </c>
      <c r="B432" s="5" t="inlineStr">
        <is>
          <t>B-i</t>
        </is>
      </c>
      <c r="C432" s="3" t="inlineStr">
        <is>
          <t>Das, Adway; Prajapati, Abhishek Kumar; Zhang, Pengxiang; Srinath, Mukund; Ranjbari, Andisheh</t>
        </is>
      </c>
      <c r="D432" s="6" t="n">
        <v>2025</v>
      </c>
      <c r="E432" s="3" t="inlineStr">
        <is>
          <t>Leveraging Twitter Data for Sentiment Analysis of Transit User Feedback: An NLP Framework</t>
        </is>
      </c>
      <c r="F432" s="3" t="inlineStr">
        <is>
          <t>...often time-consuming, resource intensive, and costly. In this paper, we propose a novel NLP-based framework that harnesses the vast, abundant, and inexpensive data available on social...</t>
        </is>
      </c>
      <c r="G432" s="5" t="inlineStr">
        <is>
          <t>Preprint (arXiv)</t>
        </is>
      </c>
      <c r="H432" s="5" t="n"/>
      <c r="I432" s="5" t="n"/>
      <c r="J432" s="3" t="n"/>
    </row>
    <row r="433" ht="28.5" customHeight="1" s="18">
      <c r="A433" s="5" t="inlineStr">
        <is>
          <t>S2-0427</t>
        </is>
      </c>
      <c r="B433" s="5" t="inlineStr">
        <is>
          <t>B-i</t>
        </is>
      </c>
      <c r="C433" s="3" t="inlineStr">
        <is>
          <t>Anand, Sarthak</t>
        </is>
      </c>
      <c r="D433" s="6" t="n">
        <v>2023</v>
      </c>
      <c r="E433" s="3" t="inlineStr">
        <is>
          <t>Studying the impacts of pre-training using ChatGPT-generated text on downstream tasks</t>
        </is>
      </c>
      <c r="F433" s="3" t="inlineStr">
        <is>
          <t>In recent times, significant advancements have been witnessed in the field of language models, particularly with the emergence of Large...</t>
        </is>
      </c>
      <c r="G433" s="5" t="inlineStr">
        <is>
          <t>Preprint (arXiv)</t>
        </is>
      </c>
      <c r="H433" s="5" t="n"/>
      <c r="I433" s="5" t="n"/>
      <c r="J433" s="3" t="n"/>
    </row>
    <row r="434" ht="42.75" customHeight="1" s="18">
      <c r="A434" s="5" t="inlineStr">
        <is>
          <t>S2-0428</t>
        </is>
      </c>
      <c r="B434" s="5" t="inlineStr">
        <is>
          <t>B-i</t>
        </is>
      </c>
      <c r="C434" s="3" t="inlineStr">
        <is>
          <t>Ghanadian, Hamideh; Nejadgholi, Isar; Osman, Hussein Al</t>
        </is>
      </c>
      <c r="D434" s="6" t="n">
        <v>2023</v>
      </c>
      <c r="E434" s="3" t="inlineStr">
        <is>
          <t>ChatGPT for Suicide Risk Assessment on Social Media: Quantitative Evaluation of Model Performance, Potentials and Limitations</t>
        </is>
      </c>
      <c r="F434" s="3" t="inlineStr">
        <is>
          <t>This paper presents a novel framework for quantitatively evaluating the interactive ChatGPT model in the context of suicidality assessment from social...</t>
        </is>
      </c>
      <c r="G434" s="5" t="inlineStr">
        <is>
          <t>Preprint (arXiv)</t>
        </is>
      </c>
      <c r="H434" s="5" t="n"/>
      <c r="I434" s="5" t="n"/>
      <c r="J434" s="3" t="n"/>
    </row>
    <row r="435" ht="71.25" customHeight="1" s="18">
      <c r="A435" s="5" t="inlineStr">
        <is>
          <t>S2-0429</t>
        </is>
      </c>
      <c r="B435" s="5" t="inlineStr">
        <is>
          <t>B-i</t>
        </is>
      </c>
      <c r="C435" s="3" t="inlineStr">
        <is>
          <t>Yang, Xiao; Mohamed, Ahmed K.; Jain, Shashank; Peshterliev, Stanislav; Chatterjee, Debojeet; Zha, Hanwen; Bhalla, Nikita; Aneja, Gagan; Mohanty, Pranab</t>
        </is>
      </c>
      <c r="D435" s="6" t="n">
        <v>2023</v>
      </c>
      <c r="E435" s="3" t="inlineStr">
        <is>
          <t>Improving Opinion-based Question Answering Systems Through Label Error Detection and Overwrite</t>
        </is>
      </c>
      <c r="F435" s="3" t="inlineStr">
        <is>
          <t>Label error is a ubiquitous problem in annotated data. Large amounts of label error substantially degrades the quality of deep learning models. Existing methods to tackle the label error problem largely focus on the classification task, and either rely on...</t>
        </is>
      </c>
      <c r="G435" s="5" t="inlineStr">
        <is>
          <t>Preprint (arXiv)</t>
        </is>
      </c>
      <c r="H435" s="5" t="n"/>
      <c r="I435" s="5" t="n"/>
      <c r="J435" s="3" t="n"/>
    </row>
    <row r="436" ht="42.75" customHeight="1" s="18">
      <c r="A436" s="5" t="inlineStr">
        <is>
          <t>S2-0430</t>
        </is>
      </c>
      <c r="B436" s="5" t="inlineStr">
        <is>
          <t>B-i</t>
        </is>
      </c>
      <c r="C436" s="3" t="inlineStr">
        <is>
          <t>Törnberg, Petter</t>
        </is>
      </c>
      <c r="D436" s="6" t="n">
        <v>2023</v>
      </c>
      <c r="E436" s="3" t="inlineStr">
        <is>
          <t>ChatGPT-4 Outperforms Experts and Crowd Workers in Annotating Political Twitter Messages with Zero-Shot Learning</t>
        </is>
      </c>
      <c r="F436" s="3" t="inlineStr">
        <is>
          <t>This paper assesses the accuracy, reliability and bias of the Large...</t>
        </is>
      </c>
      <c r="G436" s="5" t="inlineStr">
        <is>
          <t>Preprint (arXiv)</t>
        </is>
      </c>
      <c r="H436" s="5" t="n"/>
      <c r="I436" s="5" t="n"/>
      <c r="J436" s="3" t="n"/>
    </row>
    <row r="437" ht="28.5" customHeight="1" s="18">
      <c r="A437" s="5" t="inlineStr">
        <is>
          <t>S2-0431</t>
        </is>
      </c>
      <c r="B437" s="5" t="inlineStr">
        <is>
          <t>B-i</t>
        </is>
      </c>
      <c r="C437" s="3" t="inlineStr">
        <is>
          <t>Przybyła, Piotr; Shvets, Alexander; Saggion, Horacio</t>
        </is>
      </c>
      <c r="D437" s="6" t="n">
        <v>2024</v>
      </c>
      <c r="E437" s="3" t="inlineStr">
        <is>
          <t>Verifying the Robustness of Automatic Credibility Assessment</t>
        </is>
      </c>
      <c r="F437" s="3" t="inlineStr">
        <is>
          <t>Text...</t>
        </is>
      </c>
      <c r="G437" s="5" t="inlineStr">
        <is>
          <t>Preprint (arXiv)</t>
        </is>
      </c>
      <c r="H437" s="5" t="inlineStr">
        <is>
          <t>10.1017/nlp.2024.54</t>
        </is>
      </c>
      <c r="I437" s="5" t="n"/>
      <c r="J437" s="3" t="n"/>
    </row>
    <row r="438" ht="42.75" customHeight="1" s="18">
      <c r="A438" s="5" t="inlineStr">
        <is>
          <t>S2-0432</t>
        </is>
      </c>
      <c r="B438" s="5" t="inlineStr">
        <is>
          <t>B-i</t>
        </is>
      </c>
      <c r="C438" s="3" t="inlineStr">
        <is>
          <t>Sarridis, Ioannis; Koutlis, Christos; Papadopoulou, Olga; Papadopoulos, Symeon</t>
        </is>
      </c>
      <c r="D438" s="6" t="n">
        <v>2022</v>
      </c>
      <c r="E438" s="3" t="inlineStr">
        <is>
          <t>Leveraging Large-scale Multimedia Datasets to Refine Content Moderation Models</t>
        </is>
      </c>
      <c r="F438" s="3" t="inlineStr">
        <is>
          <t>The sheer volume of online user-...</t>
        </is>
      </c>
      <c r="G438" s="5" t="inlineStr">
        <is>
          <t>Preprint (arXiv)</t>
        </is>
      </c>
      <c r="H438" s="5" t="n"/>
      <c r="I438" s="5" t="n"/>
      <c r="J438" s="3" t="n"/>
    </row>
    <row r="439" ht="42.75" customHeight="1" s="18">
      <c r="A439" s="5" t="inlineStr">
        <is>
          <t>S2-0433</t>
        </is>
      </c>
      <c r="B439" s="5" t="inlineStr">
        <is>
          <t>B-i</t>
        </is>
      </c>
      <c r="C439" s="3" t="inlineStr">
        <is>
          <t>Adhikari, Rabin; Thapaliya, Safal; Basnet, Nirajan; Poudel, Samip; Shakya, Aman; Khanal, Bishesh</t>
        </is>
      </c>
      <c r="D439" s="6" t="n">
        <v>2022</v>
      </c>
      <c r="E439" s="3" t="inlineStr">
        <is>
          <t>COVID-19-related Nepali Tweets Classification in a Low Resource Setting</t>
        </is>
      </c>
      <c r="F439" s="3" t="inlineStr">
        <is>
          <t>Billions of people across the globe have been using social...</t>
        </is>
      </c>
      <c r="G439" s="5" t="inlineStr">
        <is>
          <t>Preprint (arXiv)</t>
        </is>
      </c>
      <c r="H439" s="5" t="n"/>
      <c r="I439" s="5" t="n"/>
      <c r="J439" s="3" t="n"/>
    </row>
    <row r="440" ht="42.75" customHeight="1" s="18">
      <c r="A440" s="5" t="inlineStr">
        <is>
          <t>S2-0434</t>
        </is>
      </c>
      <c r="B440" s="5" t="inlineStr">
        <is>
          <t>B-i</t>
        </is>
      </c>
      <c r="C440" s="3" t="inlineStr">
        <is>
          <t>Nguyen, Luan Thanh; Nguyen, Kiet Van; Nguyen, Ngan Luu-Thuy</t>
        </is>
      </c>
      <c r="D440" s="6" t="n">
        <v>2022</v>
      </c>
      <c r="E440" s="3" t="inlineStr">
        <is>
          <t>SMTCE: A Social Media Text Classification Evaluation Benchmark and BERTology Models for Vietnamese</t>
        </is>
      </c>
      <c r="F440" s="3" t="inlineStr">
        <is>
          <t>Text...</t>
        </is>
      </c>
      <c r="G440" s="5" t="inlineStr">
        <is>
          <t>Preprint (arXiv)</t>
        </is>
      </c>
      <c r="H440" s="5" t="n"/>
      <c r="I440" s="5" t="n"/>
      <c r="J440" s="3" t="n"/>
    </row>
    <row r="441" ht="42.75" customHeight="1" s="18">
      <c r="A441" s="5" t="inlineStr">
        <is>
          <t>S2-0435</t>
        </is>
      </c>
      <c r="B441" s="5" t="inlineStr">
        <is>
          <t>B-i</t>
        </is>
      </c>
      <c r="C441" s="3" t="inlineStr">
        <is>
          <t>Farruque, Nawshad; Goebel, Randy; Sivapalan, Sudhakar; Zaiane, Osmar</t>
        </is>
      </c>
      <c r="D441" s="6" t="n">
        <v>2022</v>
      </c>
      <c r="E441" s="3" t="inlineStr">
        <is>
          <t>Depression Symptoms Modelling from Social Media Text: A Semi-supervised Learning Approach</t>
        </is>
      </c>
      <c r="F441" s="3" t="inlineStr">
        <is>
          <t>A fundamental component of user-level social...</t>
        </is>
      </c>
      <c r="G441" s="5" t="inlineStr">
        <is>
          <t>Preprint (arXiv)</t>
        </is>
      </c>
      <c r="H441" s="5" t="n"/>
      <c r="I441" s="5" t="n"/>
      <c r="J441" s="3" t="n"/>
    </row>
    <row r="442" ht="142.5" customHeight="1" s="18">
      <c r="A442" s="5" t="inlineStr">
        <is>
          <t>S2-0436</t>
        </is>
      </c>
      <c r="B442" s="5" t="inlineStr">
        <is>
          <t>B-i</t>
        </is>
      </c>
      <c r="C442" s="3" t="inlineStr">
        <is>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is>
      </c>
      <c r="D442" s="6" t="n">
        <v>2026</v>
      </c>
      <c r="E442" s="3" t="inlineStr">
        <is>
          <t>The Moral Foundations Reddit Corpus</t>
        </is>
      </c>
      <c r="F442" s="3" t="inlineStr">
        <is>
          <t>...in Natural Language Processing (NLP) have been used to detect moral sentiment from textual data, but achieving strong performance in such subjective tasks requires large, hand- annotated datasets. Previous corpora...</t>
        </is>
      </c>
      <c r="G442" s="5" t="inlineStr">
        <is>
          <t>Preprint (arXiv)</t>
        </is>
      </c>
      <c r="H442" s="5" t="n"/>
      <c r="I442" s="5" t="n"/>
      <c r="J442" s="3" t="n"/>
    </row>
    <row r="443" ht="42.75" customHeight="1" s="18">
      <c r="A443" s="5" t="inlineStr">
        <is>
          <t>S2-0437</t>
        </is>
      </c>
      <c r="B443" s="5" t="inlineStr">
        <is>
          <t>B-i</t>
        </is>
      </c>
      <c r="C443" s="3" t="inlineStr">
        <is>
          <t>Xu, Zhenran; Shan, Zifei; Li, Yuxin; Hu, Baotian; Qin, Bing</t>
        </is>
      </c>
      <c r="D443" s="6" t="n">
        <v>2023</v>
      </c>
      <c r="E443" s="3" t="inlineStr">
        <is>
          <t>Hansel: A Chinese Few-Shot and Zero-Shot Entity Linking Benchmark</t>
        </is>
      </c>
      <c r="F443" s="3" t="inlineStr">
        <is>
          <t>...Linking (EL) systems entrench a popularity bias, yet there is no dataset focusing on tail and emerging entities in languages other than English. We present Hansel, a new benchmark in Chinese that fills the vacancy of non-English...</t>
        </is>
      </c>
      <c r="G443" s="5" t="inlineStr">
        <is>
          <t>Preprint (arXiv)</t>
        </is>
      </c>
      <c r="H443" s="5" t="n"/>
      <c r="I443" s="5" t="n"/>
      <c r="J443" s="3" t="n"/>
    </row>
    <row r="444" ht="42.75" customHeight="1" s="18">
      <c r="A444" s="5" t="inlineStr">
        <is>
          <t>S2-0438</t>
        </is>
      </c>
      <c r="B444" s="5" t="inlineStr">
        <is>
          <t>B-i</t>
        </is>
      </c>
      <c r="C444" s="3" t="inlineStr">
        <is>
          <t>Gambini, Margherita; Fagni, Tiziano; Senette, Caterina; Tesconi, Maurizio</t>
        </is>
      </c>
      <c r="D444" s="6" t="n">
        <v>2022</v>
      </c>
      <c r="E444" s="3" t="inlineStr">
        <is>
          <t>Tweets2Stance: Users stance detection exploiting Zero-Shot Learning Algorithms on Tweets</t>
        </is>
      </c>
      <c r="F444" s="3" t="inlineStr">
        <is>
          <t>In the last years there has been a growing attention towards predicting the political orientation of active social...</t>
        </is>
      </c>
      <c r="G444" s="5" t="inlineStr">
        <is>
          <t>Preprint (arXiv)</t>
        </is>
      </c>
      <c r="H444" s="5" t="n"/>
      <c r="I444" s="5" t="n"/>
      <c r="J444" s="3" t="n"/>
    </row>
    <row r="445" ht="28.5" customHeight="1" s="18">
      <c r="A445" s="5" t="inlineStr">
        <is>
          <t>S2-0439</t>
        </is>
      </c>
      <c r="B445" s="5" t="inlineStr">
        <is>
          <t>B-i</t>
        </is>
      </c>
      <c r="C445" s="3" t="inlineStr">
        <is>
          <t>Li, Jiaxuan; Ning, Yue</t>
        </is>
      </c>
      <c r="D445" s="6" t="n">
        <v>2022</v>
      </c>
      <c r="E445" s="3" t="inlineStr">
        <is>
          <t>Anti-Asian Hate Speech Detection via Data Augmented Semantic Relation Inference</t>
        </is>
      </c>
      <c r="F445" s="3" t="inlineStr">
        <is>
          <t>With the spreading of hate speech on social...</t>
        </is>
      </c>
      <c r="G445" s="5" t="inlineStr">
        <is>
          <t>Preprint (arXiv)</t>
        </is>
      </c>
      <c r="H445" s="5" t="n"/>
      <c r="I445" s="5" t="n"/>
      <c r="J445" s="3" t="n"/>
    </row>
    <row r="446" ht="42.75" customHeight="1" s="18">
      <c r="A446" s="5" t="inlineStr">
        <is>
          <t>S2-0440</t>
        </is>
      </c>
      <c r="B446" s="5" t="inlineStr">
        <is>
          <t>B-i</t>
        </is>
      </c>
      <c r="C446" s="3" t="inlineStr">
        <is>
          <t>Olah, Justin; Baruah, Sabyasachee; Bose, Digbalay; Narayanan, Shrikanth</t>
        </is>
      </c>
      <c r="D446" s="6" t="n">
        <v>2021</v>
      </c>
      <c r="E446" s="3" t="inlineStr">
        <is>
          <t>Cross Domain Emotion Recognition using Few Shot Knowledge Transfer</t>
        </is>
      </c>
      <c r="F446" s="3" t="inlineStr">
        <is>
          <t>Emotion recognition from text is a challenging task due to diverse emotion taxonomies, lack of reliable labeled data in different domains, and highly subjective annotation standards....</t>
        </is>
      </c>
      <c r="G446" s="5" t="inlineStr">
        <is>
          <t>Preprint (arXiv)</t>
        </is>
      </c>
      <c r="H446" s="5" t="n"/>
      <c r="I446" s="5" t="n"/>
      <c r="J446" s="3" t="n"/>
    </row>
    <row r="447" ht="28.5" customHeight="1" s="18">
      <c r="A447" s="5" t="inlineStr">
        <is>
          <t>S2-0441</t>
        </is>
      </c>
      <c r="B447" s="5" t="inlineStr">
        <is>
          <t>B-i</t>
        </is>
      </c>
      <c r="C447" s="3" t="inlineStr">
        <is>
          <t>Tian, Lin; Zhang, Xiuzhen; Lau, Jey Han</t>
        </is>
      </c>
      <c r="D447" s="6" t="n">
        <v>2021</v>
      </c>
      <c r="E447" s="3" t="inlineStr">
        <is>
          <t>Rumour Detection via Zero-shot Cross-lingual Transfer Learning</t>
        </is>
      </c>
      <c r="F447" s="3" t="inlineStr">
        <is>
          <t>Most rumour detection models for social...</t>
        </is>
      </c>
      <c r="G447" s="5" t="inlineStr">
        <is>
          <t>Preprint (arXiv)</t>
        </is>
      </c>
      <c r="H447" s="5" t="n"/>
      <c r="I447" s="5" t="n"/>
      <c r="J447" s="3" t="n"/>
    </row>
    <row r="448" ht="42.75" customHeight="1" s="18">
      <c r="A448" s="5" t="inlineStr">
        <is>
          <t>S2-0442</t>
        </is>
      </c>
      <c r="B448" s="5" t="inlineStr">
        <is>
          <t>B-i</t>
        </is>
      </c>
      <c r="C448" s="3" t="inlineStr">
        <is>
          <t>Zhang, Qiang; Huang, Hongbin; Liang, Shangsong; Meng, Zaiqiao; Yilmaz, Emine</t>
        </is>
      </c>
      <c r="D448" s="6" t="n">
        <v>2021</v>
      </c>
      <c r="E448" s="3" t="inlineStr">
        <is>
          <t>Learning to Detect Few-Shot-Few-Clue Misinformation</t>
        </is>
      </c>
      <c r="F448" s="3" t="inlineStr">
        <is>
          <t>...disquieting due to the lack of careful manual review. Consequently, a large volume of false textual information has been disseminating for a long time since the prevalence of social...</t>
        </is>
      </c>
      <c r="G448" s="5" t="inlineStr">
        <is>
          <t>Preprint (arXiv)</t>
        </is>
      </c>
      <c r="H448" s="5" t="n"/>
      <c r="I448" s="5" t="n"/>
      <c r="J448" s="3" t="n"/>
    </row>
    <row r="449" ht="28.5" customHeight="1" s="18">
      <c r="A449" s="5" t="inlineStr">
        <is>
          <t>S2-0443</t>
        </is>
      </c>
      <c r="B449" s="5" t="inlineStr">
        <is>
          <t>B-i</t>
        </is>
      </c>
      <c r="C449" s="3" t="inlineStr">
        <is>
          <t>Ranasinghe, Tharindu; Zampieri, Marcos</t>
        </is>
      </c>
      <c r="D449" s="6" t="n">
        <v>2021</v>
      </c>
      <c r="E449" s="3" t="inlineStr">
        <is>
          <t>Multilingual Offensive Language Identification for Low-resource Languages</t>
        </is>
      </c>
      <c r="F449" s="3" t="inlineStr">
        <is>
          <t>Offensive content is pervasive in social...</t>
        </is>
      </c>
      <c r="G449" s="5" t="inlineStr">
        <is>
          <t>Preprint (arXiv)</t>
        </is>
      </c>
      <c r="H449" s="5" t="n"/>
      <c r="I449" s="5" t="n"/>
      <c r="J449" s="3" t="n"/>
    </row>
    <row r="450" ht="42.75" customHeight="1" s="18">
      <c r="A450" s="5" t="inlineStr">
        <is>
          <t>S2-0444</t>
        </is>
      </c>
      <c r="B450" s="5" t="inlineStr">
        <is>
          <t>B-i</t>
        </is>
      </c>
      <c r="C450" s="3" t="inlineStr">
        <is>
          <t>M'hamdi, Meryem; West, Robert; Hossmann, Andreea; Baeriswyl, Michael; Musat, Claudiu</t>
        </is>
      </c>
      <c r="D450" s="6" t="n">
        <v>2019</v>
      </c>
      <c r="E450" s="3" t="inlineStr">
        <is>
          <t>Expanding the Text Classification Toolbox with Cross-Lingual Embeddings</t>
        </is>
      </c>
      <c r="F450" s="3" t="inlineStr">
        <is>
          <t>Most work in text...</t>
        </is>
      </c>
      <c r="G450" s="5" t="inlineStr">
        <is>
          <t>Preprint (arXiv)</t>
        </is>
      </c>
      <c r="H450" s="5" t="n"/>
      <c r="I450" s="5" t="n"/>
      <c r="J450" s="3" t="n"/>
    </row>
    <row r="451" ht="270.75" customHeight="1" s="18">
      <c r="A451" s="5" t="inlineStr">
        <is>
          <t>S2-0445</t>
        </is>
      </c>
      <c r="B451" s="5" t="inlineStr">
        <is>
          <t>B-ii</t>
        </is>
      </c>
      <c r="C451" s="3" t="inlineStr">
        <is>
          <t>Volpi, Lorenzo; Moreo, Alejandro; Sebastiani, Fabrizio</t>
        </is>
      </c>
      <c r="D451" s="6" t="n">
        <v>2025</v>
      </c>
      <c r="E451" s="3" t="inlineStr">
        <is>
          <t>LEAP: Linear equations for classifier accuracy prediction under prior probability shift</t>
        </is>
      </c>
      <c r="F451" s="3" t="inlineStr">
        <is>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is>
      </c>
      <c r="G451" s="5" t="inlineStr">
        <is>
          <t>Journal article</t>
        </is>
      </c>
      <c r="H451" s="5" t="inlineStr">
        <is>
          <t>10.1007/s10994-025-06878-y</t>
        </is>
      </c>
      <c r="I451" s="5" t="n"/>
      <c r="J451" s="3" t="n"/>
    </row>
    <row r="452" ht="228" customHeight="1" s="18">
      <c r="A452" s="5" t="inlineStr">
        <is>
          <t>S2-0446</t>
        </is>
      </c>
      <c r="B452" s="5" t="inlineStr">
        <is>
          <t>B-ii</t>
        </is>
      </c>
      <c r="C452" s="3" t="inlineStr">
        <is>
          <t>Volpi, Lorenzo; Moreo, Alejandro; Sebastiani, Fabrizio</t>
        </is>
      </c>
      <c r="D452" s="6" t="n">
        <v>2024</v>
      </c>
      <c r="E452" s="3" t="inlineStr">
        <is>
          <t>A Simple Method for&amp;nbsp;Classifier Accuracy Prediction Under Prior Probability Shift</t>
        </is>
      </c>
      <c r="F452" s="3" t="inlineStr">
        <is>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is>
      </c>
      <c r="G452" s="5" t="inlineStr">
        <is>
          <t>Conference paper</t>
        </is>
      </c>
      <c r="H452" s="5" t="inlineStr">
        <is>
          <t>10.1007/978-3-031-78980-9_17</t>
        </is>
      </c>
      <c r="I452" s="5" t="n"/>
      <c r="J452" s="3" t="n"/>
    </row>
    <row r="453" ht="199.5" customHeight="1" s="18">
      <c r="A453" s="5" t="inlineStr">
        <is>
          <t>S2-0447</t>
        </is>
      </c>
      <c r="B453" s="5" t="inlineStr">
        <is>
          <t>B-ii</t>
        </is>
      </c>
      <c r="C453" s="3" t="inlineStr">
        <is>
          <t>Jeong, Jiun; An, Byeongwoo; Kim, Gi-Soo; Shin, Kyubo</t>
        </is>
      </c>
      <c r="D453" s="6" t="n">
        <v>2026</v>
      </c>
      <c r="E453" s="3" t="inlineStr">
        <is>
          <t>Calibration-aware online adaptation under label shift</t>
        </is>
      </c>
      <c r="F453" s="3" t="inlineStr">
        <is>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is>
      </c>
      <c r="G453" s="5" t="inlineStr">
        <is>
          <t>Conference paper</t>
        </is>
      </c>
      <c r="H453" s="5" t="n"/>
      <c r="I453" s="5" t="n"/>
      <c r="J453" s="3" t="n"/>
    </row>
    <row r="454" ht="185.25" customHeight="1" s="18">
      <c r="A454" s="5" t="inlineStr">
        <is>
          <t>S2-0448</t>
        </is>
      </c>
      <c r="B454" s="5" t="inlineStr">
        <is>
          <t>B-ii</t>
        </is>
      </c>
      <c r="C454" s="3" t="inlineStr">
        <is>
          <t>Moreo, Alejandro; Sebastiani, Fabrizio</t>
        </is>
      </c>
      <c r="D454" s="6" t="n">
        <v>2021</v>
      </c>
      <c r="E454" s="3" t="inlineStr">
        <is>
          <t>Re-assessing the “Classify and Count” Quantification Method</t>
        </is>
      </c>
      <c r="F454" s="3" t="inlineStr">
        <is>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is>
      </c>
      <c r="G454" s="5" t="inlineStr">
        <is>
          <t>Conference paper</t>
        </is>
      </c>
      <c r="H454" s="5" t="inlineStr">
        <is>
          <t>10.1007/978-3-030-72240-1_6</t>
        </is>
      </c>
      <c r="I454" s="5" t="n"/>
      <c r="J454" s="3" t="n"/>
    </row>
    <row r="455" ht="228" customHeight="1" s="18">
      <c r="A455" s="5" t="inlineStr">
        <is>
          <t>S2-0449</t>
        </is>
      </c>
      <c r="B455" s="5" t="inlineStr">
        <is>
          <t>B-ii</t>
        </is>
      </c>
      <c r="C455" s="3" t="inlineStr">
        <is>
          <t>Moreo, Alejandro; Sebastiani, Fabrizio</t>
        </is>
      </c>
      <c r="D455" s="6" t="n">
        <v>2019</v>
      </c>
      <c r="E455" s="3" t="inlineStr">
        <is>
          <t>Learning to Quantify: Estimating Class Prevalence via Supervised Learning</t>
        </is>
      </c>
      <c r="F455" s="3" t="inlineStr">
        <is>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is>
      </c>
      <c r="G455" s="5" t="inlineStr">
        <is>
          <t>Conference paper</t>
        </is>
      </c>
      <c r="H455" s="5" t="inlineStr">
        <is>
          <t>10.1145/3331184.3331389</t>
        </is>
      </c>
      <c r="I455" s="5" t="n"/>
      <c r="J455" s="3" t="n"/>
    </row>
    <row r="456" ht="199.5" customHeight="1" s="18">
      <c r="A456" s="5" t="inlineStr">
        <is>
          <t>S2-0450</t>
        </is>
      </c>
      <c r="B456" s="5" t="inlineStr">
        <is>
          <t>B-ii</t>
        </is>
      </c>
      <c r="C456" s="3" t="inlineStr">
        <is>
          <t>Xu, Chao; Tang, Xijia; Hou, Chenping</t>
        </is>
      </c>
      <c r="D456" s="6" t="n">
        <v>2025</v>
      </c>
      <c r="E456" s="3" t="inlineStr">
        <is>
          <t>Heterogeneous label shift: theory and algorithm</t>
        </is>
      </c>
      <c r="F456" s="3" t="inlineStr">
        <is>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is>
      </c>
      <c r="G456" s="5" t="inlineStr">
        <is>
          <t>Conference paper</t>
        </is>
      </c>
      <c r="H456" s="5" t="n"/>
      <c r="I456" s="5" t="n"/>
      <c r="J456" s="3" t="n"/>
    </row>
    <row r="457" ht="171" customHeight="1" s="18">
      <c r="A457" s="5" t="inlineStr">
        <is>
          <t>S2-0451</t>
        </is>
      </c>
      <c r="B457" s="5" t="inlineStr">
        <is>
          <t>B-ii</t>
        </is>
      </c>
      <c r="C457" s="3" t="inlineStr">
        <is>
          <t>Donyavi, Zahra; Li, Feiyu; Zhang, Yunrui; Silva, Diego F.; Batista, Gustavo E.</t>
        </is>
      </c>
      <c r="D457" s="6" t="n">
        <v>2025</v>
      </c>
      <c r="E457" s="3" t="inlineStr">
        <is>
          <t>Match: A Maximum-Likelihood Approach for Classification under Label Shift</t>
        </is>
      </c>
      <c r="F457" s="3" t="inlineStr">
        <is>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is>
      </c>
      <c r="G457" s="5" t="inlineStr">
        <is>
          <t>Conference paper</t>
        </is>
      </c>
      <c r="H457" s="5" t="inlineStr">
        <is>
          <t>10.1145/3711896.3737040</t>
        </is>
      </c>
      <c r="I457" s="5" t="n"/>
      <c r="J457" s="3" t="n"/>
    </row>
    <row r="458" ht="228" customHeight="1" s="18">
      <c r="A458" s="5" t="inlineStr">
        <is>
          <t>S2-0452</t>
        </is>
      </c>
      <c r="B458" s="5" t="inlineStr">
        <is>
          <t>B-ii</t>
        </is>
      </c>
      <c r="C458" s="3" t="inlineStr">
        <is>
          <t>Wu, Xiaowen; Fan, Ruidong; Hou, Chenping</t>
        </is>
      </c>
      <c r="D458" s="6" t="n">
        <v>2025</v>
      </c>
      <c r="E458" s="3" t="inlineStr">
        <is>
          <t>Robust Label Shift Correction via&amp;nbsp;Denoising Expectation-Maximization</t>
        </is>
      </c>
      <c r="F458" s="3" t="inlineStr">
        <is>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is>
      </c>
      <c r="G458" s="5" t="inlineStr">
        <is>
          <t>Conference paper</t>
        </is>
      </c>
      <c r="H458" s="5" t="inlineStr">
        <is>
          <t>10.1007/978-981-95-4987-0_5</t>
        </is>
      </c>
      <c r="I458" s="5" t="n"/>
      <c r="J458" s="3" t="n"/>
    </row>
    <row r="459" ht="242.25" customHeight="1" s="18">
      <c r="A459" s="5" t="inlineStr">
        <is>
          <t>S2-0453</t>
        </is>
      </c>
      <c r="B459" s="5" t="inlineStr">
        <is>
          <t>B-ii</t>
        </is>
      </c>
      <c r="C459" s="3" t="inlineStr">
        <is>
          <t>Azizi, Shayan; Calderan, Felipe Vaiano; Okui, Norihiro; Nakahara, Masataka; Kubota, Ayumu; Quiles, Marcos Gonçalves; Batista, Gustavo Enrique; Gharakheili, Hassan Habibi</t>
        </is>
      </c>
      <c r="D459" s="6" t="n">
        <v>2025</v>
      </c>
      <c r="E459" s="3" t="inlineStr">
        <is>
          <t>Towards Label Shift Adaptation for Robust IoT Device Identification</t>
        </is>
      </c>
      <c r="F459" s="3" t="inlineStr">
        <is>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is>
      </c>
      <c r="G459" s="5" t="inlineStr">
        <is>
          <t>Conference paper</t>
        </is>
      </c>
      <c r="H459" s="5" t="inlineStr">
        <is>
          <t>10.1145/3733801.3764204</t>
        </is>
      </c>
      <c r="I459" s="5" t="n"/>
      <c r="J459" s="3" t="n"/>
    </row>
    <row r="460" ht="256.5" customHeight="1" s="18">
      <c r="A460" s="5" t="inlineStr">
        <is>
          <t>S2-0454</t>
        </is>
      </c>
      <c r="B460" s="5" t="inlineStr">
        <is>
          <t>B-ii</t>
        </is>
      </c>
      <c r="C460" s="3" t="inlineStr">
        <is>
          <t>Yang, Jiue-An; Chen, Yuzhou; Tribby, Calvin P; Lee, Huikyo; Erhunmwunsee, Loretta; Benmarhnia, Tarik; Thompson, Caroline A; Gel, Yulia R; Jankowska, Marta M</t>
        </is>
      </c>
      <c r="D460" s="6" t="n">
        <v>2025</v>
      </c>
      <c r="E460" s="3" t="inlineStr">
        <is>
          <t>LLM-Based Multi-Agent System and Simplicial Self-Supervised Learning Model for Regional Cancer Prevalence Estimation Using Satellite Imagery</t>
        </is>
      </c>
      <c r="F460" s="3" t="inlineStr">
        <is>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is>
      </c>
      <c r="G460" s="5" t="inlineStr">
        <is>
          <t>Conference paper</t>
        </is>
      </c>
      <c r="H460" s="5" t="inlineStr">
        <is>
          <t>10.1145/3748636.3763225</t>
        </is>
      </c>
      <c r="I460" s="5" t="n"/>
      <c r="J460" s="3" t="n"/>
    </row>
    <row r="461" ht="213.75" customHeight="1" s="18">
      <c r="A461" s="5" t="inlineStr">
        <is>
          <t>S2-0455</t>
        </is>
      </c>
      <c r="B461" s="5" t="inlineStr">
        <is>
          <t>B-ii</t>
        </is>
      </c>
      <c r="C461" s="3" t="inlineStr">
        <is>
          <t>Masserano, Luca; Shen, Alex; Doro, Michele; Dorigo, Tommaso; Izbicki, Rafael; Lee, Ann B.</t>
        </is>
      </c>
      <c r="D461" s="6" t="n">
        <v>2024</v>
      </c>
      <c r="E461" s="3" t="inlineStr">
        <is>
          <t>Classification under nuisance parameters and generalized label shift in likelihood-free inference</t>
        </is>
      </c>
      <c r="F461" s="3" t="inlineStr">
        <is>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is>
      </c>
      <c r="G461" s="5" t="inlineStr">
        <is>
          <t>Conference paper</t>
        </is>
      </c>
      <c r="H461" s="5" t="n"/>
      <c r="I461" s="5" t="n"/>
      <c r="J461" s="3" t="n"/>
    </row>
    <row r="462" ht="213.75" customHeight="1" s="18">
      <c r="A462" s="5" t="inlineStr">
        <is>
          <t>S2-0456</t>
        </is>
      </c>
      <c r="B462" s="5" t="inlineStr">
        <is>
          <t>B-ii</t>
        </is>
      </c>
      <c r="C462" s="3" t="inlineStr">
        <is>
          <t>Kloos, Kevin; Karch, Julian D.; Meertens, Quinten A.; Scholtus, Sander; de Rooij, Mark</t>
        </is>
      </c>
      <c r="D462" s="6" t="n">
        <v>2026</v>
      </c>
      <c r="E462" s="3" t="inlineStr">
        <is>
          <t>Continuous Sweep for Binary Quantification Learning</t>
        </is>
      </c>
      <c r="F462" s="3" t="inlineStr">
        <is>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is>
      </c>
      <c r="G462" s="5" t="inlineStr">
        <is>
          <t>Journal article</t>
        </is>
      </c>
      <c r="H462" s="5" t="inlineStr">
        <is>
          <t>10.1007/s00357-026-09548-3</t>
        </is>
      </c>
      <c r="I462" s="5" t="n"/>
      <c r="J462" s="3" t="n"/>
    </row>
    <row r="463" ht="85.5" customHeight="1" s="18">
      <c r="A463" s="5" t="inlineStr">
        <is>
          <t>S2-0457</t>
        </is>
      </c>
      <c r="B463" s="5" t="inlineStr">
        <is>
          <t>B-ii</t>
        </is>
      </c>
      <c r="C463" s="3" t="inlineStr">
        <is>
          <t>Tomaszewska, Paulina; Lampert, Christoph H.</t>
        </is>
      </c>
      <c r="D463" s="6" t="n">
        <v>2022</v>
      </c>
      <c r="E463" s="3" t="inlineStr">
        <is>
          <t>On the&amp;nbsp;Implementation of&amp;nbsp;Baselines and&amp;nbsp;Lightweight Conditional Model Extrapolation (LIMES) Under Class-Prior Shift</t>
        </is>
      </c>
      <c r="F463" s="3" t="inlineStr">
        <is>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is>
      </c>
      <c r="G463" s="5" t="inlineStr">
        <is>
          <t>Conference paper</t>
        </is>
      </c>
      <c r="H463" s="5" t="inlineStr">
        <is>
          <t>10.1007/978-3-031-40773-4_6</t>
        </is>
      </c>
      <c r="I463" s="5" t="n"/>
      <c r="J463" s="3" t="n"/>
    </row>
    <row r="464" ht="228" customHeight="1" s="18">
      <c r="A464" s="5" t="inlineStr">
        <is>
          <t>S2-0458</t>
        </is>
      </c>
      <c r="B464" s="5" t="inlineStr">
        <is>
          <t>B-ii</t>
        </is>
      </c>
      <c r="C464" s="3" t="inlineStr">
        <is>
          <t>Fan, Ruidong; Ouyang, Xiao; Luo, Tingjin; Zhang, Lijun; Hou, Chenping</t>
        </is>
      </c>
      <c r="D464" s="6" t="n">
        <v>2025</v>
      </c>
      <c r="E464" s="3" t="inlineStr">
        <is>
          <t>One-step label shift adaptation via robust weight estimation</t>
        </is>
      </c>
      <c r="F464" s="3" t="inlineStr">
        <is>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is>
      </c>
      <c r="G464" s="5" t="inlineStr">
        <is>
          <t>Conference paper</t>
        </is>
      </c>
      <c r="H464" s="5" t="inlineStr">
        <is>
          <t>10.24963/ijcai.2025/565</t>
        </is>
      </c>
      <c r="I464" s="5" t="n"/>
      <c r="J464" s="3" t="n"/>
    </row>
    <row r="465" ht="156.75" customHeight="1" s="18">
      <c r="A465" s="5" t="inlineStr">
        <is>
          <t>S2-0459</t>
        </is>
      </c>
      <c r="B465" s="5" t="inlineStr">
        <is>
          <t>B-ii</t>
        </is>
      </c>
      <c r="C465" s="3" t="inlineStr">
        <is>
          <t>Nakajima, Shota; Sugiyama, Masashi</t>
        </is>
      </c>
      <c r="D465" s="6" t="n">
        <v>2022</v>
      </c>
      <c r="E465" s="3" t="inlineStr">
        <is>
          <t>Positive-unlabeled classification under class-prior shift: a prior-invariant approach based on density ratio estimation</t>
        </is>
      </c>
      <c r="F465" s="3" t="inlineStr">
        <is>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is>
      </c>
      <c r="G465" s="5" t="inlineStr">
        <is>
          <t>Journal article</t>
        </is>
      </c>
      <c r="H465" s="5" t="inlineStr">
        <is>
          <t>10.1007/s10994-022-06190-z</t>
        </is>
      </c>
      <c r="I465" s="5" t="n"/>
      <c r="J465" s="3" t="n"/>
    </row>
    <row r="466" ht="242.25" customHeight="1" s="18">
      <c r="A466" s="5" t="inlineStr">
        <is>
          <t>S2-0460</t>
        </is>
      </c>
      <c r="B466" s="5" t="inlineStr">
        <is>
          <t>B-ii</t>
        </is>
      </c>
      <c r="C466" s="3" t="inlineStr">
        <is>
          <t>Moreo, Alejandro; Sebastiani, Fabrizio</t>
        </is>
      </c>
      <c r="D466" s="6" t="n">
        <v>2019</v>
      </c>
      <c r="E466" s="3" t="inlineStr">
        <is>
          <t>Tutorial: Supervised Learning for Prevalence Estimation</t>
        </is>
      </c>
      <c r="F466" s="3" t="inlineStr">
        <is>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is>
      </c>
      <c r="G466" s="5" t="inlineStr">
        <is>
          <t>Conference paper</t>
        </is>
      </c>
      <c r="H466" s="5" t="inlineStr">
        <is>
          <t>10.1007/978-3-030-27629-4_3</t>
        </is>
      </c>
      <c r="I466" s="5" t="n"/>
      <c r="J466" s="3" t="n"/>
    </row>
    <row r="467" ht="156.75" customHeight="1" s="18">
      <c r="A467" s="5" t="inlineStr">
        <is>
          <t>S2-0461</t>
        </is>
      </c>
      <c r="B467" s="5" t="inlineStr">
        <is>
          <t>B-ii</t>
        </is>
      </c>
      <c r="C467" s="3" t="inlineStr">
        <is>
          <t>Mielniczuk, Jan; Wawrzeńczyk, Adam</t>
        </is>
      </c>
      <c r="D467" s="6" t="n">
        <v>2025</v>
      </c>
      <c r="E467" s="3" t="inlineStr">
        <is>
          <t>Accounting for Label Shift of Positive Unlabeled Data under Selection Bias</t>
        </is>
      </c>
      <c r="F467" s="3" t="inlineStr">
        <is>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is>
      </c>
      <c r="G467" s="5" t="inlineStr">
        <is>
          <t>Journal article</t>
        </is>
      </c>
      <c r="H467" s="5" t="inlineStr">
        <is>
          <t>10.61822/amcs-2025-0036</t>
        </is>
      </c>
      <c r="I467" s="5" t="n"/>
      <c r="J467" s="3" t="n"/>
    </row>
    <row r="468" ht="185.25" customHeight="1" s="18">
      <c r="A468" s="5" t="inlineStr">
        <is>
          <t>S2-0462</t>
        </is>
      </c>
      <c r="B468" s="5" t="inlineStr">
        <is>
          <t>B-ii</t>
        </is>
      </c>
      <c r="C468" s="3" t="inlineStr">
        <is>
          <t>Wu, Ruihan; Datta, Siddhartha; Su, Yi; Baby, Dheeraj; Wang, Yu-Xiang; Weinberger, Kilian Q.</t>
        </is>
      </c>
      <c r="D468" s="6" t="n">
        <v>2024</v>
      </c>
      <c r="E468" s="3" t="inlineStr">
        <is>
          <t>Online feature updates improve online (generalized) label shift adaptation</t>
        </is>
      </c>
      <c r="F468" s="3" t="inlineStr">
        <is>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is>
      </c>
      <c r="G468" s="5" t="inlineStr">
        <is>
          <t>Conference paper</t>
        </is>
      </c>
      <c r="H468" s="5" t="n"/>
      <c r="I468" s="5" t="n"/>
      <c r="J468" s="3" t="n"/>
    </row>
    <row r="469" ht="285" customHeight="1" s="18">
      <c r="A469" s="5" t="inlineStr">
        <is>
          <t>S2-0463</t>
        </is>
      </c>
      <c r="B469" s="5" t="inlineStr">
        <is>
          <t>B-ii</t>
        </is>
      </c>
      <c r="C469" s="3" t="inlineStr">
        <is>
          <t>Ouyang, Yanlong; Mizutani, Shin; Kishino, Yasue</t>
        </is>
      </c>
      <c r="D469" s="6" t="n">
        <v>2026</v>
      </c>
      <c r="E469" s="3" t="inlineStr">
        <is>
          <t>Efficient Video Object Classification Using Class Prior Adaptation Under Continuous Class-Balance Changes</t>
        </is>
      </c>
      <c r="F469" s="3" t="inlineStr">
        <is>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is>
      </c>
      <c r="G469" s="5" t="inlineStr">
        <is>
          <t>Conference paper</t>
        </is>
      </c>
      <c r="H469" s="5" t="inlineStr">
        <is>
          <t>10.1145/3737611.3776610</t>
        </is>
      </c>
      <c r="I469" s="5" t="n"/>
      <c r="J469" s="3" t="n"/>
    </row>
    <row r="470" ht="242.25" customHeight="1" s="18">
      <c r="A470" s="5" t="inlineStr">
        <is>
          <t>S2-0464</t>
        </is>
      </c>
      <c r="B470" s="5" t="inlineStr">
        <is>
          <t>B-ii</t>
        </is>
      </c>
      <c r="C470" s="3" t="inlineStr">
        <is>
          <t>Garg, Saurabh; Balakrishnan, Sivaraman; Lipton, Zachary C.</t>
        </is>
      </c>
      <c r="D470" s="6" t="n">
        <v>2022</v>
      </c>
      <c r="E470" s="3" t="inlineStr">
        <is>
          <t>Domain adaptation under open set label shift</t>
        </is>
      </c>
      <c r="F470" s="3" t="inlineStr">
        <is>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is>
      </c>
      <c r="G470" s="5" t="inlineStr">
        <is>
          <t>Conference paper</t>
        </is>
      </c>
      <c r="H470" s="5" t="n"/>
      <c r="I470" s="5" t="n"/>
      <c r="J470" s="3" t="n"/>
    </row>
    <row r="471" ht="228" customHeight="1" s="18">
      <c r="A471" s="5" t="inlineStr">
        <is>
          <t>S2-0465</t>
        </is>
      </c>
      <c r="B471" s="5" t="inlineStr">
        <is>
          <t>B-ii</t>
        </is>
      </c>
      <c r="C471" s="3" t="inlineStr">
        <is>
          <t>He, Siying; Liang, Weijuan; Liu, Jiatong</t>
        </is>
      </c>
      <c r="D471" s="6" t="n">
        <v>2026</v>
      </c>
      <c r="E471" s="3" t="inlineStr">
        <is>
          <t>Identifying labeling mechanism in positive-unlabeled learning under unknown class prior</t>
        </is>
      </c>
      <c r="F471" s="3" t="inlineStr">
        <is>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is>
      </c>
      <c r="G471" s="5" t="inlineStr">
        <is>
          <t>Conference paper</t>
        </is>
      </c>
      <c r="H471" s="5" t="n"/>
      <c r="I471" s="5" t="n"/>
      <c r="J471" s="3" t="n"/>
    </row>
    <row r="472" ht="270.75" customHeight="1" s="18">
      <c r="A472" s="5" t="inlineStr">
        <is>
          <t>S2-0466</t>
        </is>
      </c>
      <c r="B472" s="5" t="inlineStr">
        <is>
          <t>B-ii</t>
        </is>
      </c>
      <c r="C472" s="3" t="inlineStr">
        <is>
          <t>Qian, Yu-Yang; Wang, Yi-Han; Zhang, Zhen-Yu; Jiang, Yuan; Zhou, Zhi-Hua</t>
        </is>
      </c>
      <c r="D472" s="6" t="n">
        <v>2025</v>
      </c>
      <c r="E472" s="3" t="inlineStr">
        <is>
          <t>Adapting to Generalized Online Label Shift by Invariant Representation Learning</t>
        </is>
      </c>
      <c r="F472" s="3" t="inlineStr">
        <is>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is>
      </c>
      <c r="G472" s="5" t="inlineStr">
        <is>
          <t>Conference paper</t>
        </is>
      </c>
      <c r="H472" s="5" t="inlineStr">
        <is>
          <t>10.1145/3690624.3709182</t>
        </is>
      </c>
      <c r="I472" s="5" t="n"/>
      <c r="J472" s="3" t="n"/>
    </row>
    <row r="473" ht="185.25" customHeight="1" s="18">
      <c r="A473" s="5" t="inlineStr">
        <is>
          <t>S2-0467</t>
        </is>
      </c>
      <c r="B473" s="5" t="inlineStr">
        <is>
          <t>B-ii</t>
        </is>
      </c>
      <c r="C473" s="3" t="inlineStr">
        <is>
          <t>Kruse, Johannes; Lindskow, Kasper; Andersen, Michael Riis; Shimizu, Ryotaro; McAuley, Julian; Mattei, Pierre-Alexandre; Frellsen, Jes</t>
        </is>
      </c>
      <c r="D473" s="6" t="n">
        <v>2025</v>
      </c>
      <c r="E473" s="3" t="inlineStr">
        <is>
          <t>Normative Alignment of Recommender Systems via Internal Label Shift</t>
        </is>
      </c>
      <c r="F473" s="3" t="inlineStr">
        <is>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is>
      </c>
      <c r="G473" s="5" t="inlineStr">
        <is>
          <t>Conference paper</t>
        </is>
      </c>
      <c r="H473" s="5" t="inlineStr">
        <is>
          <t>10.1145/3705328.3759309</t>
        </is>
      </c>
      <c r="I473" s="5" t="n"/>
      <c r="J473" s="3" t="n"/>
    </row>
    <row r="474" ht="142.5" customHeight="1" s="18">
      <c r="A474" s="5" t="inlineStr">
        <is>
          <t>S2-0468</t>
        </is>
      </c>
      <c r="B474" s="5" t="inlineStr">
        <is>
          <t>B-ii</t>
        </is>
      </c>
      <c r="C474" s="3" t="inlineStr">
        <is>
          <t>Zhao, Lili; Yang, Jinzhao</t>
        </is>
      </c>
      <c r="D474" s="6" t="n">
        <v>2024</v>
      </c>
      <c r="E474" s="3" t="inlineStr">
        <is>
          <t>An Uncertainty Quantitative Method for Cell Image Classification under Label Shift</t>
        </is>
      </c>
      <c r="F474" s="3" t="inlineStr">
        <is>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is>
      </c>
      <c r="G474" s="5" t="inlineStr">
        <is>
          <t>Conference paper</t>
        </is>
      </c>
      <c r="H474" s="5" t="inlineStr">
        <is>
          <t>10.1145/3653644.3689139</t>
        </is>
      </c>
      <c r="I474" s="5" t="n"/>
      <c r="J474" s="3" t="n"/>
    </row>
    <row r="475" ht="228" customHeight="1" s="18">
      <c r="A475" s="5" t="inlineStr">
        <is>
          <t>S2-0469</t>
        </is>
      </c>
      <c r="B475" s="5" t="inlineStr">
        <is>
          <t>B-ii</t>
        </is>
      </c>
      <c r="C475" s="3" t="inlineStr">
        <is>
          <t>Wei, Tong; Mao, Zhen; Zhou, Zi-Hao; Wan, Yuanyu; Zhang, Min-Ling</t>
        </is>
      </c>
      <c r="D475" s="6" t="n">
        <v>2024</v>
      </c>
      <c r="E475" s="3" t="inlineStr">
        <is>
          <t>Learning label shift correction for test-agnostic long-tailed recognition</t>
        </is>
      </c>
      <c r="F475" s="3" t="inlineStr">
        <is>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is>
      </c>
      <c r="G475" s="5" t="inlineStr">
        <is>
          <t>Conference paper</t>
        </is>
      </c>
      <c r="H475" s="5" t="n"/>
      <c r="I475" s="5" t="n"/>
      <c r="J475" s="3" t="n"/>
    </row>
    <row r="476" ht="299.25" customHeight="1" s="18">
      <c r="A476" s="5" t="inlineStr">
        <is>
          <t>S2-0470</t>
        </is>
      </c>
      <c r="B476" s="5" t="inlineStr">
        <is>
          <t>B-ii</t>
        </is>
      </c>
      <c r="C476" s="3" t="inlineStr">
        <is>
          <t>Zhao, Maozhe; Shen, Rui; Gong, Bo; Xu, Zhihao; Zheng, Zhenzhe; Liu, Shengzhong; Wu, Fan; Chen, Guihai</t>
        </is>
      </c>
      <c r="D476" s="6" t="n">
        <v>2026</v>
      </c>
      <c r="E476" s="3" t="inlineStr">
        <is>
          <t>MACRA: Efficient Knowledge Sharing among Personalized Models against Label Shift in Mobile AI Applications</t>
        </is>
      </c>
      <c r="F476" s="3" t="inlineStr">
        <is>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is>
      </c>
      <c r="G476" s="5" t="inlineStr">
        <is>
          <t>Journal article</t>
        </is>
      </c>
      <c r="H476" s="5" t="inlineStr">
        <is>
          <t>10.1145/3810201</t>
        </is>
      </c>
      <c r="I476" s="5" t="n"/>
      <c r="J476" s="3" t="n"/>
    </row>
    <row r="477" ht="199.5" customHeight="1" s="18">
      <c r="A477" s="5" t="inlineStr">
        <is>
          <t>S2-0471</t>
        </is>
      </c>
      <c r="B477" s="5" t="inlineStr">
        <is>
          <t>B-ii</t>
        </is>
      </c>
      <c r="C477" s="3" t="inlineStr">
        <is>
          <t>Baby, Dheeraj; Garg, Saurabh; Yen, Tzu-Ching; Balakrishnan, Sivaraman; Lipton, Zachary C.; Wang, Yu-Xiang</t>
        </is>
      </c>
      <c r="D477" s="6" t="n">
        <v>2023</v>
      </c>
      <c r="E477" s="3" t="inlineStr">
        <is>
          <t>Online label shift: optimal dynamic regret meets practical algorithms</t>
        </is>
      </c>
      <c r="F477" s="3" t="inlineStr">
        <is>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is>
      </c>
      <c r="G477" s="5" t="inlineStr">
        <is>
          <t>Conference paper</t>
        </is>
      </c>
      <c r="H477" s="5" t="n"/>
      <c r="I477" s="5" t="n"/>
      <c r="J477" s="3" t="n"/>
    </row>
    <row r="478" ht="270.75" customHeight="1" s="18">
      <c r="A478" s="5" t="inlineStr">
        <is>
          <t>S2-0472</t>
        </is>
      </c>
      <c r="B478" s="5" t="inlineStr">
        <is>
          <t>B-ii</t>
        </is>
      </c>
      <c r="C478" s="3" t="inlineStr">
        <is>
          <t>Sun, Xiaona; Wu, Zhenyu; Zhan, Zhiqiang; Ji, Yang</t>
        </is>
      </c>
      <c r="D478" s="6" t="n">
        <v>2024</v>
      </c>
      <c r="E478" s="3" t="inlineStr">
        <is>
          <t>Contrastive Conditional Alignment Based on Label Shift Calibration for Imbalanced Domain Adaptation</t>
        </is>
      </c>
      <c r="F478" s="3" t="inlineStr">
        <is>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is>
      </c>
      <c r="G478" s="5" t="inlineStr">
        <is>
          <t>Conference paper</t>
        </is>
      </c>
      <c r="H478" s="5" t="inlineStr">
        <is>
          <t>10.1007/978-3-031-78195-7_2</t>
        </is>
      </c>
      <c r="I478" s="5" t="n"/>
      <c r="J478" s="3" t="n"/>
    </row>
    <row r="479" ht="228" customHeight="1" s="18">
      <c r="A479" s="5" t="inlineStr">
        <is>
          <t>S2-0473</t>
        </is>
      </c>
      <c r="B479" s="5" t="inlineStr">
        <is>
          <t>B-ii</t>
        </is>
      </c>
      <c r="C479" s="3" t="inlineStr">
        <is>
          <t>Fan, Ruidong; Ouyang, Xiao; Tao, Hong; Hou, Chenping</t>
        </is>
      </c>
      <c r="D479" s="6" t="n">
        <v>2024</v>
      </c>
      <c r="E479" s="3" t="inlineStr">
        <is>
          <t>Label Shift Correction via Bidirectional Marginal Distribution Matching</t>
        </is>
      </c>
      <c r="F479" s="3" t="inlineStr">
        <is>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is>
      </c>
      <c r="G479" s="5" t="inlineStr">
        <is>
          <t>Conference paper</t>
        </is>
      </c>
      <c r="H479" s="5" t="inlineStr">
        <is>
          <t>10.1145/3637528.3671867</t>
        </is>
      </c>
      <c r="I479" s="5" t="n"/>
      <c r="J479" s="3" t="n"/>
    </row>
    <row r="480" ht="199.5" customHeight="1" s="18">
      <c r="A480" s="5" t="inlineStr">
        <is>
          <t>S2-0474</t>
        </is>
      </c>
      <c r="B480" s="5" t="inlineStr">
        <is>
          <t>B-ii</t>
        </is>
      </c>
      <c r="C480" s="3" t="inlineStr">
        <is>
          <t>Vaz, Afonso Fernandes; Izbicki, Rafael; Stern, Rafael Bassi</t>
        </is>
      </c>
      <c r="D480" s="6" t="n">
        <v>2019</v>
      </c>
      <c r="E480" s="3" t="inlineStr">
        <is>
          <t>Quantification under prior probability shift: the ratio estimator and its extensions</t>
        </is>
      </c>
      <c r="F480" s="3" t="inlineStr">
        <is>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is>
      </c>
      <c r="G480" s="5" t="inlineStr">
        <is>
          <t>Journal article</t>
        </is>
      </c>
      <c r="H480" s="5" t="n"/>
      <c r="I480" s="5" t="n"/>
      <c r="J480" s="3" t="n"/>
    </row>
    <row r="481" ht="142.5" customHeight="1" s="18">
      <c r="A481" s="5" t="inlineStr">
        <is>
          <t>S2-0475</t>
        </is>
      </c>
      <c r="B481" s="5" t="inlineStr">
        <is>
          <t>B-ii</t>
        </is>
      </c>
      <c r="C481" s="3" t="inlineStr">
        <is>
          <t>Esuli, Andrea; Moreo, Alejandro; Sebastiani, Fabrizio</t>
        </is>
      </c>
      <c r="D481" s="6" t="n">
        <v>2022</v>
      </c>
      <c r="E481" s="3" t="inlineStr">
        <is>
          <t>LeQua@CLEF2022: Learning to Quantify</t>
        </is>
      </c>
      <c r="F481" s="3" t="inlineStr">
        <is>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is>
      </c>
      <c r="G481" s="5" t="inlineStr">
        <is>
          <t>Conference paper</t>
        </is>
      </c>
      <c r="H481" s="5" t="inlineStr">
        <is>
          <t>10.1007/978-3-030-99739-7_47</t>
        </is>
      </c>
      <c r="I481" s="5" t="n"/>
      <c r="J481" s="3" t="n"/>
    </row>
    <row r="482" ht="285" customHeight="1" s="18">
      <c r="A482" s="5" t="inlineStr">
        <is>
          <t>S2-0476</t>
        </is>
      </c>
      <c r="B482" s="5" t="inlineStr">
        <is>
          <t>B-ii</t>
        </is>
      </c>
      <c r="C482" s="3" t="inlineStr">
        <is>
          <t>Luo, You-Wei; Ren, Chuan-Xian</t>
        </is>
      </c>
      <c r="D482" s="6" t="n">
        <v>2024</v>
      </c>
      <c r="E482" s="3" t="inlineStr">
        <is>
          <t>When Invariant Representation Learning Meets Label Shift: Insufficiency and Theoretical Insights</t>
        </is>
      </c>
      <c r="F482" s="3" t="inlineStr">
        <is>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is>
      </c>
      <c r="G482" s="5" t="inlineStr">
        <is>
          <t>Journal article</t>
        </is>
      </c>
      <c r="H482" s="5" t="inlineStr">
        <is>
          <t>10.1109/tpami.2024.3417214</t>
        </is>
      </c>
      <c r="I482" s="5" t="n"/>
      <c r="J482" s="3" t="n"/>
    </row>
    <row r="483" ht="42.75" customHeight="1" s="18">
      <c r="A483" s="5" t="inlineStr">
        <is>
          <t>S2-0477</t>
        </is>
      </c>
      <c r="B483" s="5" t="inlineStr">
        <is>
          <t>B-ii</t>
        </is>
      </c>
      <c r="C483" s="3" t="inlineStr">
        <is>
          <t>Yoshida, Takeshi; Shin’ya, Eitaro; Washio, Takashi</t>
        </is>
      </c>
      <c r="D483" s="6" t="n">
        <v>2025</v>
      </c>
      <c r="E483" s="3" t="inlineStr">
        <is>
          <t>Class-prior probability estimation using density ratio between unlabeled instances and positively labeled noisy instances</t>
        </is>
      </c>
      <c r="F483" s="3" t="n"/>
      <c r="G483" s="5" t="inlineStr">
        <is>
          <t>Journal article</t>
        </is>
      </c>
      <c r="H483" s="5" t="inlineStr">
        <is>
          <t>10.1016/j.neucom.2024.129074</t>
        </is>
      </c>
      <c r="I483" s="5" t="n"/>
      <c r="J483" s="3" t="n"/>
    </row>
    <row r="484" ht="156.75" customHeight="1" s="18">
      <c r="A484" s="5" t="inlineStr">
        <is>
          <t>S2-0478</t>
        </is>
      </c>
      <c r="B484" s="5" t="inlineStr">
        <is>
          <t>B-ii</t>
        </is>
      </c>
      <c r="C484" s="3" t="inlineStr">
        <is>
          <t>Plassier, Vincent; Makni, Mehdi; Rubashevskii, Aleksandr; Moulines, Eric; Panov, Maxim</t>
        </is>
      </c>
      <c r="D484" s="6" t="n">
        <v>2023</v>
      </c>
      <c r="E484" s="3" t="inlineStr">
        <is>
          <t>Conformal prediction for federated uncertainty quantification under label shift</t>
        </is>
      </c>
      <c r="F484" s="3" t="inlineStr">
        <is>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is>
      </c>
      <c r="G484" s="5" t="inlineStr">
        <is>
          <t>Conference paper</t>
        </is>
      </c>
      <c r="H484" s="5" t="n"/>
      <c r="I484" s="5" t="n"/>
      <c r="J484" s="3" t="n"/>
    </row>
    <row r="485" ht="313.5" customHeight="1" s="18">
      <c r="A485" s="5" t="inlineStr">
        <is>
          <t>S2-0479</t>
        </is>
      </c>
      <c r="B485" s="5" t="inlineStr">
        <is>
          <t>B-ii</t>
        </is>
      </c>
      <c r="C485" s="3" t="inlineStr">
        <is>
          <t>Roberts, Manley; Mani, Pranav; Garg, Saurabh; Lipton, Zachary C.</t>
        </is>
      </c>
      <c r="D485" s="6" t="n">
        <v>2022</v>
      </c>
      <c r="E485" s="3" t="inlineStr">
        <is>
          <t>Unsupervised learning under latent label shift</t>
        </is>
      </c>
      <c r="F485" s="3" t="inlineStr">
        <is>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is>
      </c>
      <c r="G485" s="5" t="inlineStr">
        <is>
          <t>Conference paper</t>
        </is>
      </c>
      <c r="H485" s="5" t="n"/>
      <c r="I485" s="5" t="n"/>
      <c r="J485" s="3" t="n"/>
    </row>
    <row r="486" ht="256.5" customHeight="1" s="18">
      <c r="A486" s="5" t="inlineStr">
        <is>
          <t>S2-0480</t>
        </is>
      </c>
      <c r="B486" s="5" t="inlineStr">
        <is>
          <t>B-ii</t>
        </is>
      </c>
      <c r="C486" s="3" t="inlineStr">
        <is>
          <t>del Coz, Juan José; González, Pablo; Moreo, Alejandro; Sebastiani, Fabrizio</t>
        </is>
      </c>
      <c r="D486" s="6" t="n">
        <v>2021</v>
      </c>
      <c r="E486" s="3" t="inlineStr">
        <is>
          <t>Learning to Quantify: Methods and Applications (LQ 2021)</t>
        </is>
      </c>
      <c r="F486" s="3" t="inlineStr">
        <is>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is>
      </c>
      <c r="G486" s="5" t="inlineStr">
        <is>
          <t>Conference paper</t>
        </is>
      </c>
      <c r="H486" s="5" t="inlineStr">
        <is>
          <t>10.1145/3459637.3482040</t>
        </is>
      </c>
      <c r="I486" s="5" t="n"/>
      <c r="J486" s="3" t="n"/>
    </row>
    <row r="487" ht="256.5" customHeight="1" s="18">
      <c r="A487" s="5" t="inlineStr">
        <is>
          <t>S2-0481</t>
        </is>
      </c>
      <c r="B487" s="5" t="inlineStr">
        <is>
          <t>B-ii</t>
        </is>
      </c>
      <c r="C487" s="3" t="inlineStr">
        <is>
          <t>Bai, Yong; Zhang, Yu-Jie; Zhao, Peng; Sugiyama, Masashi; Zhou, Zhi-Hua</t>
        </is>
      </c>
      <c r="D487" s="6" t="n">
        <v>2022</v>
      </c>
      <c r="E487" s="3" t="inlineStr">
        <is>
          <t>Adapting to online label shift with provable guarantees</t>
        </is>
      </c>
      <c r="F487" s="3" t="inlineStr">
        <is>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is>
      </c>
      <c r="G487" s="5" t="inlineStr">
        <is>
          <t>Conference paper</t>
        </is>
      </c>
      <c r="H487" s="5" t="n"/>
      <c r="I487" s="5" t="n"/>
      <c r="J487" s="3" t="n"/>
    </row>
    <row r="488" ht="242.25" customHeight="1" s="18">
      <c r="A488" s="5" t="inlineStr">
        <is>
          <t>S2-0482</t>
        </is>
      </c>
      <c r="B488" s="5" t="inlineStr">
        <is>
          <t>B-ii</t>
        </is>
      </c>
      <c r="C488" s="3" t="inlineStr">
        <is>
          <t>Song, Zichen; Qiu, Qiang</t>
        </is>
      </c>
      <c r="D488" s="6" t="n">
        <v>2018</v>
      </c>
      <c r="E488" s="3" t="inlineStr">
        <is>
          <t>Learn to Classify and Count: A Unified Framework for Object Classification and Counting</t>
        </is>
      </c>
      <c r="F488" s="3" t="inlineStr">
        <is>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is>
      </c>
      <c r="G488" s="5" t="inlineStr">
        <is>
          <t>Conference paper</t>
        </is>
      </c>
      <c r="H488" s="5" t="inlineStr">
        <is>
          <t>10.1145/3191442.3191459</t>
        </is>
      </c>
      <c r="I488" s="5" t="n"/>
      <c r="J488" s="3" t="n"/>
    </row>
    <row r="489" ht="199.5" customHeight="1" s="18">
      <c r="A489" s="5" t="inlineStr">
        <is>
          <t>S2-0483</t>
        </is>
      </c>
      <c r="B489" s="5" t="inlineStr">
        <is>
          <t>B-ii</t>
        </is>
      </c>
      <c r="C489" s="3" t="inlineStr">
        <is>
          <t>Garg, Saurabh; Wu, Yifan; Balakrishnan, Sivaraman; Lipton, Zachary C.</t>
        </is>
      </c>
      <c r="D489" s="6" t="n">
        <v>2020</v>
      </c>
      <c r="E489" s="3" t="inlineStr">
        <is>
          <t>A unified view of label shift estimation</t>
        </is>
      </c>
      <c r="F489" s="3" t="inlineStr">
        <is>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is>
      </c>
      <c r="G489" s="5" t="inlineStr">
        <is>
          <t>Conference paper</t>
        </is>
      </c>
      <c r="H489" s="5" t="n"/>
      <c r="I489" s="5" t="n"/>
      <c r="J489" s="3" t="n"/>
    </row>
    <row r="490" ht="128.25" customHeight="1" s="18">
      <c r="A490" s="5" t="inlineStr">
        <is>
          <t>S2-0484</t>
        </is>
      </c>
      <c r="B490" s="5" t="inlineStr">
        <is>
          <t>B-ii</t>
        </is>
      </c>
      <c r="C490" s="3" t="inlineStr">
        <is>
          <t>Tasche, Dirk</t>
        </is>
      </c>
      <c r="D490" s="6" t="n">
        <v>2017</v>
      </c>
      <c r="E490" s="3" t="inlineStr">
        <is>
          <t>Fisher consistency for prior probability shift</t>
        </is>
      </c>
      <c r="F490" s="3" t="inlineStr">
        <is>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is>
      </c>
      <c r="G490" s="5" t="inlineStr">
        <is>
          <t>Journal article</t>
        </is>
      </c>
      <c r="H490" s="5" t="n"/>
      <c r="I490" s="5" t="n"/>
      <c r="J490" s="3" t="n"/>
    </row>
    <row r="491" ht="313.5" customHeight="1" s="18">
      <c r="A491" s="5" t="inlineStr">
        <is>
          <t>S2-0485</t>
        </is>
      </c>
      <c r="B491" s="5" t="inlineStr">
        <is>
          <t>B-ii</t>
        </is>
      </c>
      <c r="C491" s="3" t="inlineStr">
        <is>
          <t>Fan, Ruidong; Ouyang, Xiao; Luo, Tingjin; Hu, Dewen; Hou, Chenping</t>
        </is>
      </c>
      <c r="D491" s="6" t="n">
        <v>2023</v>
      </c>
      <c r="E491" s="3" t="inlineStr">
        <is>
          <t>Incomplete Multi-View Learning Under Label Shift</t>
        </is>
      </c>
      <c r="F491" s="3" t="inlineStr">
        <is>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is>
      </c>
      <c r="G491" s="5" t="inlineStr">
        <is>
          <t>Journal article</t>
        </is>
      </c>
      <c r="H491" s="5" t="inlineStr">
        <is>
          <t>10.1109/tip.2023.3290527</t>
        </is>
      </c>
      <c r="I491" s="5" t="n"/>
      <c r="J491" s="3" t="n"/>
    </row>
    <row r="492" ht="57" customHeight="1" s="18">
      <c r="A492" s="5" t="inlineStr">
        <is>
          <t>S2-0486</t>
        </is>
      </c>
      <c r="B492" s="5" t="inlineStr">
        <is>
          <t>B-ii</t>
        </is>
      </c>
      <c r="C492" s="3" t="inlineStr">
        <is>
          <t>Li, Jiaqi; Kong, Haojia; Xu, Gezheng; Shui, Changjian; Pu, Ruizhi; Kang, Zhao; Ling, Charles X.; Wang, Boyu</t>
        </is>
      </c>
      <c r="D492" s="6" t="n">
        <v>2023</v>
      </c>
      <c r="E492" s="3" t="inlineStr">
        <is>
          <t>Label shift conditioned hybrid querying for deep active learning</t>
        </is>
      </c>
      <c r="F492" s="3" t="n"/>
      <c r="G492" s="5" t="inlineStr">
        <is>
          <t>Journal article</t>
        </is>
      </c>
      <c r="H492" s="5" t="inlineStr">
        <is>
          <t>10.1016/j.knosys.2023.110616</t>
        </is>
      </c>
      <c r="I492" s="5" t="n"/>
      <c r="J492" s="3" t="n"/>
    </row>
    <row r="493" ht="156.75" customHeight="1" s="18">
      <c r="A493" s="5" t="inlineStr">
        <is>
          <t>S2-0487</t>
        </is>
      </c>
      <c r="B493" s="5" t="inlineStr">
        <is>
          <t>B-ii</t>
        </is>
      </c>
      <c r="C493" s="3" t="inlineStr">
        <is>
          <t>Dussap, Bastien; Blanchard, Gilles; Chérief-Abdellatif, Badr-Eddine</t>
        </is>
      </c>
      <c r="D493" s="6" t="n">
        <v>2023</v>
      </c>
      <c r="E493" s="3" t="inlineStr">
        <is>
          <t>Label Shift Quantification with&amp;nbsp;Robustness Guarantees via&amp;nbsp;Distribution Feature Matching</t>
        </is>
      </c>
      <c r="F493" s="3" t="inlineStr">
        <is>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is>
      </c>
      <c r="G493" s="5" t="inlineStr">
        <is>
          <t>Conference paper</t>
        </is>
      </c>
      <c r="H493" s="5" t="inlineStr">
        <is>
          <t>10.1007/978-3-031-43424-2_5</t>
        </is>
      </c>
      <c r="I493" s="5" t="n"/>
      <c r="J493" s="3" t="n"/>
    </row>
    <row r="494" ht="199.5" customHeight="1" s="18">
      <c r="A494" s="5" t="inlineStr">
        <is>
          <t>S2-0488</t>
        </is>
      </c>
      <c r="B494" s="5" t="inlineStr">
        <is>
          <t>B-ii</t>
        </is>
      </c>
      <c r="C494" s="3" t="inlineStr">
        <is>
          <t>Popordanoska, Teodora; Radevski, Gorjan; Tuytelaars, Tinne; Blaschko, Matthew B.</t>
        </is>
      </c>
      <c r="D494" s="6" t="n">
        <v>2024</v>
      </c>
      <c r="E494" s="3" t="inlineStr">
        <is>
          <t>LaSCal: label-shift calibration without target labels</t>
        </is>
      </c>
      <c r="F494" s="3" t="inlineStr">
        <is>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is>
      </c>
      <c r="G494" s="5" t="inlineStr">
        <is>
          <t>Conference paper</t>
        </is>
      </c>
      <c r="H494" s="5" t="n"/>
      <c r="I494" s="5" t="n"/>
      <c r="J494" s="3" t="n"/>
    </row>
    <row r="495" ht="228" customHeight="1" s="18">
      <c r="A495" s="5" t="inlineStr">
        <is>
          <t>S2-0489</t>
        </is>
      </c>
      <c r="B495" s="5" t="inlineStr">
        <is>
          <t>B-ii</t>
        </is>
      </c>
      <c r="C495" s="3" t="inlineStr">
        <is>
          <t>Serapião, Adriane B. S.; Donyavi, Zahra; Batista, Gustavo</t>
        </is>
      </c>
      <c r="D495" s="6" t="n">
        <v>2023</v>
      </c>
      <c r="E495" s="3" t="inlineStr">
        <is>
          <t>Ensembles of&amp;nbsp;Classifiers and&amp;nbsp;Quantifiers with&amp;nbsp;Data Fusion for&amp;nbsp;Quantification Learning</t>
        </is>
      </c>
      <c r="F495" s="3" t="inlineStr">
        <is>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is>
      </c>
      <c r="G495" s="5" t="inlineStr">
        <is>
          <t>Conference paper</t>
        </is>
      </c>
      <c r="H495" s="5" t="inlineStr">
        <is>
          <t>10.1007/978-3-031-45275-8_1</t>
        </is>
      </c>
      <c r="I495" s="5" t="n"/>
      <c r="J495" s="3" t="n"/>
    </row>
    <row r="496" ht="242.25" customHeight="1" s="18">
      <c r="A496" s="5" t="inlineStr">
        <is>
          <t>S2-0490</t>
        </is>
      </c>
      <c r="B496" s="5" t="inlineStr">
        <is>
          <t>B-ii</t>
        </is>
      </c>
      <c r="C496" s="3" t="inlineStr">
        <is>
          <t>Jiang, Xue; Liu, Feng; Fang, Zhen; Chen, Hong; Liu, Tongliang; Zheng, Feng; Han, Bo</t>
        </is>
      </c>
      <c r="D496" s="6" t="n">
        <v>2023</v>
      </c>
      <c r="E496" s="3" t="inlineStr">
        <is>
          <t>Detecting out-of-distribution data through in-distribution class prior</t>
        </is>
      </c>
      <c r="F496" s="3" t="inlineStr">
        <is>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is>
      </c>
      <c r="G496" s="5" t="inlineStr">
        <is>
          <t>Conference paper</t>
        </is>
      </c>
      <c r="H496" s="5" t="n"/>
      <c r="I496" s="5" t="n"/>
      <c r="J496" s="3" t="n"/>
    </row>
    <row r="497" ht="242.25" customHeight="1" s="18">
      <c r="A497" s="5" t="inlineStr">
        <is>
          <t>S2-0491</t>
        </is>
      </c>
      <c r="B497" s="5" t="inlineStr">
        <is>
          <t>B-ii</t>
        </is>
      </c>
      <c r="C497" s="3" t="inlineStr">
        <is>
          <t>Yoo, Jaemin; Kim, Junghun; Yoon, Hoyoung; Kim, Geonsoo; Jang, Changwon; Kang, U</t>
        </is>
      </c>
      <c r="D497" s="6" t="n">
        <v>2022</v>
      </c>
      <c r="E497" s="3" t="inlineStr">
        <is>
          <t>Graph-based PU learning for binary and multiclass classification without class prior</t>
        </is>
      </c>
      <c r="F497" s="3" t="inlineStr">
        <is>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is>
      </c>
      <c r="G497" s="5" t="inlineStr">
        <is>
          <t>Journal article</t>
        </is>
      </c>
      <c r="H497" s="5" t="inlineStr">
        <is>
          <t>10.1007/s10115-022-01702-8</t>
        </is>
      </c>
      <c r="I497" s="5" t="n"/>
      <c r="J497" s="3" t="n"/>
    </row>
    <row r="498" ht="185.25" customHeight="1" s="18">
      <c r="A498" s="5" t="inlineStr">
        <is>
          <t>S2-0492</t>
        </is>
      </c>
      <c r="B498" s="5" t="inlineStr">
        <is>
          <t>B-ii</t>
        </is>
      </c>
      <c r="C498" s="3" t="inlineStr">
        <is>
          <t>Rakotomamonjy, A.; Flamary, R.; Gasso, G.; Alaya, M. El; Berar, M.; Courty, N.</t>
        </is>
      </c>
      <c r="D498" s="6" t="n">
        <v>2022</v>
      </c>
      <c r="E498" s="3" t="inlineStr">
        <is>
          <t>Optimal transport for conditional domain matching and label shift</t>
        </is>
      </c>
      <c r="F498" s="3" t="inlineStr">
        <is>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is>
      </c>
      <c r="G498" s="5" t="inlineStr">
        <is>
          <t>Journal article</t>
        </is>
      </c>
      <c r="H498" s="5" t="inlineStr">
        <is>
          <t>10.1007/s10994-021-06088-2</t>
        </is>
      </c>
      <c r="I498" s="5" t="n"/>
      <c r="J498" s="3" t="n"/>
    </row>
    <row r="499" ht="99.75" customHeight="1" s="18">
      <c r="A499" s="5" t="inlineStr">
        <is>
          <t>S2-0493</t>
        </is>
      </c>
      <c r="B499" s="5" t="inlineStr">
        <is>
          <t>B-ii</t>
        </is>
      </c>
      <c r="C499" s="3" t="inlineStr">
        <is>
          <t>del Coz, Juan Jose; Gonzalez, Pablo; Moreo, Alejandro; Sebastiani, Fabrizio</t>
        </is>
      </c>
      <c r="D499" s="6" t="n">
        <v>2022</v>
      </c>
      <c r="E499" s="3" t="inlineStr">
        <is>
          <t>Report on the 1st International Workshop on Learning to Quantify (LQ 2021)</t>
        </is>
      </c>
      <c r="F499" s="3" t="inlineStr">
        <is>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is>
      </c>
      <c r="G499" s="5" t="inlineStr">
        <is>
          <t>Journal article</t>
        </is>
      </c>
      <c r="H499" s="5" t="inlineStr">
        <is>
          <t>10.1145/3544903.3544910</t>
        </is>
      </c>
      <c r="I499" s="5" t="n"/>
      <c r="J499" s="3" t="n"/>
    </row>
    <row r="500" ht="71.25" customHeight="1" s="18">
      <c r="A500" s="5" t="inlineStr">
        <is>
          <t>S2-0494</t>
        </is>
      </c>
      <c r="B500" s="5" t="inlineStr">
        <is>
          <t>B-ii</t>
        </is>
      </c>
      <c r="C500" s="3" t="inlineStr">
        <is>
          <t>Azizzadenesheli, Kamyar</t>
        </is>
      </c>
      <c r="D500" s="6" t="n">
        <v>2022</v>
      </c>
      <c r="E500" s="3" t="inlineStr">
        <is>
          <t>Importance Weight Estimation and Generalization in Domain Adaptation Under Label Shift</t>
        </is>
      </c>
      <c r="F500" s="3" t="inlineStr">
        <is>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is>
      </c>
      <c r="G500" s="5" t="inlineStr">
        <is>
          <t>Journal article</t>
        </is>
      </c>
      <c r="H500" s="5" t="inlineStr">
        <is>
          <t>10.1109/tpami.2021.3086060</t>
        </is>
      </c>
      <c r="I500" s="5" t="n"/>
      <c r="J500" s="3" t="n"/>
    </row>
    <row r="501" ht="156.75" customHeight="1" s="18">
      <c r="A501" s="5" t="inlineStr">
        <is>
          <t>S2-0495</t>
        </is>
      </c>
      <c r="B501" s="5" t="inlineStr">
        <is>
          <t>B-ii</t>
        </is>
      </c>
      <c r="C501" s="3" t="inlineStr">
        <is>
          <t>Levin, Roy; Roitman, Haggai</t>
        </is>
      </c>
      <c r="D501" s="6" t="n">
        <v>2017</v>
      </c>
      <c r="E501" s="3" t="inlineStr">
        <is>
          <t>Enhanced Probabilistic Classify and Count Methods for Multi-Label Text Quantification</t>
        </is>
      </c>
      <c r="F501" s="3" t="inlineStr">
        <is>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is>
      </c>
      <c r="G501" s="5" t="inlineStr">
        <is>
          <t>Conference paper</t>
        </is>
      </c>
      <c r="H501" s="5" t="inlineStr">
        <is>
          <t>10.1145/3121050.3121083</t>
        </is>
      </c>
      <c r="I501" s="5" t="n"/>
      <c r="J501" s="3" t="n"/>
    </row>
    <row r="502" ht="228" customHeight="1" s="18">
      <c r="A502" s="5" t="inlineStr">
        <is>
          <t>S2-0496</t>
        </is>
      </c>
      <c r="B502" s="5" t="inlineStr">
        <is>
          <t>B-ii</t>
        </is>
      </c>
      <c r="C502" s="3" t="inlineStr">
        <is>
          <t>Nguyen, Anh T.; Tran, Lam; Tong, Anh; Nguyen, Tuan-Duy H.; Tran, Toan</t>
        </is>
      </c>
      <c r="D502" s="6" t="n">
        <v>2025</v>
      </c>
      <c r="E502" s="3" t="inlineStr">
        <is>
          <t>CASUAL: conditional support alignment for domain adaptation with label shift</t>
        </is>
      </c>
      <c r="F502" s="3" t="inlineStr">
        <is>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is>
      </c>
      <c r="G502" s="5" t="inlineStr">
        <is>
          <t>Conference paper</t>
        </is>
      </c>
      <c r="H502" s="5" t="inlineStr">
        <is>
          <t>10.1609/aaai.v39i18.34166</t>
        </is>
      </c>
      <c r="I502" s="5" t="n"/>
      <c r="J502" s="3" t="n"/>
    </row>
    <row r="503" ht="128.25" customHeight="1" s="18">
      <c r="A503" s="5" t="inlineStr">
        <is>
          <t>S2-0497</t>
        </is>
      </c>
      <c r="B503" s="5" t="inlineStr">
        <is>
          <t>B-ii</t>
        </is>
      </c>
      <c r="C503" s="3" t="inlineStr">
        <is>
          <t>Maity, Subha; Sun, Yuekai; Banerjee, Moulinath</t>
        </is>
      </c>
      <c r="D503" s="6" t="n">
        <v>2022</v>
      </c>
      <c r="E503" s="3" t="inlineStr">
        <is>
          <t>Minimax optimal approaches to the label shift problem in non-parametric settings</t>
        </is>
      </c>
      <c r="F503" s="3" t="inlineStr">
        <is>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is>
      </c>
      <c r="G503" s="5" t="inlineStr">
        <is>
          <t>Journal article</t>
        </is>
      </c>
      <c r="H503" s="5" t="n"/>
      <c r="I503" s="5" t="n"/>
      <c r="J503" s="3" t="n"/>
    </row>
    <row r="504" ht="185.25" customHeight="1" s="18">
      <c r="A504" s="5" t="inlineStr">
        <is>
          <t>S2-0498</t>
        </is>
      </c>
      <c r="B504" s="5" t="inlineStr">
        <is>
          <t>B-ii</t>
        </is>
      </c>
      <c r="C504" s="3" t="inlineStr">
        <is>
          <t>Xu, Jian; Huang, Shao-Lun</t>
        </is>
      </c>
      <c r="D504" s="6" t="n">
        <v>2023</v>
      </c>
      <c r="E504" s="3" t="inlineStr">
        <is>
          <t>A Joint Training-Calibration Framework for Test-Time Personalization with Label Shift in Federated Learning</t>
        </is>
      </c>
      <c r="F504" s="3" t="inlineStr">
        <is>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is>
      </c>
      <c r="G504" s="5" t="inlineStr">
        <is>
          <t>Conference paper</t>
        </is>
      </c>
      <c r="H504" s="5" t="inlineStr">
        <is>
          <t>10.1145/3583780.3615173</t>
        </is>
      </c>
      <c r="I504" s="5" t="n"/>
      <c r="J504" s="3" t="n"/>
    </row>
    <row r="505" ht="185.25" customHeight="1" s="18">
      <c r="A505" s="5" t="inlineStr">
        <is>
          <t>S2-0499</t>
        </is>
      </c>
      <c r="B505" s="5" t="inlineStr">
        <is>
          <t>B-ii</t>
        </is>
      </c>
      <c r="C505" s="3" t="inlineStr">
        <is>
          <t>Łazęcka, Małgorzata; Mielniczuk, Jan; Teisseyre, Paweł</t>
        </is>
      </c>
      <c r="D505" s="6" t="n">
        <v>2021</v>
      </c>
      <c r="E505" s="3" t="inlineStr">
        <is>
          <t>Estimating the class prior for positive and unlabelled data via logistic regression</t>
        </is>
      </c>
      <c r="F505" s="3" t="inlineStr">
        <is>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is>
      </c>
      <c r="G505" s="5" t="inlineStr">
        <is>
          <t>Journal article</t>
        </is>
      </c>
      <c r="H505" s="5" t="inlineStr">
        <is>
          <t>10.1007/s11634-021-00444-9</t>
        </is>
      </c>
      <c r="I505" s="5" t="n"/>
      <c r="J505" s="3" t="n"/>
    </row>
    <row r="506" ht="42.75" customHeight="1" s="18">
      <c r="A506" s="5" t="inlineStr">
        <is>
          <t>S2-0500</t>
        </is>
      </c>
      <c r="B506" s="5" t="inlineStr">
        <is>
          <t>B-ii</t>
        </is>
      </c>
      <c r="C506" s="3" t="inlineStr">
        <is>
          <t>Wu, Xiaowen; Fan, Ruidong; Luo, Tingjin; Hou, Chenping</t>
        </is>
      </c>
      <c r="D506" s="6" t="n">
        <v>2026</v>
      </c>
      <c r="E506" s="3" t="inlineStr">
        <is>
          <t>NLSC: A noise-robust label shift correction framework via three-head training and class-adaptive cleaning</t>
        </is>
      </c>
      <c r="F506" s="3" t="n"/>
      <c r="G506" s="5" t="inlineStr">
        <is>
          <t>Journal article</t>
        </is>
      </c>
      <c r="H506" s="5" t="inlineStr">
        <is>
          <t>10.1016/j.ins.2025.122706</t>
        </is>
      </c>
      <c r="I506" s="5" t="n"/>
      <c r="J506" s="3" t="n"/>
    </row>
    <row r="507" ht="199.5" customHeight="1" s="18">
      <c r="A507" s="5" t="inlineStr">
        <is>
          <t>S2-0501</t>
        </is>
      </c>
      <c r="B507" s="5" t="inlineStr">
        <is>
          <t>B-ii</t>
        </is>
      </c>
      <c r="C507" s="3" t="inlineStr">
        <is>
          <t>Chang, Shizhen; Du, Bo; Zhang, Liangpei</t>
        </is>
      </c>
      <c r="D507" s="6" t="n">
        <v>2021</v>
      </c>
      <c r="E507" s="3" t="inlineStr">
        <is>
          <t>Positive unlabeled learning with class-prior approximation</t>
        </is>
      </c>
      <c r="F507" s="3" t="inlineStr">
        <is>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is>
      </c>
      <c r="G507" s="5" t="inlineStr">
        <is>
          <t>Conference paper</t>
        </is>
      </c>
      <c r="H507" s="5" t="n"/>
      <c r="I507" s="5" t="n"/>
      <c r="J507" s="3" t="n"/>
    </row>
    <row r="508" ht="285" customHeight="1" s="18">
      <c r="A508" s="5" t="inlineStr">
        <is>
          <t>S2-0502</t>
        </is>
      </c>
      <c r="B508" s="5" t="inlineStr">
        <is>
          <t>B-ii</t>
        </is>
      </c>
      <c r="C508" s="3" t="inlineStr">
        <is>
          <t>Tan, Andong; Hanselmann, Niklas; Ding, Shuxiao; Tombari, Federico; Cordts, Marius</t>
        </is>
      </c>
      <c r="D508" s="6" t="n">
        <v>2022</v>
      </c>
      <c r="E508" s="3" t="inlineStr">
        <is>
          <t>Unsupervised Domain Adaptive Object Detection with&amp;nbsp;Class Label Shift Weighted Local Features</t>
        </is>
      </c>
      <c r="F508" s="3" t="inlineStr">
        <is>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is>
      </c>
      <c r="G508" s="5" t="inlineStr">
        <is>
          <t>Conference paper</t>
        </is>
      </c>
      <c r="H508" s="5" t="inlineStr">
        <is>
          <t>10.1007/978-3-031-25063-7_8</t>
        </is>
      </c>
      <c r="I508" s="5" t="n"/>
      <c r="J508" s="3" t="n"/>
    </row>
    <row r="509" ht="42.75" customHeight="1" s="18">
      <c r="A509" s="5" t="inlineStr">
        <is>
          <t>S2-0503</t>
        </is>
      </c>
      <c r="B509" s="5" t="inlineStr">
        <is>
          <t>B-ii</t>
        </is>
      </c>
      <c r="C509" s="3" t="inlineStr">
        <is>
          <t>Wang, Wenjie; Zhan, Jianming; Zhang, Chao; Herrera-Viedma, Enrique; Kou, Gang</t>
        </is>
      </c>
      <c r="D509" s="6" t="n">
        <v>2023</v>
      </c>
      <c r="E509" s="3" t="inlineStr">
        <is>
          <t>A regret-theory-based three-way decision method with a priori probability tolerance dominance relation in fuzzy incomplete information systems</t>
        </is>
      </c>
      <c r="F509" s="3" t="n"/>
      <c r="G509" s="5" t="inlineStr">
        <is>
          <t>Journal article</t>
        </is>
      </c>
      <c r="H509" s="5" t="inlineStr">
        <is>
          <t>10.1016/j.inffus.2022.08.027</t>
        </is>
      </c>
      <c r="I509" s="5" t="n"/>
      <c r="J509" s="3" t="n"/>
    </row>
    <row r="510" ht="28.5" customHeight="1" s="18">
      <c r="A510" s="5" t="inlineStr">
        <is>
          <t>S2-0504</t>
        </is>
      </c>
      <c r="B510" s="5" t="inlineStr">
        <is>
          <t>B-ii</t>
        </is>
      </c>
      <c r="C510" s="3" t="inlineStr">
        <is>
          <t>Gosztolya, Gábor</t>
        </is>
      </c>
      <c r="D510" s="6" t="n">
        <v>2022</v>
      </c>
      <c r="E510" s="3" t="inlineStr">
        <is>
          <t>Optimizing class priors to improve the detection of social signals in audio data</t>
        </is>
      </c>
      <c r="F510" s="3" t="n"/>
      <c r="G510" s="5" t="inlineStr">
        <is>
          <t>Journal article</t>
        </is>
      </c>
      <c r="H510" s="5" t="inlineStr">
        <is>
          <t>10.1016/j.engappai.2021.104541</t>
        </is>
      </c>
      <c r="I510" s="5" t="n"/>
      <c r="J510" s="3" t="n"/>
    </row>
    <row r="511" ht="242.25" customHeight="1" s="18">
      <c r="A511" s="5" t="inlineStr">
        <is>
          <t>S2-0505</t>
        </is>
      </c>
      <c r="B511" s="5" t="inlineStr">
        <is>
          <t>B-ii</t>
        </is>
      </c>
      <c r="C511" s="3" t="inlineStr">
        <is>
          <t>Combes, Remi Tachet des; Zhao, Han; Wang, Yu-Xiang; Gordon, Geoff</t>
        </is>
      </c>
      <c r="D511" s="6" t="n">
        <v>2020</v>
      </c>
      <c r="E511" s="3" t="inlineStr">
        <is>
          <t>Domain adaptation with conditional distribution matching and generalized label shift</t>
        </is>
      </c>
      <c r="F511" s="3" t="inlineStr">
        <is>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is>
      </c>
      <c r="G511" s="5" t="inlineStr">
        <is>
          <t>Conference paper</t>
        </is>
      </c>
      <c r="H511" s="5" t="n"/>
      <c r="I511" s="5" t="n"/>
      <c r="J511" s="3" t="n"/>
    </row>
    <row r="512" ht="299.25" customHeight="1" s="18">
      <c r="A512" s="5" t="inlineStr">
        <is>
          <t>S2-0506</t>
        </is>
      </c>
      <c r="B512" s="5" t="inlineStr">
        <is>
          <t>B-ii</t>
        </is>
      </c>
      <c r="C512" s="3" t="inlineStr">
        <is>
          <t>Garg, Saurabh; Erickson, Nick; Sharpnack, James; Smola, Alex J.; Balakrishnan, Sivaraman; Lipton, Zachary C.</t>
        </is>
      </c>
      <c r="D512" s="6" t="n">
        <v>2023</v>
      </c>
      <c r="E512" s="3" t="inlineStr">
        <is>
          <t>RLSbench: domain adaptation under relaxed label shift</t>
        </is>
      </c>
      <c r="F512" s="3" t="inlineStr">
        <is>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is>
      </c>
      <c r="G512" s="5" t="inlineStr">
        <is>
          <t>Conference paper</t>
        </is>
      </c>
      <c r="H512" s="5" t="n"/>
      <c r="I512" s="5" t="n"/>
      <c r="J512" s="3" t="n"/>
    </row>
    <row r="513" ht="156.75" customHeight="1" s="18">
      <c r="A513" s="5" t="inlineStr">
        <is>
          <t>S2-0507</t>
        </is>
      </c>
      <c r="B513" s="5" t="inlineStr">
        <is>
          <t>B-ii</t>
        </is>
      </c>
      <c r="C513" s="3" t="inlineStr">
        <is>
          <t>Perini, Lorenzo; Vercruyssen, Vincent; Davis, Jesse</t>
        </is>
      </c>
      <c r="D513" s="6" t="n">
        <v>2021</v>
      </c>
      <c r="E513" s="3" t="inlineStr">
        <is>
          <t>Class prior estimation in active positive and unlabeled learning</t>
        </is>
      </c>
      <c r="F513" s="3" t="inlineStr">
        <is>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is>
      </c>
      <c r="G513" s="5" t="inlineStr">
        <is>
          <t>Conference paper</t>
        </is>
      </c>
      <c r="H513" s="5" t="n"/>
      <c r="I513" s="5" t="n"/>
      <c r="J513" s="3" t="n"/>
    </row>
    <row r="514" ht="256.5" customHeight="1" s="18">
      <c r="A514" s="5" t="inlineStr">
        <is>
          <t>S2-0508</t>
        </is>
      </c>
      <c r="B514" s="5" t="inlineStr">
        <is>
          <t>B-ii</t>
        </is>
      </c>
      <c r="C514" s="3" t="inlineStr">
        <is>
          <t>Li, Juren; Yang, Yang; Chen, Youmin; Zhang, Jianfeng; Lai, Zeyu; Pan, Lujia</t>
        </is>
      </c>
      <c r="D514" s="6" t="n">
        <v>2024</v>
      </c>
      <c r="E514" s="3" t="inlineStr">
        <is>
          <t>DWLR: domain adaptation under label shift for wearable sensor</t>
        </is>
      </c>
      <c r="F514" s="3" t="inlineStr">
        <is>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is>
      </c>
      <c r="G514" s="5" t="inlineStr">
        <is>
          <t>Conference paper</t>
        </is>
      </c>
      <c r="H514" s="5" t="inlineStr">
        <is>
          <t>10.24963/ijcai.2024/489</t>
        </is>
      </c>
      <c r="I514" s="5" t="n"/>
      <c r="J514" s="3" t="n"/>
    </row>
    <row r="515" ht="114" customHeight="1" s="18">
      <c r="A515" s="5" t="inlineStr">
        <is>
          <t>S2-0509</t>
        </is>
      </c>
      <c r="B515" s="5" t="inlineStr">
        <is>
          <t>B-ii</t>
        </is>
      </c>
      <c r="C515" s="3" t="inlineStr">
        <is>
          <t>Du Plessis, Marthinus Christoffel; Sugiyama, Masashi</t>
        </is>
      </c>
      <c r="D515" s="6" t="n">
        <v>2014</v>
      </c>
      <c r="E515" s="3" t="inlineStr">
        <is>
          <t>Semi-supervised learning of class balance under class-prior change by distribution matching</t>
        </is>
      </c>
      <c r="F515" s="3" t="inlineStr">
        <is>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is>
      </c>
      <c r="G515" s="5" t="inlineStr">
        <is>
          <t>Journal article</t>
        </is>
      </c>
      <c r="H515" s="5" t="inlineStr">
        <is>
          <t>10.1016/j.neunet.2013.11.010</t>
        </is>
      </c>
      <c r="I515" s="5" t="n"/>
      <c r="J515" s="3" t="n"/>
    </row>
    <row r="516" ht="228" customHeight="1" s="18">
      <c r="A516" s="5" t="inlineStr">
        <is>
          <t>S2-0510</t>
        </is>
      </c>
      <c r="B516" s="5" t="inlineStr">
        <is>
          <t>B-ii</t>
        </is>
      </c>
      <c r="C516" s="3" t="inlineStr">
        <is>
          <t>Qi, Lei; Khaleel, Mohammed; Tavanapong, Wallapak; Sukul, Adisak; Peterson, David</t>
        </is>
      </c>
      <c r="D516" s="6" t="n">
        <v>2020</v>
      </c>
      <c r="E516" s="3" t="inlineStr">
        <is>
          <t>A Framework for Deep Quantification Learning</t>
        </is>
      </c>
      <c r="F516" s="3" t="inlineStr">
        <is>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is>
      </c>
      <c r="G516" s="5" t="inlineStr">
        <is>
          <t>Conference paper</t>
        </is>
      </c>
      <c r="H516" s="5" t="inlineStr">
        <is>
          <t>10.1007/978-3-030-67658-2_14</t>
        </is>
      </c>
      <c r="I516" s="5" t="n"/>
      <c r="J516" s="3" t="n"/>
    </row>
    <row r="517" ht="285" customHeight="1" s="18">
      <c r="A517" s="5" t="inlineStr">
        <is>
          <t>S2-0511</t>
        </is>
      </c>
      <c r="B517" s="5" t="inlineStr">
        <is>
          <t>B-ii</t>
        </is>
      </c>
      <c r="C517" s="3" t="inlineStr">
        <is>
          <t>Alexandari, Amr M.; Kundaje, Anshul; Shrikumar, Avanti</t>
        </is>
      </c>
      <c r="D517" s="6" t="n">
        <v>2020</v>
      </c>
      <c r="E517" s="3" t="inlineStr">
        <is>
          <t>Maximum likelihood with bias-corrected calibration is hard-to-beat at label shift adaptation</t>
        </is>
      </c>
      <c r="F517" s="3" t="inlineStr">
        <is>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is>
      </c>
      <c r="G517" s="5" t="inlineStr">
        <is>
          <t>Conference paper</t>
        </is>
      </c>
      <c r="H517" s="5" t="n"/>
      <c r="I517" s="5" t="n"/>
      <c r="J517" s="3" t="n"/>
    </row>
    <row r="518" ht="114" customHeight="1" s="18">
      <c r="A518" s="5" t="inlineStr">
        <is>
          <t>S2-0512</t>
        </is>
      </c>
      <c r="B518" s="5" t="inlineStr">
        <is>
          <t>B-ii</t>
        </is>
      </c>
      <c r="C518" s="3" t="inlineStr">
        <is>
          <t>Du Plessis, Marthinus Christoffel; Sugiyama, Masashi</t>
        </is>
      </c>
      <c r="D518" s="6" t="n">
        <v>2012</v>
      </c>
      <c r="E518" s="3" t="inlineStr">
        <is>
          <t>Semi-supervised learning of class balance under class-prior change by distribution matching</t>
        </is>
      </c>
      <c r="F518" s="3" t="inlineStr">
        <is>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is>
      </c>
      <c r="G518" s="5" t="inlineStr">
        <is>
          <t>Conference paper</t>
        </is>
      </c>
      <c r="H518" s="5" t="n"/>
      <c r="I518" s="5" t="n"/>
      <c r="J518" s="3" t="n"/>
    </row>
    <row r="519" ht="242.25" customHeight="1" s="18">
      <c r="A519" s="5" t="inlineStr">
        <is>
          <t>S2-0513</t>
        </is>
      </c>
      <c r="B519" s="5" t="inlineStr">
        <is>
          <t>B-ii</t>
        </is>
      </c>
      <c r="C519" s="3" t="inlineStr">
        <is>
          <t>GonzáLez-Castro, VíCtor; Alaiz-RodríGuez, RocíO; Alegre, Enrique</t>
        </is>
      </c>
      <c r="D519" s="6" t="n">
        <v>2013</v>
      </c>
      <c r="E519" s="3" t="inlineStr">
        <is>
          <t>Class distribution estimation based on the Hellinger distance</t>
        </is>
      </c>
      <c r="F519" s="3" t="inlineStr">
        <is>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is>
      </c>
      <c r="G519" s="5" t="inlineStr">
        <is>
          <t>Journal article</t>
        </is>
      </c>
      <c r="H519" s="5" t="inlineStr">
        <is>
          <t>10.1016/j.ins.2012.05.028</t>
        </is>
      </c>
      <c r="I519" s="5" t="n"/>
      <c r="J519" s="3" t="n"/>
    </row>
    <row r="520" ht="171" customHeight="1" s="18">
      <c r="A520" s="5" t="inlineStr">
        <is>
          <t>S2-0514</t>
        </is>
      </c>
      <c r="B520" s="5" t="inlineStr">
        <is>
          <t>B-ii</t>
        </is>
      </c>
      <c r="C520" s="3" t="inlineStr">
        <is>
          <t>Bekker, Jessa; Davis, Jesse</t>
        </is>
      </c>
      <c r="D520" s="6" t="n">
        <v>2018</v>
      </c>
      <c r="E520" s="3" t="inlineStr">
        <is>
          <t>Estimating the class prior in positive and unlabeled data through decision tree induction</t>
        </is>
      </c>
      <c r="F520" s="3" t="inlineStr">
        <is>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is>
      </c>
      <c r="G520" s="5" t="inlineStr">
        <is>
          <t>Conference paper</t>
        </is>
      </c>
      <c r="H520" s="5" t="n"/>
      <c r="I520" s="5" t="n"/>
      <c r="J520" s="3" t="n"/>
    </row>
    <row r="521" ht="185.25" customHeight="1" s="18">
      <c r="A521" s="5" t="inlineStr">
        <is>
          <t>S2-0515</t>
        </is>
      </c>
      <c r="B521" s="5" t="inlineStr">
        <is>
          <t>B-ii</t>
        </is>
      </c>
      <c r="C521" s="3" t="inlineStr">
        <is>
          <t>Tian, Qinglong; Zhang, Xin; Zhao, Jiwei</t>
        </is>
      </c>
      <c r="D521" s="6" t="n">
        <v>2023</v>
      </c>
      <c r="E521" s="3" t="inlineStr">
        <is>
          <t>ELSA: efficient label shift adaptation through the lens of semiparametric models</t>
        </is>
      </c>
      <c r="F521" s="3" t="inlineStr">
        <is>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is>
      </c>
      <c r="G521" s="5" t="inlineStr">
        <is>
          <t>Conference paper</t>
        </is>
      </c>
      <c r="H521" s="5" t="n"/>
      <c r="I521" s="5" t="n"/>
      <c r="J521" s="3" t="n"/>
    </row>
    <row r="522" ht="128.25" customHeight="1" s="18">
      <c r="A522" s="5" t="inlineStr">
        <is>
          <t>S2-0516</t>
        </is>
      </c>
      <c r="B522" s="5" t="inlineStr">
        <is>
          <t>B-ii</t>
        </is>
      </c>
      <c r="C522" s="3" t="inlineStr">
        <is>
          <t>González, Pablo; Castaño, Alberto; Chawla, Nitesh V.; Coz, Juan José Del</t>
        </is>
      </c>
      <c r="D522" s="6" t="n">
        <v>2017</v>
      </c>
      <c r="E522" s="3" t="inlineStr">
        <is>
          <t>A Review on Quantification Learning</t>
        </is>
      </c>
      <c r="F522" s="3" t="inlineStr">
        <is>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is>
      </c>
      <c r="G522" s="5" t="inlineStr">
        <is>
          <t>Journal article</t>
        </is>
      </c>
      <c r="H522" s="5" t="inlineStr">
        <is>
          <t>10.1145/3117807</t>
        </is>
      </c>
      <c r="I522" s="5" t="n"/>
      <c r="J522" s="3" t="n"/>
    </row>
    <row r="523" ht="299.25" customHeight="1" s="18">
      <c r="A523" s="5" t="inlineStr">
        <is>
          <t>S2-0517</t>
        </is>
      </c>
      <c r="B523" s="5" t="inlineStr">
        <is>
          <t>B-ii</t>
        </is>
      </c>
      <c r="C523" s="3" t="inlineStr">
        <is>
          <t>Sun, Qingyao; Murphy, Kevin; Ebrahimi, Sayna; D'Amour, Alexander</t>
        </is>
      </c>
      <c r="D523" s="6" t="n">
        <v>2023</v>
      </c>
      <c r="E523" s="3" t="inlineStr">
        <is>
          <t>Beyond invariance: test-time label-shift adaptation for addressing "spurious" correlations</t>
        </is>
      </c>
      <c r="F523" s="3" t="inlineStr">
        <is>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is>
      </c>
      <c r="G523" s="5" t="inlineStr">
        <is>
          <t>Conference paper</t>
        </is>
      </c>
      <c r="H523" s="5" t="n"/>
      <c r="I523" s="5" t="n"/>
      <c r="J523" s="3" t="n"/>
    </row>
    <row r="524" ht="185.25" customHeight="1" s="18">
      <c r="A524" s="5" t="inlineStr">
        <is>
          <t>S2-0518</t>
        </is>
      </c>
      <c r="B524" s="5" t="inlineStr">
        <is>
          <t>B-ii</t>
        </is>
      </c>
      <c r="C524" s="3" t="inlineStr">
        <is>
          <t>Jain, Shantanu; White, Martha; Radivojac, Predrag</t>
        </is>
      </c>
      <c r="D524" s="6" t="n">
        <v>2016</v>
      </c>
      <c r="E524" s="3" t="inlineStr">
        <is>
          <t>Estimating the class prior and posterior from noisy positives and unlabeled data</t>
        </is>
      </c>
      <c r="F524" s="3" t="inlineStr">
        <is>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is>
      </c>
      <c r="G524" s="5" t="inlineStr">
        <is>
          <t>Conference paper</t>
        </is>
      </c>
      <c r="H524" s="5" t="n"/>
      <c r="I524" s="5" t="n"/>
      <c r="J524" s="3" t="n"/>
    </row>
    <row r="525" ht="171" customHeight="1" s="18">
      <c r="A525" s="5" t="inlineStr">
        <is>
          <t>S2-0519</t>
        </is>
      </c>
      <c r="B525" s="5" t="inlineStr">
        <is>
          <t>B-ii</t>
        </is>
      </c>
      <c r="C525" s="3" t="inlineStr">
        <is>
          <t>He, Yulan; Lin, Chenghua</t>
        </is>
      </c>
      <c r="D525" s="6" t="n">
        <v>2009</v>
      </c>
      <c r="E525" s="3" t="inlineStr">
        <is>
          <t>Protein-Protein interactions classification from text via local learning with class priors</t>
        </is>
      </c>
      <c r="F525" s="3" t="inlineStr">
        <is>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is>
      </c>
      <c r="G525" s="5" t="inlineStr">
        <is>
          <t>Conference paper</t>
        </is>
      </c>
      <c r="H525" s="5" t="inlineStr">
        <is>
          <t>10.1007/978-3-642-12550-8_15</t>
        </is>
      </c>
      <c r="I525" s="5" t="n"/>
      <c r="J525" s="3" t="n"/>
    </row>
    <row r="526" ht="185.25" customHeight="1" s="18">
      <c r="A526" s="5" t="inlineStr">
        <is>
          <t>S2-0520</t>
        </is>
      </c>
      <c r="B526" s="5" t="inlineStr">
        <is>
          <t>B-ii</t>
        </is>
      </c>
      <c r="C526" s="3" t="inlineStr">
        <is>
          <t>Zhang, Zhihao; Zhou, Jie</t>
        </is>
      </c>
      <c r="D526" s="6" t="n">
        <v>2010</v>
      </c>
      <c r="E526" s="3" t="inlineStr">
        <is>
          <t>Transfer estimation of evolving class priors in data stream classification</t>
        </is>
      </c>
      <c r="F526" s="3" t="inlineStr">
        <is>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is>
      </c>
      <c r="G526" s="5" t="inlineStr">
        <is>
          <t>Journal article</t>
        </is>
      </c>
      <c r="H526" s="5" t="inlineStr">
        <is>
          <t>10.1016/j.patcog.2010.03.021</t>
        </is>
      </c>
      <c r="I526" s="5" t="n"/>
      <c r="J526" s="3" t="n"/>
    </row>
    <row r="527" ht="156.75" customHeight="1" s="18">
      <c r="A527" s="5" t="inlineStr">
        <is>
          <t>S2-0521</t>
        </is>
      </c>
      <c r="B527" s="5" t="inlineStr">
        <is>
          <t>B-ii</t>
        </is>
      </c>
      <c r="C527" s="3" t="inlineStr">
        <is>
          <t>Limsetto, Nachai; Waiyamai, Kitsana</t>
        </is>
      </c>
      <c r="D527" s="6" t="n">
        <v>2011</v>
      </c>
      <c r="E527" s="3" t="inlineStr">
        <is>
          <t>Handling concept drift via ensemble and class distribution estimation technique</t>
        </is>
      </c>
      <c r="F527" s="3" t="inlineStr">
        <is>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is>
      </c>
      <c r="G527" s="5" t="inlineStr">
        <is>
          <t>Conference paper</t>
        </is>
      </c>
      <c r="H527" s="5" t="inlineStr">
        <is>
          <t>10.1007/978-3-642-25856-5_2</t>
        </is>
      </c>
      <c r="I527" s="5" t="n"/>
      <c r="J527" s="3" t="n"/>
    </row>
    <row r="528" ht="57" customHeight="1" s="18">
      <c r="A528" s="5" t="inlineStr">
        <is>
          <t>S2-0522</t>
        </is>
      </c>
      <c r="B528" s="5" t="inlineStr">
        <is>
          <t>B-ii</t>
        </is>
      </c>
      <c r="C528" s="3" t="inlineStr">
        <is>
          <t>Wang, Meng; Jiang, Huiyan; Shi, Tianyu; Wang, Zhiguo; Guo, Jia; Lu, Guoxiu; Wang, Youchao; Yao, Yu-Dong</t>
        </is>
      </c>
      <c r="D528" s="6" t="n">
        <v>2022</v>
      </c>
      <c r="E528" s="3" t="inlineStr">
        <is>
          <t>PSR-Nets: Deep neural networks with prior shift regularization for PET/CT based automatic, accurate, and calibrated whole-body lymphoma segmentation</t>
        </is>
      </c>
      <c r="F528" s="3" t="n"/>
      <c r="G528" s="5" t="inlineStr">
        <is>
          <t>Journal article</t>
        </is>
      </c>
      <c r="H528" s="5" t="inlineStr">
        <is>
          <t>10.1016/j.compbiomed.2022.106215</t>
        </is>
      </c>
      <c r="I528" s="5" t="n"/>
      <c r="J528" s="3" t="n"/>
    </row>
    <row r="529" ht="242.25" customHeight="1" s="18">
      <c r="A529" s="5" t="inlineStr">
        <is>
          <t>S2-0523</t>
        </is>
      </c>
      <c r="B529" s="5" t="inlineStr">
        <is>
          <t>B-ii</t>
        </is>
      </c>
      <c r="C529" s="3" t="inlineStr">
        <is>
          <t>Yang, Chunyu; Zhou, Jie</t>
        </is>
      </c>
      <c r="D529" s="6" t="n">
        <v>2008</v>
      </c>
      <c r="E529" s="3" t="inlineStr">
        <is>
          <t>Non-stationary data sequence classification using online class priors estimation</t>
        </is>
      </c>
      <c r="F529" s="3" t="inlineStr">
        <is>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is>
      </c>
      <c r="G529" s="5" t="inlineStr">
        <is>
          <t>Journal article</t>
        </is>
      </c>
      <c r="H529" s="5" t="inlineStr">
        <is>
          <t>10.1016/j.patcog.2008.01.025</t>
        </is>
      </c>
      <c r="I529" s="5" t="n"/>
      <c r="J529" s="3" t="n"/>
    </row>
    <row r="530" ht="242.25" customHeight="1" s="18">
      <c r="A530" s="5" t="inlineStr">
        <is>
          <t>S2-0524</t>
        </is>
      </c>
      <c r="B530" s="5" t="inlineStr">
        <is>
          <t>B-ii</t>
        </is>
      </c>
      <c r="C530" s="3" t="inlineStr">
        <is>
          <t>KüChenhoff, Helmut; Augustin, Thomas; Kunz, Anne</t>
        </is>
      </c>
      <c r="D530" s="6" t="n">
        <v>2012</v>
      </c>
      <c r="E530" s="3" t="inlineStr">
        <is>
          <t>Partially identified prevalence estimation under misclassification using the kappa coefficient</t>
        </is>
      </c>
      <c r="F530" s="3" t="inlineStr">
        <is>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is>
      </c>
      <c r="G530" s="5" t="inlineStr">
        <is>
          <t>Journal article</t>
        </is>
      </c>
      <c r="H530" s="5" t="inlineStr">
        <is>
          <t>10.1016/j.ijar.2012.06.013</t>
        </is>
      </c>
      <c r="I530" s="5" t="n"/>
      <c r="J530" s="3" t="n"/>
    </row>
    <row r="531" ht="213.75" customHeight="1" s="18">
      <c r="A531" s="5" t="inlineStr">
        <is>
          <t>S2-0525</t>
        </is>
      </c>
      <c r="B531" s="5" t="inlineStr">
        <is>
          <t>B-ii</t>
        </is>
      </c>
      <c r="C531" s="3" t="inlineStr">
        <is>
          <t>Jin, Rong; Liu, Yi</t>
        </is>
      </c>
      <c r="D531" s="6" t="n">
        <v>2005</v>
      </c>
      <c r="E531" s="3" t="inlineStr">
        <is>
          <t>A framework for incorporating class priors into discriminative classification</t>
        </is>
      </c>
      <c r="F531" s="3" t="inlineStr">
        <is>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is>
      </c>
      <c r="G531" s="5" t="inlineStr">
        <is>
          <t>Conference paper</t>
        </is>
      </c>
      <c r="H531" s="5" t="inlineStr">
        <is>
          <t>10.1007/11430919_66</t>
        </is>
      </c>
      <c r="I531" s="5" t="n"/>
      <c r="J531" s="3" t="n"/>
    </row>
    <row r="532" ht="356.25" customHeight="1" s="18">
      <c r="A532" s="5" t="inlineStr">
        <is>
          <t>S2-0526</t>
        </is>
      </c>
      <c r="B532" s="5" t="inlineStr">
        <is>
          <t>B-ii</t>
        </is>
      </c>
      <c r="C532" s="3" t="inlineStr">
        <is>
          <t>Saerens, Marco; Latinne, Patrice; Decaestecker, Christine</t>
        </is>
      </c>
      <c r="D532" s="6" t="n">
        <v>2002</v>
      </c>
      <c r="E532" s="3" t="inlineStr">
        <is>
          <t>Adjusting the outputs of a classifier to new a priori probabilities: a simple procedure</t>
        </is>
      </c>
      <c r="F532" s="3" t="inlineStr">
        <is>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is>
      </c>
      <c r="G532" s="5" t="inlineStr">
        <is>
          <t>Journal article</t>
        </is>
      </c>
      <c r="H532" s="5" t="inlineStr">
        <is>
          <t>10.1162/089976602753284446</t>
        </is>
      </c>
      <c r="I532" s="5" t="n"/>
      <c r="J532" s="3" t="n"/>
    </row>
    <row r="533" ht="199.5" customHeight="1" s="18">
      <c r="A533" s="5" t="inlineStr">
        <is>
          <t>S2-0527</t>
        </is>
      </c>
      <c r="B533" s="5" t="inlineStr">
        <is>
          <t>B-ii</t>
        </is>
      </c>
      <c r="C533" s="3" t="inlineStr">
        <is>
          <t>Barranquero, Jose; González, Pablo; Díez, Jorge; del Coz, Juan José</t>
        </is>
      </c>
      <c r="D533" s="6" t="n">
        <v>2013</v>
      </c>
      <c r="E533" s="3" t="inlineStr">
        <is>
          <t>On the study of nearest neighbor algorithms for prevalence estimation in binary problems</t>
        </is>
      </c>
      <c r="F533" s="3" t="inlineStr">
        <is>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is>
      </c>
      <c r="G533" s="5" t="inlineStr">
        <is>
          <t>Journal article</t>
        </is>
      </c>
      <c r="H533" s="5" t="inlineStr">
        <is>
          <t>10.1016/j.patcog.2012.07.022</t>
        </is>
      </c>
      <c r="I533" s="5" t="n"/>
      <c r="J533" s="3" t="n"/>
    </row>
    <row r="534" ht="213.75" customHeight="1" s="18">
      <c r="A534" s="5" t="inlineStr">
        <is>
          <t>S2-0528</t>
        </is>
      </c>
      <c r="B534" s="5" t="inlineStr">
        <is>
          <t>B-ii</t>
        </is>
      </c>
      <c r="C534" s="3" t="inlineStr">
        <is>
          <t>Hong, Yu; Li, Zhixu; Qu, Jianfeng; Liang, Jiaqing; Luo, Yi; Zhang, Miyu; Xiao, Yanghua; Wang, Wei</t>
        </is>
      </c>
      <c r="D534" s="6" t="n">
        <v>2022</v>
      </c>
      <c r="E534" s="3" t="inlineStr">
        <is>
          <t>Can We Have Both Fish and Bear's Paw? Improving Performance, Reliability, and both of them for Relation Extraction under Label Shift</t>
        </is>
      </c>
      <c r="F534" s="3" t="inlineStr">
        <is>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is>
      </c>
      <c r="G534" s="5" t="inlineStr">
        <is>
          <t>Conference paper</t>
        </is>
      </c>
      <c r="H534" s="5" t="inlineStr">
        <is>
          <t>10.1145/3511808.3557251</t>
        </is>
      </c>
      <c r="I534" s="5" t="n"/>
      <c r="J534" s="3" t="n"/>
    </row>
    <row r="535" ht="57" customHeight="1" s="18">
      <c r="A535" s="5" t="inlineStr">
        <is>
          <t>S2-0529</t>
        </is>
      </c>
      <c r="B535" s="5" t="inlineStr">
        <is>
          <t>B-ii</t>
        </is>
      </c>
      <c r="C535" s="3" t="inlineStr">
        <is>
          <t>Latinne, Patrice; Saerens, Marco; Decaestecker, Christine</t>
        </is>
      </c>
      <c r="D535" s="6" t="n">
        <v>2001</v>
      </c>
      <c r="E535" s="3" t="inlineStr">
        <is>
          <t>Adjusting the Outputs of a Classifier to New a Priori Probabilities May Significantly Improve Classification Accuracy: Evidence from a multi-class problem in remote sensing</t>
        </is>
      </c>
      <c r="F535" s="3" t="n"/>
      <c r="G535" s="5" t="inlineStr">
        <is>
          <t>Conference paper</t>
        </is>
      </c>
      <c r="H535" s="5" t="n"/>
      <c r="I535" s="5" t="n"/>
      <c r="J535" s="3" t="n"/>
    </row>
    <row r="536" ht="114" customHeight="1" s="18">
      <c r="A536" s="5" t="inlineStr">
        <is>
          <t>S2-0530</t>
        </is>
      </c>
      <c r="B536" s="5" t="inlineStr">
        <is>
          <t>B-ii</t>
        </is>
      </c>
      <c r="C536" s="3" t="inlineStr">
        <is>
          <t>Chan, Yee Seng; Ng, Hwee Tou</t>
        </is>
      </c>
      <c r="D536" s="6" t="n">
        <v>2006</v>
      </c>
      <c r="E536" s="3" t="inlineStr">
        <is>
          <t>Estimating class priors in domain adaptation for word sense disambiguation</t>
        </is>
      </c>
      <c r="F536" s="3" t="inlineStr">
        <is>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is>
      </c>
      <c r="G536" s="5" t="inlineStr">
        <is>
          <t>Conference paper</t>
        </is>
      </c>
      <c r="H536" s="5" t="inlineStr">
        <is>
          <t>10.3115/1220175.1220187</t>
        </is>
      </c>
      <c r="I536" s="5" t="n"/>
      <c r="J536" s="3" t="n"/>
    </row>
    <row r="537" ht="409.5" customHeight="1" s="18">
      <c r="A537" s="5" t="inlineStr">
        <is>
          <t>S2-0531</t>
        </is>
      </c>
      <c r="B537" s="5" t="inlineStr">
        <is>
          <t>B-i</t>
        </is>
      </c>
      <c r="C537" s="3" t="inlineStr">
        <is>
          <t>Malek, S.; Griffin, C.; Fraleigh, R.D.; Lennon, R.; Monga, V.; Shen, L.</t>
        </is>
      </c>
      <c r="D537" s="6" t="n">
        <v>2026</v>
      </c>
      <c r="E537" s="3" t="inlineStr">
        <is>
          <t>Intervention in Health Misinformation Using Large Language Models for Automated Detection, Thematic Analysis, and Inoculation: Case Study on COVID-19</t>
        </is>
      </c>
      <c r="F537" s="3" t="inlineStr">
        <is>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is>
      </c>
      <c r="G537" s="5" t="inlineStr">
        <is>
          <t>Journal article</t>
        </is>
      </c>
      <c r="H537" s="5" t="inlineStr">
        <is>
          <t>10.2196/75500</t>
        </is>
      </c>
      <c r="I537" s="5" t="n"/>
      <c r="J537" s="3" t="n"/>
    </row>
    <row r="538" ht="228" customHeight="1" s="18">
      <c r="A538" s="5" t="inlineStr">
        <is>
          <t>S2-0532</t>
        </is>
      </c>
      <c r="B538" s="5" t="inlineStr">
        <is>
          <t>B-i</t>
        </is>
      </c>
      <c r="C538" s="3" t="inlineStr">
        <is>
          <t>Dai, G.; Liao, J.; Zhao, S.; Fu, X.; Peng, X.; Huang, H.; Zhang, B.</t>
        </is>
      </c>
      <c r="D538" s="6" t="n">
        <v>2025</v>
      </c>
      <c r="E538" s="3" t="inlineStr">
        <is>
          <t>Large Language Model Enhanced Logic Tensor Network for Stance Detection</t>
        </is>
      </c>
      <c r="F538" s="3" t="inlineStr">
        <is>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is>
      </c>
      <c r="G538" s="5" t="inlineStr">
        <is>
          <t>Journal article</t>
        </is>
      </c>
      <c r="H538" s="5" t="inlineStr">
        <is>
          <t>10.1016/j.neunet.2024.106956</t>
        </is>
      </c>
      <c r="I538" s="5" t="n"/>
      <c r="J538" s="3" t="n"/>
    </row>
    <row r="539" ht="256.5" customHeight="1" s="18">
      <c r="A539" s="5" t="inlineStr">
        <is>
          <t>S2-0533</t>
        </is>
      </c>
      <c r="B539" s="5" t="inlineStr">
        <is>
          <t>B-i</t>
        </is>
      </c>
      <c r="C539" s="3" t="inlineStr">
        <is>
          <t>Tolj, V.; Neef, C.; Bruno, B.</t>
        </is>
      </c>
      <c r="D539" s="6" t="n">
        <v>2026</v>
      </c>
      <c r="E539" s="3" t="inlineStr">
        <is>
          <t>Sympathy as a Lens for Human-Robot Interaction: Analysing YouTube Responses to Robot Abuse</t>
        </is>
      </c>
      <c r="F539" s="3" t="inlineStr">
        <is>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is>
      </c>
      <c r="G539" s="5" t="inlineStr">
        <is>
          <t>Conference paper</t>
        </is>
      </c>
      <c r="H539" s="5" t="inlineStr">
        <is>
          <t>10.1145/3757279.3785595</t>
        </is>
      </c>
      <c r="I539" s="5" t="n"/>
      <c r="J539" s="3" t="n"/>
    </row>
    <row r="540" ht="409.5" customHeight="1" s="18">
      <c r="A540" s="5" t="inlineStr">
        <is>
          <t>S2-0534</t>
        </is>
      </c>
      <c r="B540" s="5" t="inlineStr">
        <is>
          <t>B-i</t>
        </is>
      </c>
      <c r="C540" s="3" t="inlineStr">
        <is>
          <t>Ismail, H.</t>
        </is>
      </c>
      <c r="D540" s="6" t="n">
        <v>2026</v>
      </c>
      <c r="E540" s="3" t="inlineStr">
        <is>
          <t>SEM-PDPL: Semantic Exposure Graphs for Privacy-Law-Informed Risk Assessment of Public Social-Media Data</t>
        </is>
      </c>
      <c r="F540" s="3" t="inlineStr">
        <is>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is>
      </c>
      <c r="G540" s="5" t="inlineStr">
        <is>
          <t>Journal article</t>
        </is>
      </c>
      <c r="H540" s="5" t="inlineStr">
        <is>
          <t>10.3390/info17080803</t>
        </is>
      </c>
      <c r="I540" s="5" t="n"/>
      <c r="J540" s="3" t="n"/>
    </row>
    <row r="541" ht="384.75" customHeight="1" s="18">
      <c r="A541" s="5" t="inlineStr">
        <is>
          <t>S2-0535</t>
        </is>
      </c>
      <c r="B541" s="5" t="inlineStr">
        <is>
          <t>B-i</t>
        </is>
      </c>
      <c r="C541" s="3" t="inlineStr">
        <is>
          <t>Tao, Y.; Sun, S.; He, J.</t>
        </is>
      </c>
      <c r="D541" s="6" t="n">
        <v>2026</v>
      </c>
      <c r="E541" s="3" t="inlineStr">
        <is>
          <t>Unraveling the multimodal features and audience responses to thinspiration videos: A computational analysis of Chinese TikTok (Douyin)</t>
        </is>
      </c>
      <c r="F541" s="3" t="inlineStr">
        <is>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is>
      </c>
      <c r="G541" s="5" t="inlineStr">
        <is>
          <t>Journal article</t>
        </is>
      </c>
      <c r="H541" s="5" t="inlineStr">
        <is>
          <t>10.1016/j.bodyim.2026.102053</t>
        </is>
      </c>
      <c r="I541" s="5" t="n"/>
      <c r="J541" s="3" t="n"/>
    </row>
    <row r="542" ht="409.5" customHeight="1" s="18">
      <c r="A542" s="5" t="inlineStr">
        <is>
          <t>S2-0536</t>
        </is>
      </c>
      <c r="B542" s="5" t="inlineStr">
        <is>
          <t>B-i</t>
        </is>
      </c>
      <c r="C542" s="3" t="inlineStr">
        <is>
          <t>Díaz-Pacheco, A.; García-Gutiérrez, A.B.; Rodríguez-González, A.Y.; Aranda, R.; Álvarez-Carmona, M.Á.</t>
        </is>
      </c>
      <c r="D542" s="6" t="n">
        <v>2026</v>
      </c>
      <c r="E542" s="3" t="inlineStr">
        <is>
          <t>Balancing Sentiment Analysis Datasets Through Representative-Word-Guided Synthetic Review Generation: A Case Study on Mexican Spanish Tourism Reviews</t>
        </is>
      </c>
      <c r="F542" s="3" t="inlineStr">
        <is>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is>
      </c>
      <c r="G542" s="5" t="inlineStr">
        <is>
          <t>Journal article</t>
        </is>
      </c>
      <c r="H542" s="5" t="inlineStr">
        <is>
          <t>10.3390/app16157398</t>
        </is>
      </c>
      <c r="I542" s="5" t="n"/>
      <c r="J542" s="3" t="n"/>
    </row>
    <row r="543" ht="128.25" customHeight="1" s="18">
      <c r="A543" s="5" t="inlineStr">
        <is>
          <t>S2-0537</t>
        </is>
      </c>
      <c r="B543" s="5" t="inlineStr">
        <is>
          <t>B-i</t>
        </is>
      </c>
      <c r="C543" s="3" t="inlineStr">
        <is>
          <t>Zulhaidi, N.N.N.M.; Bohani, F.A.; Razali, M.R.M.; Anuar, M.H.A.</t>
        </is>
      </c>
      <c r="D543" s="6" t="n">
        <v>2026</v>
      </c>
      <c r="E543" s="3" t="inlineStr">
        <is>
          <t>Fake News Detection: A comparative analysis of BERT and LSTM for Malay Language</t>
        </is>
      </c>
      <c r="F543" s="3" t="inlineStr">
        <is>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is>
      </c>
      <c r="G543" s="5" t="inlineStr">
        <is>
          <t>Conference paper</t>
        </is>
      </c>
      <c r="H543" s="5" t="inlineStr">
        <is>
          <t>10.1109/cspa68262.2026.11517871</t>
        </is>
      </c>
      <c r="I543" s="5" t="n"/>
      <c r="J543" s="3" t="n"/>
    </row>
    <row r="544" ht="384.75" customHeight="1" s="18">
      <c r="A544" s="5" t="inlineStr">
        <is>
          <t>S2-0538</t>
        </is>
      </c>
      <c r="B544" s="5" t="inlineStr">
        <is>
          <t>B-i</t>
        </is>
      </c>
      <c r="C544" s="3" t="inlineStr">
        <is>
          <t>Li, S.; Tian, C.; Du, X.; Li, Y.</t>
        </is>
      </c>
      <c r="D544" s="6" t="n">
        <v>2026</v>
      </c>
      <c r="E544" s="3" t="inlineStr">
        <is>
          <t>Forecasting secondary risks in emergencies: A transferable early warning framework using event logic graphs from social media</t>
        </is>
      </c>
      <c r="F544" s="3" t="inlineStr">
        <is>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is>
      </c>
      <c r="G544" s="5" t="inlineStr">
        <is>
          <t>Journal article</t>
        </is>
      </c>
      <c r="H544" s="5" t="inlineStr">
        <is>
          <t>10.1016/j.ipm.2026.104832</t>
        </is>
      </c>
      <c r="I544" s="5" t="n"/>
      <c r="J544" s="3" t="n"/>
    </row>
    <row r="545" ht="256.5" customHeight="1" s="18">
      <c r="A545" s="5" t="inlineStr">
        <is>
          <t>S2-0539</t>
        </is>
      </c>
      <c r="B545" s="5" t="inlineStr">
        <is>
          <t>B-i</t>
        </is>
      </c>
      <c r="C545" s="3" t="inlineStr">
        <is>
          <t>Ghosh, S.; Singh, G.V.; Pathak, K.; Ekbal, A.</t>
        </is>
      </c>
      <c r="D545" s="6" t="n">
        <v>2026</v>
      </c>
      <c r="E545" s="3" t="inlineStr">
        <is>
          <t>Blunt Giants, Sharp Specialists: Decoding Stress and Triggers Beyond General-Purpose LLMs</t>
        </is>
      </c>
      <c r="F545" s="3" t="inlineStr">
        <is>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is>
      </c>
      <c r="G545" s="5" t="inlineStr">
        <is>
          <t>Journal article</t>
        </is>
      </c>
      <c r="H545" s="5" t="inlineStr">
        <is>
          <t>10.1109/tcss.2026.3686713</t>
        </is>
      </c>
      <c r="I545" s="5" t="n"/>
      <c r="J545" s="3" t="n"/>
    </row>
    <row r="546" ht="242.25" customHeight="1" s="18">
      <c r="A546" s="5" t="inlineStr">
        <is>
          <t>S2-0540</t>
        </is>
      </c>
      <c r="B546" s="5" t="inlineStr">
        <is>
          <t>B-i</t>
        </is>
      </c>
      <c r="C546" s="3" t="inlineStr">
        <is>
          <t>Yang, K.; Luo, Y.; Zhang, Z.; Chen, C.L.P.; Zhang, T.</t>
        </is>
      </c>
      <c r="D546" s="6" t="n">
        <v>2026</v>
      </c>
      <c r="E546" s="3" t="inlineStr">
        <is>
          <t>Multimodal Affect Perception With Large Language Model Enhancement Network</t>
        </is>
      </c>
      <c r="F546" s="3" t="inlineStr">
        <is>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is>
      </c>
      <c r="G546" s="5" t="inlineStr">
        <is>
          <t>Journal article</t>
        </is>
      </c>
      <c r="H546" s="5" t="inlineStr">
        <is>
          <t>10.1109/taffc.2025.3607727</t>
        </is>
      </c>
      <c r="I546" s="5" t="n"/>
      <c r="J546" s="3" t="n"/>
    </row>
    <row r="547" ht="384.75" customHeight="1" s="18">
      <c r="A547" s="5" t="inlineStr">
        <is>
          <t>S2-0541</t>
        </is>
      </c>
      <c r="B547" s="5" t="inlineStr">
        <is>
          <t>B-i</t>
        </is>
      </c>
      <c r="C547" s="3" t="inlineStr">
        <is>
          <t>Belcastro, L.; Cosentino, C.; Marozzo, F.</t>
        </is>
      </c>
      <c r="D547" s="6" t="n">
        <v>2026</v>
      </c>
      <c r="E547" s="3" t="inlineStr">
        <is>
          <t>Understanding Political Polarization With Generative AI: A Large-Scale Analysis of Voter Preferences on Social Media</t>
        </is>
      </c>
      <c r="F547" s="3" t="inlineStr">
        <is>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is>
      </c>
      <c r="G547" s="5" t="inlineStr">
        <is>
          <t>Journal article</t>
        </is>
      </c>
      <c r="H547" s="5" t="inlineStr">
        <is>
          <t>10.1109/access.2026.3677050</t>
        </is>
      </c>
      <c r="I547" s="5" t="n"/>
      <c r="J547" s="3" t="n"/>
    </row>
    <row r="548" ht="228" customHeight="1" s="18">
      <c r="A548" s="5" t="inlineStr">
        <is>
          <t>S2-0542</t>
        </is>
      </c>
      <c r="B548" s="5" t="inlineStr">
        <is>
          <t>B-i</t>
        </is>
      </c>
      <c r="C548" s="3" t="inlineStr">
        <is>
          <t>Orjuela-Llanos, V.P.; Galpin, I.</t>
        </is>
      </c>
      <c r="D548" s="6" t="n">
        <v>2026</v>
      </c>
      <c r="E548" s="3" t="inlineStr">
        <is>
          <t>Fine-Grained Emotion Classification in Reddit Mental Health Posts Using LLMs</t>
        </is>
      </c>
      <c r="F548" s="3" t="inlineStr">
        <is>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is>
      </c>
      <c r="G548" s="5" t="inlineStr">
        <is>
          <t>Conference paper</t>
        </is>
      </c>
      <c r="H548" s="5" t="inlineStr">
        <is>
          <t>10.1007/978-3-032-07175-0_24</t>
        </is>
      </c>
      <c r="I548" s="5" t="n"/>
      <c r="J548" s="3" t="n"/>
    </row>
    <row r="549" ht="285" customHeight="1" s="18">
      <c r="A549" s="5" t="inlineStr">
        <is>
          <t>S2-0543</t>
        </is>
      </c>
      <c r="B549" s="5" t="inlineStr">
        <is>
          <t>B-i</t>
        </is>
      </c>
      <c r="C549" s="3" t="inlineStr">
        <is>
          <t>Wei, D.; Chau, M.; Li, Z.</t>
        </is>
      </c>
      <c r="D549" s="6" t="n">
        <v>2025</v>
      </c>
      <c r="E549" s="3" t="inlineStr">
        <is>
          <t>MITIGATING BIAS IN HATE SPEECH DETECTION WITH A SMALL NUMBER OF EXPERT ANNOTATIONS: A PROMPT-BASED LEARNING APPROACH</t>
        </is>
      </c>
      <c r="F549" s="3" t="inlineStr">
        <is>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is>
      </c>
      <c r="G549" s="5" t="inlineStr">
        <is>
          <t>Journal article</t>
        </is>
      </c>
      <c r="H549" s="5" t="inlineStr">
        <is>
          <t>10.25300/misq/2025/18416</t>
        </is>
      </c>
      <c r="I549" s="5" t="n"/>
      <c r="J549" s="3" t="n"/>
    </row>
    <row r="550" ht="199.5" customHeight="1" s="18">
      <c r="A550" s="5" t="inlineStr">
        <is>
          <t>S2-0544</t>
        </is>
      </c>
      <c r="B550" s="5" t="inlineStr">
        <is>
          <t>B-i</t>
        </is>
      </c>
      <c r="C550" s="3" t="inlineStr">
        <is>
          <t>Chauhan, P.; Virparia, P.</t>
        </is>
      </c>
      <c r="D550" s="6" t="n">
        <v>2026</v>
      </c>
      <c r="E550" s="3" t="inlineStr">
        <is>
          <t>Decoding Hate: A Review of Identifying Hateful Content in Gujarati and Other Under-Resourced Indic Languages on Social Media</t>
        </is>
      </c>
      <c r="F550" s="3" t="inlineStr">
        <is>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is>
      </c>
      <c r="G550" s="5" t="inlineStr">
        <is>
          <t>Conference paper</t>
        </is>
      </c>
      <c r="H550" s="5" t="inlineStr">
        <is>
          <t>10.1007/978-981-95-0626-2_11</t>
        </is>
      </c>
      <c r="I550" s="5" t="n"/>
      <c r="J550" s="3" t="n"/>
    </row>
    <row r="551" ht="299.25" customHeight="1" s="18">
      <c r="A551" s="5" t="inlineStr">
        <is>
          <t>S2-0545</t>
        </is>
      </c>
      <c r="B551" s="5" t="inlineStr">
        <is>
          <t>B-i</t>
        </is>
      </c>
      <c r="C551" s="3" t="inlineStr">
        <is>
          <t>Kang, M.; Kim, J.; Jeon, H.; Hwang, S.; An, J.; Kim, Y.; Kwak, H.; An, J.; Han, J.</t>
        </is>
      </c>
      <c r="D551" s="6" t="n">
        <v>2026</v>
      </c>
      <c r="E551" s="3" t="inlineStr">
        <is>
          <t>SynSym: A Synthetic Data Generation Framework for Psychiatric Symptom Identification</t>
        </is>
      </c>
      <c r="F551" s="3" t="inlineStr">
        <is>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is>
      </c>
      <c r="G551" s="5" t="inlineStr">
        <is>
          <t>Conference paper</t>
        </is>
      </c>
      <c r="H551" s="5" t="inlineStr">
        <is>
          <t>10.1145/3770854.3785698</t>
        </is>
      </c>
      <c r="I551" s="5" t="n"/>
      <c r="J551" s="3" t="n"/>
    </row>
    <row r="552" ht="185.25" customHeight="1" s="18">
      <c r="A552" s="5" t="inlineStr">
        <is>
          <t>S2-0546</t>
        </is>
      </c>
      <c r="B552" s="5" t="inlineStr">
        <is>
          <t>B-i</t>
        </is>
      </c>
      <c r="C552" s="3" t="inlineStr">
        <is>
          <t>Mohammed, A.; Kora, R.</t>
        </is>
      </c>
      <c r="D552" s="6" t="n">
        <v>2026</v>
      </c>
      <c r="E552" s="3" t="inlineStr">
        <is>
          <t>Enhancing Text-Based Deepfake Detection: A Comprehensive Evaluation of LoRA Fine-Tuned Large Language Models</t>
        </is>
      </c>
      <c r="F552" s="3" t="inlineStr">
        <is>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is>
      </c>
      <c r="G552" s="5" t="inlineStr">
        <is>
          <t>Journal article</t>
        </is>
      </c>
      <c r="H552" s="5" t="inlineStr">
        <is>
          <t>10.1109/access.2026.3675941</t>
        </is>
      </c>
      <c r="I552" s="5" t="n"/>
      <c r="J552" s="3" t="n"/>
    </row>
    <row r="553" ht="342" customHeight="1" s="18">
      <c r="A553" s="5" t="inlineStr">
        <is>
          <t>S2-0547</t>
        </is>
      </c>
      <c r="B553" s="5" t="inlineStr">
        <is>
          <t>B-i</t>
        </is>
      </c>
      <c r="C553" s="3" t="inlineStr">
        <is>
          <t>Kim, S.; Yoon, C.; Kim, S.H.; Lee, B.G.</t>
        </is>
      </c>
      <c r="D553" s="6" t="n">
        <v>2026</v>
      </c>
      <c r="E553" s="3" t="inlineStr">
        <is>
          <t>LLM-Based Classification and Topic Modeling of Generative AI Ethical Risk Discourse on Social Media</t>
        </is>
      </c>
      <c r="F553" s="3" t="inlineStr">
        <is>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is>
      </c>
      <c r="G553" s="5" t="inlineStr">
        <is>
          <t>Journal article</t>
        </is>
      </c>
      <c r="H553" s="5" t="inlineStr">
        <is>
          <t>10.3390/electronics15142994</t>
        </is>
      </c>
      <c r="I553" s="5" t="n"/>
      <c r="J553" s="3" t="n"/>
    </row>
    <row r="554" ht="409.5" customHeight="1" s="18">
      <c r="A554" s="5" t="inlineStr">
        <is>
          <t>S2-0548</t>
        </is>
      </c>
      <c r="B554" s="5" t="inlineStr">
        <is>
          <t>B-i</t>
        </is>
      </c>
      <c r="C554" s="3" t="inlineStr">
        <is>
          <t>Fatima, M.; Khan, M.S.; Faisal, M.S.; Shahzad, T.; Iqbal, M.A.; Kim, S.K.</t>
        </is>
      </c>
      <c r="D554" s="6" t="n">
        <v>2026</v>
      </c>
      <c r="E554" s="3" t="inlineStr">
        <is>
          <t>A large-scale annotated Urdu corpus and deep learning benchmark for mental health classification</t>
        </is>
      </c>
      <c r="F554" s="3" t="inlineStr">
        <is>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is>
      </c>
      <c r="G554" s="5" t="inlineStr">
        <is>
          <t>Journal article</t>
        </is>
      </c>
      <c r="H554" s="5" t="inlineStr">
        <is>
          <t>10.1038/s41598-026-56627-x</t>
        </is>
      </c>
      <c r="I554" s="5" t="n"/>
      <c r="J554" s="3" t="n"/>
    </row>
    <row r="555" ht="285" customHeight="1" s="18">
      <c r="A555" s="5" t="inlineStr">
        <is>
          <t>S2-0549</t>
        </is>
      </c>
      <c r="B555" s="5" t="inlineStr">
        <is>
          <t>B-i</t>
        </is>
      </c>
      <c r="C555" s="3" t="inlineStr">
        <is>
          <t>Zaidani, H.; Koulali, R.; Maizate, A.; Ouzzif, M.</t>
        </is>
      </c>
      <c r="D555" s="6" t="n">
        <v>2025</v>
      </c>
      <c r="E555" s="3" t="inlineStr">
        <is>
          <t>Augmentation and Classification of Requests in Moroccan Dialect to Improve Quality of Public Service: A Comparative Study of Algorithms</t>
        </is>
      </c>
      <c r="F555" s="3" t="inlineStr">
        <is>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is>
      </c>
      <c r="G555" s="5" t="inlineStr">
        <is>
          <t>Journal article</t>
        </is>
      </c>
      <c r="H555" s="5" t="inlineStr">
        <is>
          <t>10.3390/fi17040176</t>
        </is>
      </c>
      <c r="I555" s="5" t="n"/>
      <c r="J555" s="3" t="n"/>
    </row>
    <row r="556" ht="327.75" customHeight="1" s="18">
      <c r="A556" s="5" t="inlineStr">
        <is>
          <t>S2-0550</t>
        </is>
      </c>
      <c r="B556" s="5" t="inlineStr">
        <is>
          <t>B-i</t>
        </is>
      </c>
      <c r="C556" s="3" t="inlineStr">
        <is>
          <t>Sperduti, G.; Moreo, A.</t>
        </is>
      </c>
      <c r="D556" s="6" t="n">
        <v>2026</v>
      </c>
      <c r="E556" s="3" t="inlineStr">
        <is>
          <t>Misspellings in natural language processing: A survey of recent literature</t>
        </is>
      </c>
      <c r="F556" s="3" t="inlineStr">
        <is>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is>
      </c>
      <c r="G556" s="5" t="inlineStr">
        <is>
          <t>Journal article</t>
        </is>
      </c>
      <c r="H556" s="5" t="inlineStr">
        <is>
          <t>10.1017/nlp.2026.10020</t>
        </is>
      </c>
      <c r="I556" s="5" t="n"/>
      <c r="J556" s="3" t="n"/>
    </row>
    <row r="557" ht="199.5" customHeight="1" s="18">
      <c r="A557" s="5" t="inlineStr">
        <is>
          <t>S2-0551</t>
        </is>
      </c>
      <c r="B557" s="5" t="inlineStr">
        <is>
          <t>B-i</t>
        </is>
      </c>
      <c r="C557" s="3" t="inlineStr">
        <is>
          <t>Hagen, L.; Hagen, A.; Tafmizi, D.; Reddish, C.; Li, L.; Fox, A.; DePaula, N.</t>
        </is>
      </c>
      <c r="D557" s="6" t="n">
        <v>2025</v>
      </c>
      <c r="E557" s="3" t="inlineStr">
        <is>
          <t>Human and AI Alignment on Stance Detection: A Case Study of the United Healthcare CEO Assassination</t>
        </is>
      </c>
      <c r="F557" s="3" t="inlineStr">
        <is>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is>
      </c>
      <c r="G557" s="5" t="inlineStr">
        <is>
          <t>Conference paper</t>
        </is>
      </c>
      <c r="H557" s="5" t="n"/>
      <c r="I557" s="5" t="n"/>
      <c r="J557" s="3" t="n"/>
    </row>
    <row r="558" ht="327.75" customHeight="1" s="18">
      <c r="A558" s="5" t="inlineStr">
        <is>
          <t>S2-0552</t>
        </is>
      </c>
      <c r="B558" s="5" t="inlineStr">
        <is>
          <t>B-i</t>
        </is>
      </c>
      <c r="C558" s="3" t="inlineStr">
        <is>
          <t>Upadhyaya, A.; Nejdl, W.; Fisichella, M.</t>
        </is>
      </c>
      <c r="D558" s="6" t="n">
        <v>2025</v>
      </c>
      <c r="E558" s="3" t="inlineStr">
        <is>
          <t>Interpretable zero-shot stance detection with proactive content intervention</t>
        </is>
      </c>
      <c r="F558" s="3" t="inlineStr">
        <is>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is>
      </c>
      <c r="G558" s="5" t="inlineStr">
        <is>
          <t>Journal article</t>
        </is>
      </c>
      <c r="H558" s="5" t="inlineStr">
        <is>
          <t>10.1016/j.ipm.2025.104223</t>
        </is>
      </c>
      <c r="I558" s="5" t="n"/>
      <c r="J558" s="3" t="n"/>
    </row>
    <row r="559" ht="356.25" customHeight="1" s="18">
      <c r="A559" s="5" t="inlineStr">
        <is>
          <t>S2-0553</t>
        </is>
      </c>
      <c r="B559" s="5" t="inlineStr">
        <is>
          <t>B-i</t>
        </is>
      </c>
      <c r="C559" s="3" t="inlineStr">
        <is>
          <t>Sait, A.R.W.; Alkhurayyif, Y.</t>
        </is>
      </c>
      <c r="D559" s="6" t="n">
        <v>2026</v>
      </c>
      <c r="E559" s="3" t="inlineStr">
        <is>
          <t>Target-Aware Bilingual Stance Detection in Social Media Using Transformer Architecture</t>
        </is>
      </c>
      <c r="F559" s="3" t="inlineStr">
        <is>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is>
      </c>
      <c r="G559" s="5" t="inlineStr">
        <is>
          <t>Journal article</t>
        </is>
      </c>
      <c r="H559" s="5" t="inlineStr">
        <is>
          <t>10.3390/electronics15040830</t>
        </is>
      </c>
      <c r="I559" s="5" t="n"/>
      <c r="J559" s="3" t="n"/>
    </row>
    <row r="560" ht="270.75" customHeight="1" s="18">
      <c r="A560" s="5" t="inlineStr">
        <is>
          <t>S2-0554</t>
        </is>
      </c>
      <c r="B560" s="5" t="inlineStr">
        <is>
          <t>B-i</t>
        </is>
      </c>
      <c r="C560" s="3" t="inlineStr">
        <is>
          <t>De Almeida Eiras, D.M.; Brito, A.C.D.</t>
        </is>
      </c>
      <c r="D560" s="6" t="n">
        <v>2026</v>
      </c>
      <c r="E560" s="3" t="inlineStr">
        <is>
          <t>Unsupervised Aspect-Based Sentiment Analysis Through LLM: A Case Study of an Unlabeled Portuguese Beer Database</t>
        </is>
      </c>
      <c r="F560" s="3" t="inlineStr">
        <is>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is>
      </c>
      <c r="G560" s="5" t="inlineStr">
        <is>
          <t>Journal article</t>
        </is>
      </c>
      <c r="H560" s="5" t="inlineStr">
        <is>
          <t>10.1109/access.2026.3690176</t>
        </is>
      </c>
      <c r="I560" s="5" t="n"/>
      <c r="J560" s="3" t="n"/>
    </row>
    <row r="561" ht="256.5" customHeight="1" s="18">
      <c r="A561" s="5" t="inlineStr">
        <is>
          <t>S2-0555</t>
        </is>
      </c>
      <c r="B561" s="5" t="inlineStr">
        <is>
          <t>B-i</t>
        </is>
      </c>
      <c r="C561" s="3" t="inlineStr">
        <is>
          <t>Cruz, J.A.D.; Asimov, A.; Wagemaker, J.; Hendrickx, I.</t>
        </is>
      </c>
      <c r="D561" s="6" t="n">
        <v>2026</v>
      </c>
      <c r="E561" s="3" t="inlineStr">
        <is>
          <t>Extracting the ‘Why’: Flood Cause Annotation and LLM Benchmarking from Multi-Platform Crisis Data</t>
        </is>
      </c>
      <c r="F561" s="3" t="inlineStr">
        <is>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is>
      </c>
      <c r="G561" s="5" t="inlineStr">
        <is>
          <t>Conference paper</t>
        </is>
      </c>
      <c r="H561" s="5" t="inlineStr">
        <is>
          <t>10.59297/feg7yp18</t>
        </is>
      </c>
      <c r="I561" s="5" t="n"/>
      <c r="J561" s="3" t="n"/>
    </row>
    <row r="562" ht="199.5" customHeight="1" s="18">
      <c r="A562" s="5" t="inlineStr">
        <is>
          <t>S2-0556</t>
        </is>
      </c>
      <c r="B562" s="5" t="inlineStr">
        <is>
          <t>B-i</t>
        </is>
      </c>
      <c r="C562" s="3" t="inlineStr">
        <is>
          <t>Ashari, N.; Sihaloho, U.O.; Sari, N.A.</t>
        </is>
      </c>
      <c r="D562" s="6" t="n">
        <v>2026</v>
      </c>
      <c r="E562" s="3" t="inlineStr">
        <is>
          <t>LLM-Assisted Sentiment Analysis for Indonesia's Coretax Policy: A Knowledge Distillation and Human-in-the-Loop Approach</t>
        </is>
      </c>
      <c r="F562" s="3" t="inlineStr">
        <is>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is>
      </c>
      <c r="G562" s="5" t="inlineStr">
        <is>
          <t>Conference paper</t>
        </is>
      </c>
      <c r="H562" s="5" t="inlineStr">
        <is>
          <t>10.1109/isitia71267.2026.11642190</t>
        </is>
      </c>
      <c r="I562" s="5" t="n"/>
      <c r="J562" s="3" t="n"/>
    </row>
    <row r="563" ht="213.75" customHeight="1" s="18">
      <c r="A563" s="5" t="inlineStr">
        <is>
          <t>S2-0557</t>
        </is>
      </c>
      <c r="B563" s="5" t="inlineStr">
        <is>
          <t>B-i</t>
        </is>
      </c>
      <c r="C563" s="3" t="inlineStr">
        <is>
          <t>Zhao, W.; Xu, Y.</t>
        </is>
      </c>
      <c r="D563" s="6" t="n">
        <v>2026</v>
      </c>
      <c r="E563" s="3" t="inlineStr">
        <is>
          <t>Evaluating the effectiveness of large language models in detecting mental health disorders from social media</t>
        </is>
      </c>
      <c r="F563" s="3" t="inlineStr">
        <is>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is>
      </c>
      <c r="G563" s="5" t="inlineStr">
        <is>
          <t>Journal article</t>
        </is>
      </c>
      <c r="H563" s="5" t="inlineStr">
        <is>
          <t>10.1504/ijcse.2026.153977</t>
        </is>
      </c>
      <c r="I563" s="5" t="n"/>
      <c r="J563" s="3" t="n"/>
    </row>
    <row r="564" ht="213.75" customHeight="1" s="18">
      <c r="A564" s="5" t="inlineStr">
        <is>
          <t>S2-0558</t>
        </is>
      </c>
      <c r="B564" s="5" t="inlineStr">
        <is>
          <t>B-i</t>
        </is>
      </c>
      <c r="C564" s="3" t="inlineStr">
        <is>
          <t>Diwali, A.; Saeedi, K.; Dashtipour, K.; Gogate, M.; Hussain, Z.; Howard, A.; Hussain, A.</t>
        </is>
      </c>
      <c r="D564" s="6" t="n">
        <v>2025</v>
      </c>
      <c r="E564" s="3" t="inlineStr">
        <is>
          <t>Transfer Learning-Based Automatic Sentiment Annotation of a Twitter-Based Arabic Mental Illness (AMI) Dataset</t>
        </is>
      </c>
      <c r="F564" s="3" t="inlineStr">
        <is>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is>
      </c>
      <c r="G564" s="5" t="inlineStr">
        <is>
          <t>Journal article</t>
        </is>
      </c>
      <c r="H564" s="5" t="inlineStr">
        <is>
          <t>10.1111/exsy.70128</t>
        </is>
      </c>
      <c r="I564" s="5" t="n"/>
      <c r="J564" s="3" t="n"/>
    </row>
    <row r="565" ht="242.25" customHeight="1" s="18">
      <c r="A565" s="5" t="inlineStr">
        <is>
          <t>S2-0559</t>
        </is>
      </c>
      <c r="B565" s="5" t="inlineStr">
        <is>
          <t>B-i</t>
        </is>
      </c>
      <c r="C565" s="3" t="inlineStr">
        <is>
          <t>Thapa, S.; Veeramani, H.; Razzak, I.; Lee, R.K.-W.; Naseem, U.</t>
        </is>
      </c>
      <c r="D565" s="6" t="n">
        <v>2025</v>
      </c>
      <c r="E565" s="3" t="inlineStr">
        <is>
          <t>Cross Platform MultiModal Retrieval Augmented Distillation for Code-Switched Content Understanding</t>
        </is>
      </c>
      <c r="F565" s="3" t="inlineStr">
        <is>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is>
      </c>
      <c r="G565" s="5" t="inlineStr">
        <is>
          <t>Conference paper</t>
        </is>
      </c>
      <c r="H565" s="5" t="inlineStr">
        <is>
          <t>10.1145/3701716.3718389</t>
        </is>
      </c>
      <c r="I565" s="5" t="n"/>
      <c r="J565" s="3" t="n"/>
    </row>
    <row r="566" ht="185.25" customHeight="1" s="18">
      <c r="A566" s="5" t="inlineStr">
        <is>
          <t>S2-0560</t>
        </is>
      </c>
      <c r="B566" s="5" t="inlineStr">
        <is>
          <t>B-i</t>
        </is>
      </c>
      <c r="C566" s="3" t="inlineStr">
        <is>
          <t>Kumar, R.P.; Benny, P.S.; Manideep, C.; Sushmitha, G.; Athfaan, M.</t>
        </is>
      </c>
      <c r="D566" s="6" t="n">
        <v>2026</v>
      </c>
      <c r="E566" s="3" t="inlineStr">
        <is>
          <t>Smart City Concern: An AI-Driven Multimodal Civic Grievance Management System</t>
        </is>
      </c>
      <c r="F566" s="3" t="inlineStr">
        <is>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is>
      </c>
      <c r="G566" s="5" t="inlineStr">
        <is>
          <t>Conference paper</t>
        </is>
      </c>
      <c r="H566" s="5" t="inlineStr">
        <is>
          <t>10.1109/ictmim68190.2026.11507401</t>
        </is>
      </c>
      <c r="I566" s="5" t="n"/>
      <c r="J566" s="3" t="n"/>
    </row>
    <row r="567" ht="299.25" customHeight="1" s="18">
      <c r="A567" s="5" t="inlineStr">
        <is>
          <t>S2-0561</t>
        </is>
      </c>
      <c r="B567" s="5" t="inlineStr">
        <is>
          <t>B-i</t>
        </is>
      </c>
      <c r="C567" s="3" t="inlineStr">
        <is>
          <t>Nazir, M.K.; Bilal, M.; Shongwe, S.C.</t>
        </is>
      </c>
      <c r="D567" s="6" t="n">
        <v>2026</v>
      </c>
      <c r="E567" s="3" t="inlineStr">
        <is>
          <t>Sentiment analysis for code-mixed low-resource languages: a systematic review of approaches, techniques, applications, challenges, and future directions</t>
        </is>
      </c>
      <c r="F567" s="3" t="inlineStr">
        <is>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is>
      </c>
      <c r="G567" s="5" t="inlineStr">
        <is>
          <t>Journal article</t>
        </is>
      </c>
      <c r="H567" s="5" t="inlineStr">
        <is>
          <t>10.1007/s13278-026-01588-2</t>
        </is>
      </c>
      <c r="I567" s="5" t="n"/>
      <c r="J567" s="3" t="n"/>
    </row>
    <row r="568" ht="313.5" customHeight="1" s="18">
      <c r="A568" s="5" t="inlineStr">
        <is>
          <t>S2-0562</t>
        </is>
      </c>
      <c r="B568" s="5" t="inlineStr">
        <is>
          <t>B-i</t>
        </is>
      </c>
      <c r="C568" s="3" t="inlineStr">
        <is>
          <t>Sharma, V.; Jain, S.; Shokri, M.M.; Levitan, S.I.; Filatova, E.</t>
        </is>
      </c>
      <c r="D568" s="6" t="n">
        <v>2026</v>
      </c>
      <c r="E568" s="3" t="inlineStr">
        <is>
          <t>Council of LLMs: Evaluating Capability of Large Language Models to Annotate Propaganda</t>
        </is>
      </c>
      <c r="F568" s="3" t="inlineStr">
        <is>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is>
      </c>
      <c r="G568" s="5" t="inlineStr">
        <is>
          <t>Conference paper</t>
        </is>
      </c>
      <c r="H568" s="5" t="inlineStr">
        <is>
          <t>10.18653/v1/2026.wassa-1.1</t>
        </is>
      </c>
      <c r="I568" s="5" t="n"/>
      <c r="J568" s="3" t="n"/>
    </row>
    <row r="569" ht="370.5" customHeight="1" s="18">
      <c r="A569" s="5" t="inlineStr">
        <is>
          <t>S2-0563</t>
        </is>
      </c>
      <c r="B569" s="5" t="inlineStr">
        <is>
          <t>B-i</t>
        </is>
      </c>
      <c r="C569" s="3" t="inlineStr">
        <is>
          <t>Nnanna, P.; Amujo, O.; Ezenkwu, C.P.; Ibeke, E.</t>
        </is>
      </c>
      <c r="D569" s="6" t="n">
        <v>2025</v>
      </c>
      <c r="E569" s="3" t="inlineStr">
        <is>
          <t>Leveraging LLMs for User Rating Prediction from Textual Reviews: A Hospitality Data Annotation Case Study</t>
        </is>
      </c>
      <c r="F569" s="3" t="inlineStr">
        <is>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is>
      </c>
      <c r="G569" s="5" t="inlineStr">
        <is>
          <t>Journal article</t>
        </is>
      </c>
      <c r="H569" s="5" t="inlineStr">
        <is>
          <t>10.3390/info16121059</t>
        </is>
      </c>
      <c r="I569" s="5" t="n"/>
      <c r="J569" s="3" t="n"/>
    </row>
    <row r="570" ht="256.5" customHeight="1" s="18">
      <c r="A570" s="5" t="inlineStr">
        <is>
          <t>S2-0564</t>
        </is>
      </c>
      <c r="B570" s="5" t="inlineStr">
        <is>
          <t>B-i</t>
        </is>
      </c>
      <c r="C570" s="3" t="inlineStr">
        <is>
          <t>Mao, X.; Tao, E.X.; Wang, L.</t>
        </is>
      </c>
      <c r="D570" s="6" t="n">
        <v>2026</v>
      </c>
      <c r="E570" s="3" t="inlineStr">
        <is>
          <t>MindVote: When AI Meets the Wild West of Social Media Opinion</t>
        </is>
      </c>
      <c r="F570" s="3" t="inlineStr">
        <is>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is>
      </c>
      <c r="G570" s="5" t="inlineStr">
        <is>
          <t>Conference paper</t>
        </is>
      </c>
      <c r="H570" s="5" t="inlineStr">
        <is>
          <t>10.1609/aaai.v40i38.40525</t>
        </is>
      </c>
      <c r="I570" s="5" t="n"/>
      <c r="J570" s="3" t="n"/>
    </row>
    <row r="571" ht="270.75" customHeight="1" s="18">
      <c r="A571" s="5" t="inlineStr">
        <is>
          <t>S2-0565</t>
        </is>
      </c>
      <c r="B571" s="5" t="inlineStr">
        <is>
          <t>B-i</t>
        </is>
      </c>
      <c r="C571" s="3" t="inlineStr">
        <is>
          <t>Niu, F.; Dai, G.; Lu, Y.; Liao, J.; Li, X.; Jiang, J.; Huang, H.; Zhang, B.</t>
        </is>
      </c>
      <c r="D571" s="6" t="n">
        <v>2026</v>
      </c>
      <c r="E571" s="3" t="inlineStr">
        <is>
          <t>MT2-CSD and LLM-CRAN: A new dataset and an LLM-based multi-semantic knowledge fusion model for conversational stance detection</t>
        </is>
      </c>
      <c r="F571" s="3" t="inlineStr">
        <is>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is>
      </c>
      <c r="G571" s="5" t="inlineStr">
        <is>
          <t>Journal article</t>
        </is>
      </c>
      <c r="H571" s="5" t="inlineStr">
        <is>
          <t>10.1016/j.neunet.2026.109304</t>
        </is>
      </c>
      <c r="I571" s="5" t="n"/>
      <c r="J571" s="3" t="n"/>
    </row>
    <row r="572" ht="356.25" customHeight="1" s="18">
      <c r="A572" s="5" t="inlineStr">
        <is>
          <t>S2-0566</t>
        </is>
      </c>
      <c r="B572" s="5" t="inlineStr">
        <is>
          <t>B-i</t>
        </is>
      </c>
      <c r="C572" s="3" t="inlineStr">
        <is>
          <t>Alghamdi, A.</t>
        </is>
      </c>
      <c r="D572" s="6" t="n">
        <v>2026</v>
      </c>
      <c r="E572" s="3" t="inlineStr">
        <is>
          <t>Self-supervised contrastive learning for robust multilingual NLP in cross-border social media analysis</t>
        </is>
      </c>
      <c r="F572" s="3" t="inlineStr">
        <is>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is>
      </c>
      <c r="G572" s="5" t="inlineStr">
        <is>
          <t>Journal article</t>
        </is>
      </c>
      <c r="H572" s="5" t="inlineStr">
        <is>
          <t>10.1007/s43545-026-01517-2</t>
        </is>
      </c>
      <c r="I572" s="5" t="n"/>
      <c r="J572" s="3" t="n"/>
    </row>
    <row r="573" ht="299.25" customHeight="1" s="18">
      <c r="A573" s="5" t="inlineStr">
        <is>
          <t>S2-0567</t>
        </is>
      </c>
      <c r="B573" s="5" t="inlineStr">
        <is>
          <t>B-i</t>
        </is>
      </c>
      <c r="C573" s="3" t="inlineStr">
        <is>
          <t>Anushka, C.V.; Nair, P.C.</t>
        </is>
      </c>
      <c r="D573" s="6" t="n">
        <v>2026</v>
      </c>
      <c r="E573" s="3" t="inlineStr">
        <is>
          <t>Emotion Analysis in Kerala's Political Discourse: Curating and Evaluating a Multilabel Code-Mixed Malayalam-English Social Media Dataset Using LLMs</t>
        </is>
      </c>
      <c r="F573" s="3" t="inlineStr">
        <is>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is>
      </c>
      <c r="G573" s="5" t="inlineStr">
        <is>
          <t>Conference paper</t>
        </is>
      </c>
      <c r="H573" s="5" t="inlineStr">
        <is>
          <t>10.1016/j.procs.2026.06.183</t>
        </is>
      </c>
      <c r="I573" s="5" t="n"/>
      <c r="J573" s="3" t="n"/>
    </row>
    <row r="574" ht="409.5" customHeight="1" s="18">
      <c r="A574" s="5" t="inlineStr">
        <is>
          <t>S2-0568</t>
        </is>
      </c>
      <c r="B574" s="5" t="inlineStr">
        <is>
          <t>B-i</t>
        </is>
      </c>
      <c r="C574" s="3" t="inlineStr">
        <is>
          <t>Alshaqhaa, A.; Hassan, R.; Qamar, F.; Ibrahim, A.H.</t>
        </is>
      </c>
      <c r="D574" s="6" t="n">
        <v>2026</v>
      </c>
      <c r="E574" s="3" t="inlineStr">
        <is>
          <t>Predicting IoT Privacy Concerns From Tweets Through BERTweet-Based Fusion of Psycholinguistic Big Five and Risk Features: Toward Integration With IoT Security Frameworks</t>
        </is>
      </c>
      <c r="F574" s="3" t="inlineStr">
        <is>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is>
      </c>
      <c r="G574" s="5" t="inlineStr">
        <is>
          <t>Journal article</t>
        </is>
      </c>
      <c r="H574" s="5" t="inlineStr">
        <is>
          <t>10.1109/access.2025.3650186</t>
        </is>
      </c>
      <c r="I574" s="5" t="n"/>
      <c r="J574" s="3" t="n"/>
    </row>
    <row r="575" ht="299.25" customHeight="1" s="18">
      <c r="A575" s="5" t="inlineStr">
        <is>
          <t>S2-0569</t>
        </is>
      </c>
      <c r="B575" s="5" t="inlineStr">
        <is>
          <t>B-i</t>
        </is>
      </c>
      <c r="C575" s="3" t="inlineStr">
        <is>
          <t>Hordiienko, K.; Kormaníková, L.</t>
        </is>
      </c>
      <c r="D575" s="6" t="n">
        <v>2025</v>
      </c>
      <c r="E575" s="3" t="inlineStr">
        <is>
          <t>Sentiment analysis of cultural differences in online comments on popular news</t>
        </is>
      </c>
      <c r="F575" s="3" t="inlineStr">
        <is>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is>
      </c>
      <c r="G575" s="5" t="inlineStr">
        <is>
          <t>Journal article</t>
        </is>
      </c>
      <c r="H575" s="5" t="inlineStr">
        <is>
          <t>10.2478/lf-2025-0020</t>
        </is>
      </c>
      <c r="I575" s="5" t="n"/>
      <c r="J575" s="3" t="n"/>
    </row>
    <row r="576" ht="270.75" customHeight="1" s="18">
      <c r="A576" s="5" t="inlineStr">
        <is>
          <t>S2-0570</t>
        </is>
      </c>
      <c r="B576" s="5" t="inlineStr">
        <is>
          <t>B-i</t>
        </is>
      </c>
      <c r="C576" s="3" t="inlineStr">
        <is>
          <t>Lv, J.; Gao, Y.; Li, L.; Shi, L.; Li, S.</t>
        </is>
      </c>
      <c r="D576" s="6" t="n">
        <v>2025</v>
      </c>
      <c r="E576" s="3" t="inlineStr">
        <is>
          <t>Multi-modal fake news detection: A comprehensive survey on deep learning technology, advances, and challenges</t>
        </is>
      </c>
      <c r="F576" s="3" t="inlineStr">
        <is>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is>
      </c>
      <c r="G576" s="5" t="inlineStr">
        <is>
          <t>Journal article</t>
        </is>
      </c>
      <c r="H576" s="5" t="inlineStr">
        <is>
          <t>10.1007/s44443-025-00317-7</t>
        </is>
      </c>
      <c r="I576" s="5" t="n"/>
      <c r="J576" s="3" t="n"/>
    </row>
    <row r="577" ht="327.75" customHeight="1" s="18">
      <c r="A577" s="5" t="inlineStr">
        <is>
          <t>S2-0571</t>
        </is>
      </c>
      <c r="B577" s="5" t="inlineStr">
        <is>
          <t>B-i</t>
        </is>
      </c>
      <c r="C577" s="3" t="inlineStr">
        <is>
          <t>Mabokela, K.R.; Celik, T.; Primus, M.</t>
        </is>
      </c>
      <c r="D577" s="6" t="n">
        <v>2026</v>
      </c>
      <c r="E577" s="3" t="inlineStr">
        <is>
          <t>Sentiment Analysis in African Languages: Evaluating Generative AI and Afrocentric Language Models</t>
        </is>
      </c>
      <c r="F577" s="3" t="inlineStr">
        <is>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is>
      </c>
      <c r="G577" s="5" t="inlineStr">
        <is>
          <t>Conference paper</t>
        </is>
      </c>
      <c r="H577" s="5" t="inlineStr">
        <is>
          <t>10.1007/978-3-031-96262-2_17</t>
        </is>
      </c>
      <c r="I577" s="5" t="n"/>
      <c r="J577" s="3" t="n"/>
    </row>
    <row r="578" ht="342" customHeight="1" s="18">
      <c r="A578" s="5" t="inlineStr">
        <is>
          <t>S2-0572</t>
        </is>
      </c>
      <c r="B578" s="5" t="inlineStr">
        <is>
          <t>B-i</t>
        </is>
      </c>
      <c r="C578" s="3" t="inlineStr">
        <is>
          <t>Akinifev, I.A.; Bodrunova, S.S.</t>
        </is>
      </c>
      <c r="D578" s="6" t="n">
        <v>2026</v>
      </c>
      <c r="E578" s="3" t="inlineStr">
        <is>
          <t>Are LLMs Good for Synthetic Data? A Systematic Synthetic Dataset Validation</t>
        </is>
      </c>
      <c r="F578" s="3" t="inlineStr">
        <is>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is>
      </c>
      <c r="G578" s="5" t="inlineStr">
        <is>
          <t>Conference paper</t>
        </is>
      </c>
      <c r="H578" s="5" t="inlineStr">
        <is>
          <t>10.1007/978-3-032-31407-9_15</t>
        </is>
      </c>
      <c r="I578" s="5" t="n"/>
      <c r="J578" s="3" t="n"/>
    </row>
    <row r="579" ht="399" customHeight="1" s="18">
      <c r="A579" s="5" t="inlineStr">
        <is>
          <t>S2-0573</t>
        </is>
      </c>
      <c r="B579" s="5" t="inlineStr">
        <is>
          <t>B-i</t>
        </is>
      </c>
      <c r="C579" s="3" t="inlineStr">
        <is>
          <t>Lai, H.; Li, Y.</t>
        </is>
      </c>
      <c r="D579" s="6" t="n">
        <v>2026</v>
      </c>
      <c r="E579" s="3" t="inlineStr">
        <is>
          <t>Beyond accuracy: assessing the information quality of large language models for systematic literature reviews</t>
        </is>
      </c>
      <c r="F579" s="3" t="inlineStr">
        <is>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is>
      </c>
      <c r="G579" s="5" t="inlineStr">
        <is>
          <t>Journal article</t>
        </is>
      </c>
      <c r="H579" s="5" t="inlineStr">
        <is>
          <t>10.1016/j.tele.2026.102447</t>
        </is>
      </c>
      <c r="I579" s="5" t="n"/>
      <c r="J579" s="3" t="n"/>
    </row>
    <row r="580" ht="299.25" customHeight="1" s="18">
      <c r="A580" s="5" t="inlineStr">
        <is>
          <t>S2-0574</t>
        </is>
      </c>
      <c r="B580" s="5" t="inlineStr">
        <is>
          <t>B-i</t>
        </is>
      </c>
      <c r="C580" s="3" t="inlineStr">
        <is>
          <t>Ren, J.T.</t>
        </is>
      </c>
      <c r="D580" s="6" t="n">
        <v>2025</v>
      </c>
      <c r="E580" s="3" t="inlineStr">
        <is>
          <t>Harnessing public sentiment: A literature review of sentiment analysis in energy research</t>
        </is>
      </c>
      <c r="F580" s="3" t="inlineStr">
        <is>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is>
      </c>
      <c r="G580" s="5" t="inlineStr">
        <is>
          <t>Journal article</t>
        </is>
      </c>
      <c r="H580" s="5" t="inlineStr">
        <is>
          <t>10.1016/j.rser.2025.115739</t>
        </is>
      </c>
      <c r="I580" s="5" t="n"/>
      <c r="J580" s="3" t="n"/>
    </row>
    <row r="581" ht="285" customHeight="1" s="18">
      <c r="A581" s="5" t="inlineStr">
        <is>
          <t>S2-0575</t>
        </is>
      </c>
      <c r="B581" s="5" t="inlineStr">
        <is>
          <t>B-i</t>
        </is>
      </c>
      <c r="C581" s="3" t="inlineStr">
        <is>
          <t>Arvanaghi, K.S.H.; Alhouei, A.; Chahardeh, N.M.</t>
        </is>
      </c>
      <c r="D581" s="6" t="n">
        <v>2026</v>
      </c>
      <c r="E581" s="3" t="inlineStr">
        <is>
          <t>Why Text-Based Emotion Recognition on Social Media Remains Limited: A Data- and Context-Centric Analysis</t>
        </is>
      </c>
      <c r="F581" s="3" t="inlineStr">
        <is>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is>
      </c>
      <c r="G581" s="5" t="inlineStr">
        <is>
          <t>Conference paper</t>
        </is>
      </c>
      <c r="H581" s="5" t="inlineStr">
        <is>
          <t>10.1109/icwr69602.2026.11513300</t>
        </is>
      </c>
      <c r="I581" s="5" t="n"/>
      <c r="J581" s="3" t="n"/>
    </row>
    <row r="582" ht="185.25" customHeight="1" s="18">
      <c r="A582" s="5" t="inlineStr">
        <is>
          <t>S2-0576</t>
        </is>
      </c>
      <c r="B582" s="5" t="inlineStr">
        <is>
          <t>B-i</t>
        </is>
      </c>
      <c r="C582" s="3" t="inlineStr">
        <is>
          <t>Giannilias, T.; Papadakis, A.; Nikolaou, N.; Zahariadis, T.</t>
        </is>
      </c>
      <c r="D582" s="6" t="n">
        <v>2025</v>
      </c>
      <c r="E582" s="3" t="inlineStr">
        <is>
          <t>Classification of Hacker’s Posts Based on Zero-Shot, Few-Shot, and Fine-Tuned LLMs in Environments with Constrained Resources</t>
        </is>
      </c>
      <c r="F582" s="3" t="inlineStr">
        <is>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is>
      </c>
      <c r="G582" s="5" t="inlineStr">
        <is>
          <t>Journal article</t>
        </is>
      </c>
      <c r="H582" s="5" t="inlineStr">
        <is>
          <t>10.3390/fi17050207</t>
        </is>
      </c>
      <c r="I582" s="5" t="n"/>
      <c r="J582" s="3" t="n"/>
    </row>
    <row r="583" ht="256.5" customHeight="1" s="18">
      <c r="A583" s="5" t="inlineStr">
        <is>
          <t>S2-0577</t>
        </is>
      </c>
      <c r="B583" s="5" t="inlineStr">
        <is>
          <t>B-i</t>
        </is>
      </c>
      <c r="C583" s="3" t="inlineStr">
        <is>
          <t>Kapantaidakis, I.; Kopanakis, I.; Perakakis, E.; Vassakis, K.</t>
        </is>
      </c>
      <c r="D583" s="6" t="n">
        <v>2026</v>
      </c>
      <c r="E583" s="3" t="inlineStr">
        <is>
          <t>Efficient Sentiment, Emotion, and Toxic Speech Analysis on Social Media Using Lightweight LLMs: A Practical Approach for Digital Transformation</t>
        </is>
      </c>
      <c r="F583" s="3" t="inlineStr">
        <is>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is>
      </c>
      <c r="G583" s="5" t="inlineStr">
        <is>
          <t>Journal article</t>
        </is>
      </c>
      <c r="H583" s="5" t="inlineStr">
        <is>
          <t>10.3390/asi9070145</t>
        </is>
      </c>
      <c r="I583" s="5" t="n"/>
      <c r="J583" s="3" t="n"/>
    </row>
    <row r="584" ht="342" customHeight="1" s="18">
      <c r="A584" s="5" t="inlineStr">
        <is>
          <t>S2-0578</t>
        </is>
      </c>
      <c r="B584" s="5" t="inlineStr">
        <is>
          <t>B-i</t>
        </is>
      </c>
      <c r="C584" s="3" t="inlineStr">
        <is>
          <t>Walker, A.; Leung, J.; Alagappan, A.; Rajwal, S.; Lakamana, S.; Park, T.; Le, N.; Irani, A.; Sarker, A.; Falasinnu, T.; Bozkurt, S.</t>
        </is>
      </c>
      <c r="D584" s="6" t="n">
        <v>2026</v>
      </c>
      <c r="E584" s="3" t="inlineStr">
        <is>
          <t>Centering Patient Voices in Lupus Pain: A Biopsychosocial Analysis of Reddit Narratives Using Large Language Models</t>
        </is>
      </c>
      <c r="F584" s="3" t="inlineStr">
        <is>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is>
      </c>
      <c r="G584" s="5" t="inlineStr">
        <is>
          <t>Journal article</t>
        </is>
      </c>
      <c r="H584" s="5" t="inlineStr">
        <is>
          <t>10.1002/acr.25687</t>
        </is>
      </c>
      <c r="I584" s="5" t="n"/>
      <c r="J584" s="3" t="n"/>
    </row>
    <row r="585" ht="199.5" customHeight="1" s="18">
      <c r="A585" s="5" t="inlineStr">
        <is>
          <t>S2-0579</t>
        </is>
      </c>
      <c r="B585" s="5" t="inlineStr">
        <is>
          <t>B-i</t>
        </is>
      </c>
      <c r="C585" s="3" t="inlineStr">
        <is>
          <t>Liu, J.L.; Su, Y.; Seth, P.</t>
        </is>
      </c>
      <c r="D585" s="6" t="n">
        <v>2025</v>
      </c>
      <c r="E585" s="3" t="inlineStr">
        <is>
          <t>From Pixels to Concepts: How AI Interprets Visual Concepts in Social Media Videos? A Case Study of Mental Health YouTube Shorts</t>
        </is>
      </c>
      <c r="F585" s="3" t="inlineStr">
        <is>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is>
      </c>
      <c r="G585" s="5" t="inlineStr">
        <is>
          <t>Journal article</t>
        </is>
      </c>
      <c r="H585" s="5" t="inlineStr">
        <is>
          <t>10.1002/pra2.1267</t>
        </is>
      </c>
      <c r="I585" s="5" t="n"/>
      <c r="J585" s="3" t="n"/>
    </row>
    <row r="586" ht="242.25" customHeight="1" s="18">
      <c r="A586" s="5" t="inlineStr">
        <is>
          <t>S2-0580</t>
        </is>
      </c>
      <c r="B586" s="5" t="inlineStr">
        <is>
          <t>B-i</t>
        </is>
      </c>
      <c r="C586" s="3" t="inlineStr">
        <is>
          <t>de Oliveira Rocha, E.; de Souza Baptista, C.; Alves, A.L.F.; de Paiva, A.C.</t>
        </is>
      </c>
      <c r="D586" s="6" t="n">
        <v>2026</v>
      </c>
      <c r="E586" s="3" t="inlineStr">
        <is>
          <t>Enhancing Fake News Detection through Cross-Lingual Models: A COVID-19 Case Study</t>
        </is>
      </c>
      <c r="F586" s="3" t="inlineStr">
        <is>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is>
      </c>
      <c r="G586" s="5" t="inlineStr">
        <is>
          <t>Conference paper</t>
        </is>
      </c>
      <c r="H586" s="5" t="inlineStr">
        <is>
          <t>10.5220/0014808300004018</t>
        </is>
      </c>
      <c r="I586" s="5" t="n"/>
      <c r="J586" s="3" t="n"/>
    </row>
    <row r="587" ht="409.5" customHeight="1" s="18">
      <c r="A587" s="5" t="inlineStr">
        <is>
          <t>S2-0581</t>
        </is>
      </c>
      <c r="B587" s="5" t="inlineStr">
        <is>
          <t>B-i</t>
        </is>
      </c>
      <c r="C587" s="3" t="inlineStr">
        <is>
          <t>Liu, J.; Yang, S.; Ma, D.; Niu, Q.; Zhang, Z.; Nagai-Tanima, M.; Aoyama, T.</t>
        </is>
      </c>
      <c r="D587" s="6" t="n">
        <v>2026</v>
      </c>
      <c r="E587" s="3" t="inlineStr">
        <is>
          <t>Japanese-Language AI Agent System for Human Papillomavirus Vaccine Infoveillance and Public Communication: Development and Feasibility Evaluation</t>
        </is>
      </c>
      <c r="F587" s="3" t="inlineStr">
        <is>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is>
      </c>
      <c r="G587" s="5" t="inlineStr">
        <is>
          <t>Journal article</t>
        </is>
      </c>
      <c r="H587" s="5" t="inlineStr">
        <is>
          <t>10.2196/90295</t>
        </is>
      </c>
      <c r="I587" s="5" t="n"/>
      <c r="J587" s="3" t="n"/>
    </row>
    <row r="588" ht="299.25" customHeight="1" s="18">
      <c r="A588" s="5" t="inlineStr">
        <is>
          <t>S2-0582</t>
        </is>
      </c>
      <c r="B588" s="5" t="inlineStr">
        <is>
          <t>B-i</t>
        </is>
      </c>
      <c r="C588" s="3" t="inlineStr">
        <is>
          <t>Zhao, N.; Sun, D.; Meng, C.; Li, N.; Wang, Y.; Yang, H.</t>
        </is>
      </c>
      <c r="D588" s="6" t="n">
        <v>2026</v>
      </c>
      <c r="E588" s="3" t="inlineStr">
        <is>
          <t>CMANet:Sarcasm Detection with LLMs and Cross-Modal Adaptive Attention Networks</t>
        </is>
      </c>
      <c r="F588" s="3" t="inlineStr">
        <is>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is>
      </c>
      <c r="G588" s="5" t="inlineStr">
        <is>
          <t>Conference paper</t>
        </is>
      </c>
      <c r="H588" s="5" t="inlineStr">
        <is>
          <t>10.1007/978-981-95-7394-3_19</t>
        </is>
      </c>
      <c r="I588" s="5" t="n"/>
      <c r="J588" s="3" t="n"/>
    </row>
    <row r="589" ht="342" customHeight="1" s="18">
      <c r="A589" s="5" t="inlineStr">
        <is>
          <t>S2-0583</t>
        </is>
      </c>
      <c r="B589" s="5" t="inlineStr">
        <is>
          <t>B-i</t>
        </is>
      </c>
      <c r="C589" s="3" t="inlineStr">
        <is>
          <t>Zhao, Z.; Li, P.; Chen, B.; Yu, W.; Hu, W.; Ma, Z.; Liao, J.</t>
        </is>
      </c>
      <c r="D589" s="6" t="n">
        <v>2026</v>
      </c>
      <c r="E589" s="3" t="inlineStr">
        <is>
          <t>Changes in perceptions of cultural ecosystem services in urban coastal park during different phases of COVID-19: Integrating the prompt engineering and aspect-based sentiment analysis with a large language model</t>
        </is>
      </c>
      <c r="F589" s="3" t="inlineStr">
        <is>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is>
      </c>
      <c r="G589" s="5" t="inlineStr">
        <is>
          <t>Journal article</t>
        </is>
      </c>
      <c r="H589" s="5" t="inlineStr">
        <is>
          <t>10.1016/j.jclepro.2026.149092</t>
        </is>
      </c>
      <c r="I589" s="5" t="n"/>
      <c r="J589" s="3" t="n"/>
    </row>
    <row r="590" ht="285" customHeight="1" s="18">
      <c r="A590" s="5" t="inlineStr">
        <is>
          <t>S2-0584</t>
        </is>
      </c>
      <c r="B590" s="5" t="inlineStr">
        <is>
          <t>B-i</t>
        </is>
      </c>
      <c r="C590" s="3" t="inlineStr">
        <is>
          <t>Cai, R.; Guo, M.; Yang, S.; Li, R.; Wu, X.; Li, J.</t>
        </is>
      </c>
      <c r="D590" s="6" t="n">
        <v>2025</v>
      </c>
      <c r="E590" s="3" t="inlineStr">
        <is>
          <t>Co-Designer: A Human-AI Collaborative Framework for Deriving Physical Product Concept Design Opportunities from User-Generated Content(UGC) in Manufacturing</t>
        </is>
      </c>
      <c r="F590" s="3" t="inlineStr">
        <is>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is>
      </c>
      <c r="G590" s="5" t="inlineStr">
        <is>
          <t>Conference paper</t>
        </is>
      </c>
      <c r="H590" s="5" t="inlineStr">
        <is>
          <t>10.1145/3743093.3771654</t>
        </is>
      </c>
      <c r="I590" s="5" t="n"/>
      <c r="J590" s="3" t="n"/>
    </row>
    <row r="591" ht="285" customHeight="1" s="18">
      <c r="A591" s="5" t="inlineStr">
        <is>
          <t>S2-0585</t>
        </is>
      </c>
      <c r="B591" s="5" t="inlineStr">
        <is>
          <t>B-i</t>
        </is>
      </c>
      <c r="C591" s="3" t="inlineStr">
        <is>
          <t>Kurnia, R.G.; Fajar, A.N.</t>
        </is>
      </c>
      <c r="D591" s="6" t="n">
        <v>2026</v>
      </c>
      <c r="E591" s="3" t="inlineStr">
        <is>
          <t>Multi-Source Data Integration for Enhanced Scam Token Detection in Solana Blockchain</t>
        </is>
      </c>
      <c r="F591" s="3" t="inlineStr">
        <is>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is>
      </c>
      <c r="G591" s="5" t="inlineStr">
        <is>
          <t>Conference paper</t>
        </is>
      </c>
      <c r="H591" s="5" t="inlineStr">
        <is>
          <t>10.1109/icadeis71120.2026.11644502</t>
        </is>
      </c>
      <c r="I591" s="5" t="n"/>
      <c r="J591" s="3" t="n"/>
    </row>
    <row r="592" ht="285" customHeight="1" s="18">
      <c r="A592" s="5" t="inlineStr">
        <is>
          <t>S2-0586</t>
        </is>
      </c>
      <c r="B592" s="5" t="inlineStr">
        <is>
          <t>B-i</t>
        </is>
      </c>
      <c r="C592" s="3" t="inlineStr">
        <is>
          <t>Durairaj, T.; Rohan, R.; Allan, H.S.; Sivakumar, S.; Jayagupta, N.</t>
        </is>
      </c>
      <c r="D592" s="6" t="n">
        <v>2026</v>
      </c>
      <c r="E592" s="3" t="inlineStr">
        <is>
          <t>Stress Identification in Telugu Using Large Language Models</t>
        </is>
      </c>
      <c r="F592" s="3" t="inlineStr">
        <is>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is>
      </c>
      <c r="G592" s="5" t="inlineStr">
        <is>
          <t>Conference paper</t>
        </is>
      </c>
      <c r="H592" s="5" t="inlineStr">
        <is>
          <t>10.1007/978-3-032-05855-3_32</t>
        </is>
      </c>
      <c r="I592" s="5" t="n"/>
      <c r="J592" s="3" t="n"/>
    </row>
    <row r="593" ht="285" customHeight="1" s="18">
      <c r="A593" s="5" t="inlineStr">
        <is>
          <t>S2-0587</t>
        </is>
      </c>
      <c r="B593" s="5" t="inlineStr">
        <is>
          <t>B-i</t>
        </is>
      </c>
      <c r="C593" s="3" t="inlineStr">
        <is>
          <t>Ashokkumar, M.; Koushiik, R.M.; Mummudi Cholan, T.; Theveesh, I.S.; Jegathesh, P.</t>
        </is>
      </c>
      <c r="D593" s="6" t="n">
        <v>2026</v>
      </c>
      <c r="E593" s="3" t="inlineStr">
        <is>
          <t>Advancements in Aspect-Based Sentiment Analysis: A Review of Models, Techniques, and Challenges</t>
        </is>
      </c>
      <c r="F593" s="3" t="inlineStr">
        <is>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is>
      </c>
      <c r="G593" s="5" t="inlineStr">
        <is>
          <t>Conference paper</t>
        </is>
      </c>
      <c r="H593" s="5" t="inlineStr">
        <is>
          <t>10.1007/978-981-95-2875-2_4</t>
        </is>
      </c>
      <c r="I593" s="5" t="n"/>
      <c r="J593" s="3" t="n"/>
    </row>
    <row r="594" ht="256.5" customHeight="1" s="18">
      <c r="A594" s="5" t="inlineStr">
        <is>
          <t>S2-0588</t>
        </is>
      </c>
      <c r="B594" s="5" t="inlineStr">
        <is>
          <t>B-i</t>
        </is>
      </c>
      <c r="C594" s="3" t="inlineStr">
        <is>
          <t>Kharlamov, A.A.; Pilgun, M.</t>
        </is>
      </c>
      <c r="D594" s="6" t="n">
        <v>2026</v>
      </c>
      <c r="E594" s="3" t="inlineStr">
        <is>
          <t>A Human–AI Collaborative Pipeline for Decision Support in Urban Development Projects Based on Large-Scale Social Media Text Analysis</t>
        </is>
      </c>
      <c r="F594" s="3" t="inlineStr">
        <is>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is>
      </c>
      <c r="G594" s="5" t="inlineStr">
        <is>
          <t>Journal article</t>
        </is>
      </c>
      <c r="H594" s="5" t="inlineStr">
        <is>
          <t>10.3390/technologies14040228</t>
        </is>
      </c>
      <c r="I594" s="5" t="n"/>
      <c r="J594" s="3" t="n"/>
    </row>
    <row r="595" ht="409.5" customHeight="1" s="18">
      <c r="A595" s="5" t="inlineStr">
        <is>
          <t>S2-0589</t>
        </is>
      </c>
      <c r="B595" s="5" t="inlineStr">
        <is>
          <t>B-i</t>
        </is>
      </c>
      <c r="C595" s="3" t="inlineStr">
        <is>
          <t>Guellil, I.; Berrachedi, Y.; Chenni, N.E.; Abboud, M.-N.; Wu, J.; Wu, H.; Alex, B.</t>
        </is>
      </c>
      <c r="D595" s="6" t="n">
        <v>2026</v>
      </c>
      <c r="E595" s="3" t="inlineStr">
        <is>
          <t>Detecting Adverse Drug Events in Social Media: A Brief Literature Review</t>
        </is>
      </c>
      <c r="F595" s="3" t="inlineStr">
        <is>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is>
      </c>
      <c r="G595" s="5" t="inlineStr">
        <is>
          <t>Journal article</t>
        </is>
      </c>
      <c r="H595" s="5" t="inlineStr">
        <is>
          <t>10.1007/s42979-026-04752-9</t>
        </is>
      </c>
      <c r="I595" s="5" t="n"/>
      <c r="J595" s="3" t="n"/>
    </row>
    <row r="596" ht="313.5" customHeight="1" s="18">
      <c r="A596" s="5" t="inlineStr">
        <is>
          <t>S2-0590</t>
        </is>
      </c>
      <c r="B596" s="5" t="inlineStr">
        <is>
          <t>B-i</t>
        </is>
      </c>
      <c r="C596" s="3" t="inlineStr">
        <is>
          <t>Xu, R.; Guo, H.; Wu, K.; Zhuang, Y.; Zhou, M.</t>
        </is>
      </c>
      <c r="D596" s="6" t="n">
        <v>2026</v>
      </c>
      <c r="E596" s="3" t="inlineStr">
        <is>
          <t>Audience perception and decoding of Chinese cultural content in global cross-media context based on LLM-enhanced temporal topic modeling</t>
        </is>
      </c>
      <c r="F596" s="3" t="inlineStr">
        <is>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is>
      </c>
      <c r="G596" s="5" t="inlineStr">
        <is>
          <t>Journal article</t>
        </is>
      </c>
      <c r="H596" s="5" t="inlineStr">
        <is>
          <t>10.3389/fcomm.2026.1850055</t>
        </is>
      </c>
      <c r="I596" s="5" t="n"/>
      <c r="J596" s="3" t="n"/>
    </row>
    <row r="597" ht="409.5" customHeight="1" s="18">
      <c r="A597" s="5" t="inlineStr">
        <is>
          <t>S2-0591</t>
        </is>
      </c>
      <c r="B597" s="5" t="inlineStr">
        <is>
          <t>B-i</t>
        </is>
      </c>
      <c r="C597" s="3" t="inlineStr">
        <is>
          <t>Smith, A.; Graña, J.; Bhugra, D.; Oquendo, M.A.; Buadze, A.; Ventriglio, A.; Liebrenz, M.</t>
        </is>
      </c>
      <c r="D597" s="6" t="n">
        <v>2026</v>
      </c>
      <c r="E597" s="3" t="inlineStr">
        <is>
          <t>“It’s a complicated issue”: exploring perspectives on Reddit from 2016 to 2024 about the American Psychiatric Association’s Goldwater Rule and the ethics of public-professional mental health commentary</t>
        </is>
      </c>
      <c r="F597" s="3" t="inlineStr">
        <is>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is>
      </c>
      <c r="G597" s="5" t="inlineStr">
        <is>
          <t>Journal article</t>
        </is>
      </c>
      <c r="H597" s="5" t="inlineStr">
        <is>
          <t>10.1186/s12910-026-01447-x</t>
        </is>
      </c>
      <c r="I597" s="5" t="n"/>
      <c r="J597" s="3" t="n"/>
    </row>
    <row r="598" ht="299.25" customHeight="1" s="18">
      <c r="A598" s="5" t="inlineStr">
        <is>
          <t>S2-0592</t>
        </is>
      </c>
      <c r="B598" s="5" t="inlineStr">
        <is>
          <t>B-i</t>
        </is>
      </c>
      <c r="C598" s="3" t="inlineStr">
        <is>
          <t>Tran, K.Q.; Huynh, Q.P.-M.; Le, O.T.-H.; Van Nguyen, K.; Nguyen, N.L.-T.</t>
        </is>
      </c>
      <c r="D598" s="6" t="n">
        <v>2025</v>
      </c>
      <c r="E598" s="3" t="inlineStr">
        <is>
          <t>ViTASA: New benchmark and methods for Vietnamese targeted aspect sentiment analysis for multiple textual domains</t>
        </is>
      </c>
      <c r="F598" s="3" t="inlineStr">
        <is>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is>
      </c>
      <c r="G598" s="5" t="inlineStr">
        <is>
          <t>Journal article</t>
        </is>
      </c>
      <c r="H598" s="5" t="inlineStr">
        <is>
          <t>10.1016/j.csl.2025.101800</t>
        </is>
      </c>
      <c r="I598" s="5" t="n"/>
      <c r="J598" s="3" t="n"/>
    </row>
    <row r="599" ht="228" customHeight="1" s="18">
      <c r="A599" s="5" t="inlineStr">
        <is>
          <t>S2-0593</t>
        </is>
      </c>
      <c r="B599" s="5" t="inlineStr">
        <is>
          <t>B-i</t>
        </is>
      </c>
      <c r="C599" s="3" t="inlineStr">
        <is>
          <t>Borase, P.; Kolhe, S.</t>
        </is>
      </c>
      <c r="D599" s="6" t="n">
        <v>2026</v>
      </c>
      <c r="E599" s="3" t="inlineStr">
        <is>
          <t>LEVERAGING LARGE LANGUAGE MODELS FOR RUMOURS DETECTION IN SOCIAL MEDIA</t>
        </is>
      </c>
      <c r="F599" s="3" t="inlineStr">
        <is>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is>
      </c>
      <c r="G599" s="5" t="inlineStr">
        <is>
          <t>Journal article</t>
        </is>
      </c>
      <c r="H599" s="5" t="inlineStr">
        <is>
          <t>10.5935/jetia.v12i59.3539</t>
        </is>
      </c>
      <c r="I599" s="5" t="n"/>
      <c r="J599" s="3" t="n"/>
    </row>
    <row r="600" ht="285" customHeight="1" s="18">
      <c r="A600" s="5" t="inlineStr">
        <is>
          <t>S2-0594</t>
        </is>
      </c>
      <c r="B600" s="5" t="inlineStr">
        <is>
          <t>B-i</t>
        </is>
      </c>
      <c r="C600" s="3" t="inlineStr">
        <is>
          <t>Lin, J.; Li, L.; Wang, C.; Jiang, X.; Xiao, S.</t>
        </is>
      </c>
      <c r="D600" s="6" t="n">
        <v>2026</v>
      </c>
      <c r="E600" s="3" t="inlineStr">
        <is>
          <t>Uncovering the role of reviewer heterogeneity in customer needs identification and customer satisfaction improvement: A perspective from target customers</t>
        </is>
      </c>
      <c r="F600" s="3" t="inlineStr">
        <is>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is>
      </c>
      <c r="G600" s="5" t="inlineStr">
        <is>
          <t>Journal article</t>
        </is>
      </c>
      <c r="H600" s="5" t="inlineStr">
        <is>
          <t>10.1016/j.ipm.2025.104496</t>
        </is>
      </c>
      <c r="I600" s="5" t="n"/>
      <c r="J600" s="3" t="n"/>
    </row>
    <row r="601" ht="270.75" customHeight="1" s="18">
      <c r="A601" s="5" t="inlineStr">
        <is>
          <t>S2-0595</t>
        </is>
      </c>
      <c r="B601" s="5" t="inlineStr">
        <is>
          <t>B-i</t>
        </is>
      </c>
      <c r="C601" s="3" t="inlineStr">
        <is>
          <t>Wang, R.; Feng, H.; Cambria, E.; Piran, M.J.; Santamaria, J.; Ju, M.; Shahzad, K.; Zhu, X.</t>
        </is>
      </c>
      <c r="D601" s="6" t="n">
        <v>2026</v>
      </c>
      <c r="E601" s="3" t="inlineStr">
        <is>
          <t>GPPLEA: Guided Polarity Prompt Learning for Enhanced Emotion Analysis in Low-sample Social Media Environments</t>
        </is>
      </c>
      <c r="F601" s="3" t="inlineStr">
        <is>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is>
      </c>
      <c r="G601" s="5" t="inlineStr">
        <is>
          <t>Journal article</t>
        </is>
      </c>
      <c r="H601" s="5" t="inlineStr">
        <is>
          <t>10.1007/s12559-026-10558-x</t>
        </is>
      </c>
      <c r="I601" s="5" t="n"/>
      <c r="J601" s="3" t="n"/>
    </row>
    <row r="602" ht="270.75" customHeight="1" s="18">
      <c r="A602" s="5" t="inlineStr">
        <is>
          <t>S2-0596</t>
        </is>
      </c>
      <c r="B602" s="5" t="inlineStr">
        <is>
          <t>B-i</t>
        </is>
      </c>
      <c r="C602" s="3" t="inlineStr">
        <is>
          <t>Zhang, B.; Ma, J.; Niu, F.; Dong, L.; Cao, J.; Dai, G.</t>
        </is>
      </c>
      <c r="D602" s="6" t="n">
        <v>2026</v>
      </c>
      <c r="E602" s="3" t="inlineStr">
        <is>
          <t>Induce, Align, Predict: Zero-Shot Stance Detection via Cognitive Inductive Reasoning</t>
        </is>
      </c>
      <c r="F602" s="3" t="inlineStr">
        <is>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is>
      </c>
      <c r="G602" s="5" t="inlineStr">
        <is>
          <t>Conference paper</t>
        </is>
      </c>
      <c r="H602" s="5" t="inlineStr">
        <is>
          <t>10.1609/aaai.v40i41.40764</t>
        </is>
      </c>
      <c r="I602" s="5" t="n"/>
      <c r="J602" s="3" t="n"/>
    </row>
    <row r="603" ht="384.75" customHeight="1" s="18">
      <c r="A603" s="5" t="inlineStr">
        <is>
          <t>S2-0597</t>
        </is>
      </c>
      <c r="B603" s="5" t="inlineStr">
        <is>
          <t>B-i</t>
        </is>
      </c>
      <c r="C603" s="3" t="inlineStr">
        <is>
          <t>Ullah, F.; Faizullah, S.; Khan, I.U.; Alghamdi, T.; Syed, T.A.; Alkhodre, A.B.; Ayub, M.S.; Karim, A.</t>
        </is>
      </c>
      <c r="D603" s="6" t="n">
        <v>2025</v>
      </c>
      <c r="E603" s="3" t="inlineStr">
        <is>
          <t>Prompt-based fine-tuning with multilingual transformers for language-independent sentiment analysis</t>
        </is>
      </c>
      <c r="F603" s="3" t="inlineStr">
        <is>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is>
      </c>
      <c r="G603" s="5" t="inlineStr">
        <is>
          <t>Journal article</t>
        </is>
      </c>
      <c r="H603" s="5" t="inlineStr">
        <is>
          <t>10.1038/s41598-025-03559-7</t>
        </is>
      </c>
      <c r="I603" s="5" t="n"/>
      <c r="J603" s="3" t="n"/>
    </row>
    <row r="604" ht="213.75" customHeight="1" s="18">
      <c r="A604" s="5" t="inlineStr">
        <is>
          <t>S2-0598</t>
        </is>
      </c>
      <c r="B604" s="5" t="inlineStr">
        <is>
          <t>B-i</t>
        </is>
      </c>
      <c r="C604" s="3" t="inlineStr">
        <is>
          <t>de Landa, J.F.; Agerri, R.</t>
        </is>
      </c>
      <c r="D604" s="6" t="n">
        <v>2025</v>
      </c>
      <c r="E604" s="3" t="inlineStr">
        <is>
          <t>Language Independent Stance Detection: Social Interaction-based Embeddings and Large Language Models</t>
        </is>
      </c>
      <c r="F604" s="3" t="inlineStr">
        <is>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is>
      </c>
      <c r="G604" s="5" t="inlineStr">
        <is>
          <t>Journal article</t>
        </is>
      </c>
      <c r="H604" s="5" t="inlineStr">
        <is>
          <t>10.26342/2025-74-10</t>
        </is>
      </c>
      <c r="I604" s="5" t="n"/>
      <c r="J604" s="3" t="n"/>
    </row>
    <row r="605" ht="285" customHeight="1" s="18">
      <c r="A605" s="5" t="inlineStr">
        <is>
          <t>S2-0599</t>
        </is>
      </c>
      <c r="B605" s="5" t="inlineStr">
        <is>
          <t>B-i</t>
        </is>
      </c>
      <c r="C605" s="3" t="inlineStr">
        <is>
          <t>D’Amico, S.; Maurino, A.; Osborne, F.; Sperlì, G.</t>
        </is>
      </c>
      <c r="D605" s="6" t="n">
        <v>2026</v>
      </c>
      <c r="E605" s="3" t="inlineStr">
        <is>
          <t>Evaluating the effectiveness of fine-tuning in financial NLP: The case of Social Trading Action Detection</t>
        </is>
      </c>
      <c r="F605" s="3" t="inlineStr">
        <is>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is>
      </c>
      <c r="G605" s="5" t="inlineStr">
        <is>
          <t>Journal article</t>
        </is>
      </c>
      <c r="H605" s="5" t="inlineStr">
        <is>
          <t>10.1016/j.ipm.2026.104910</t>
        </is>
      </c>
      <c r="I605" s="5" t="n"/>
      <c r="J605" s="3" t="n"/>
    </row>
    <row r="606" ht="342" customHeight="1" s="18">
      <c r="A606" s="5" t="inlineStr">
        <is>
          <t>S2-0600</t>
        </is>
      </c>
      <c r="B606" s="5" t="inlineStr">
        <is>
          <t>B-i</t>
        </is>
      </c>
      <c r="C606" s="3" t="inlineStr">
        <is>
          <t>Askarizade, M.; Davoodijam, E.</t>
        </is>
      </c>
      <c r="D606" s="6" t="n">
        <v>2025</v>
      </c>
      <c r="E606" s="3" t="inlineStr">
        <is>
          <t>Analyzing public sentiment in Iranian presidential elections on Twitter using large language models</t>
        </is>
      </c>
      <c r="F606" s="3" t="inlineStr">
        <is>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is>
      </c>
      <c r="G606" s="5" t="inlineStr">
        <is>
          <t>Journal article</t>
        </is>
      </c>
      <c r="H606" s="5" t="inlineStr">
        <is>
          <t>10.1007/s42001-025-00431-6</t>
        </is>
      </c>
      <c r="I606" s="5" t="n"/>
      <c r="J606" s="3" t="n"/>
    </row>
    <row r="607" ht="409.5" customHeight="1" s="18">
      <c r="A607" s="5" t="inlineStr">
        <is>
          <t>S2-0601</t>
        </is>
      </c>
      <c r="B607" s="5" t="inlineStr">
        <is>
          <t>B-i</t>
        </is>
      </c>
      <c r="C607" s="3" t="inlineStr">
        <is>
          <t>Mitra, A.; Mondal, S.; Bhattacharya, A.; Paul, J.; Sil, J.</t>
        </is>
      </c>
      <c r="D607" s="6" t="n">
        <v>2026</v>
      </c>
      <c r="E607" s="3" t="inlineStr">
        <is>
          <t>Mask-guided rationales meet LLMs: Hybrid encoder–LLM question answering framework for grounded, faithfulness-regularized explainable hate speech detection</t>
        </is>
      </c>
      <c r="F607" s="3" t="inlineStr">
        <is>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is>
      </c>
      <c r="G607" s="5" t="inlineStr">
        <is>
          <t>Journal article</t>
        </is>
      </c>
      <c r="H607" s="5" t="inlineStr">
        <is>
          <t>10.1016/j.asoc.2026.115373</t>
        </is>
      </c>
      <c r="I607" s="5" t="n"/>
      <c r="J607" s="3" t="n"/>
    </row>
    <row r="608" ht="242.25" customHeight="1" s="18">
      <c r="A608" s="5" t="inlineStr">
        <is>
          <t>S2-0602</t>
        </is>
      </c>
      <c r="B608" s="5" t="inlineStr">
        <is>
          <t>B-i</t>
        </is>
      </c>
      <c r="C608" s="3" t="inlineStr">
        <is>
          <t>Zhang, B.; Ma, J.; Fu, X.; Dai, G.</t>
        </is>
      </c>
      <c r="D608" s="6" t="n">
        <v>2025</v>
      </c>
      <c r="E608" s="3" t="inlineStr">
        <is>
          <t>Logic Augmented Multi-Decision Fusion Framework for Stance Detection on Social Media</t>
        </is>
      </c>
      <c r="F608" s="3" t="inlineStr">
        <is>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is>
      </c>
      <c r="G608" s="5" t="inlineStr">
        <is>
          <t>Journal article</t>
        </is>
      </c>
      <c r="H608" s="5" t="inlineStr">
        <is>
          <t>10.1016/j.inffus.2025.103214</t>
        </is>
      </c>
      <c r="I608" s="5" t="n"/>
      <c r="J608" s="3" t="n"/>
    </row>
    <row r="609" ht="213.75" customHeight="1" s="18">
      <c r="A609" s="5" t="inlineStr">
        <is>
          <t>S2-0603</t>
        </is>
      </c>
      <c r="B609" s="5" t="inlineStr">
        <is>
          <t>B-i</t>
        </is>
      </c>
      <c r="C609" s="3" t="inlineStr">
        <is>
          <t>Mischinger, M.; Pastrana, S.; Suarez-Tangil, G.</t>
        </is>
      </c>
      <c r="D609" s="6" t="n">
        <v>2026</v>
      </c>
      <c r="E609" s="3" t="inlineStr">
        <is>
          <t>A multidimensional cybercrime annotation dataset for a closed-access Russian–English underground hacking forum</t>
        </is>
      </c>
      <c r="F609" s="3" t="inlineStr">
        <is>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is>
      </c>
      <c r="G609" s="5" t="inlineStr">
        <is>
          <t>Journal article</t>
        </is>
      </c>
      <c r="H609" s="5" t="inlineStr">
        <is>
          <t>10.1016/j.dib.2026.113171</t>
        </is>
      </c>
      <c r="I609" s="5" t="n"/>
      <c r="J609" s="3" t="n"/>
    </row>
    <row r="610" ht="270.75" customHeight="1" s="18">
      <c r="A610" s="5" t="inlineStr">
        <is>
          <t>S2-0604</t>
        </is>
      </c>
      <c r="B610" s="5" t="inlineStr">
        <is>
          <t>B-i</t>
        </is>
      </c>
      <c r="C610" s="3" t="inlineStr">
        <is>
          <t>Hasnan, A.W.; Chaya, B.; Gunawan, A.A.S.; Tedjasulaksana, J.J.</t>
        </is>
      </c>
      <c r="D610" s="6" t="n">
        <v>2026</v>
      </c>
      <c r="E610" s="3" t="inlineStr">
        <is>
          <t>Comparative Study of Machine Learning, Transformer, and Generative Models for Sentiment Analysis</t>
        </is>
      </c>
      <c r="F610" s="3" t="inlineStr">
        <is>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is>
      </c>
      <c r="G610" s="5" t="inlineStr">
        <is>
          <t>Conference paper</t>
        </is>
      </c>
      <c r="H610" s="5" t="inlineStr">
        <is>
          <t>10.1109/icadeis71120.2026.11644488</t>
        </is>
      </c>
      <c r="I610" s="5" t="n"/>
      <c r="J610" s="3" t="n"/>
    </row>
    <row r="611" ht="313.5" customHeight="1" s="18">
      <c r="A611" s="5" t="inlineStr">
        <is>
          <t>S2-0605</t>
        </is>
      </c>
      <c r="B611" s="5" t="inlineStr">
        <is>
          <t>B-i</t>
        </is>
      </c>
      <c r="C611" s="3" t="inlineStr">
        <is>
          <t>Liu, W.; Wu, L.; Zhao, H.</t>
        </is>
      </c>
      <c r="D611" s="6" t="n">
        <v>2026</v>
      </c>
      <c r="E611" s="3" t="inlineStr">
        <is>
          <t>Improving sentiment analysis in tourism through LLM-enhanced irony detection</t>
        </is>
      </c>
      <c r="F611" s="3" t="inlineStr">
        <is>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is>
      </c>
      <c r="G611" s="5" t="inlineStr">
        <is>
          <t>Journal article</t>
        </is>
      </c>
      <c r="H611" s="5" t="inlineStr">
        <is>
          <t>10.1016/j.tourman.2025.105272</t>
        </is>
      </c>
      <c r="I611" s="5" t="n"/>
      <c r="J611" s="3" t="n"/>
    </row>
    <row r="612" ht="313.5" customHeight="1" s="18">
      <c r="A612" s="5" t="inlineStr">
        <is>
          <t>S2-0606</t>
        </is>
      </c>
      <c r="B612" s="5" t="inlineStr">
        <is>
          <t>B-i</t>
        </is>
      </c>
      <c r="C612" s="3" t="inlineStr">
        <is>
          <t>Li, Y.; Chen, T.; Zhao, Y.; Ke, W.; Pang, P.; McKay, D.; Chang, S.; Baxter, N.</t>
        </is>
      </c>
      <c r="D612" s="6" t="n">
        <v>2026</v>
      </c>
      <c r="E612" s="3" t="inlineStr">
        <is>
          <t>Auditing the impact of social media’s policy shift on anti-vaccine discourse: A large language model-driven empirical study</t>
        </is>
      </c>
      <c r="F612" s="3" t="inlineStr">
        <is>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is>
      </c>
      <c r="G612" s="5" t="inlineStr">
        <is>
          <t>Journal article</t>
        </is>
      </c>
      <c r="H612" s="5" t="inlineStr">
        <is>
          <t>10.1371/journal.pone.0346568</t>
        </is>
      </c>
      <c r="I612" s="5" t="n"/>
      <c r="J612" s="3" t="n"/>
    </row>
    <row r="613" ht="199.5" customHeight="1" s="18">
      <c r="A613" s="5" t="inlineStr">
        <is>
          <t>S2-0607</t>
        </is>
      </c>
      <c r="B613" s="5" t="inlineStr">
        <is>
          <t>B-i</t>
        </is>
      </c>
      <c r="C613" s="3" t="inlineStr">
        <is>
          <t>Nasuto, A.; Iacus, S.; Rowe, F.; Jain, D.</t>
        </is>
      </c>
      <c r="D613" s="6" t="n">
        <v>2026</v>
      </c>
      <c r="E613" s="3" t="inlineStr">
        <is>
          <t>Large language models identify immigration attitudes in online discourse regardless of language</t>
        </is>
      </c>
      <c r="F613" s="3" t="inlineStr">
        <is>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is>
      </c>
      <c r="G613" s="5" t="inlineStr">
        <is>
          <t>Journal article</t>
        </is>
      </c>
      <c r="H613" s="5" t="inlineStr">
        <is>
          <t>10.1038/s41598-026-52167-6</t>
        </is>
      </c>
      <c r="I613" s="5" t="n"/>
      <c r="J613" s="3" t="n"/>
    </row>
    <row r="614" ht="228" customHeight="1" s="18">
      <c r="A614" s="5" t="inlineStr">
        <is>
          <t>S2-0608</t>
        </is>
      </c>
      <c r="B614" s="5" t="inlineStr">
        <is>
          <t>B-i</t>
        </is>
      </c>
      <c r="C614" s="3" t="inlineStr">
        <is>
          <t>Xue, H.; Zhao, B.; Xie, H.; Sun, Z.</t>
        </is>
      </c>
      <c r="D614" s="6" t="n">
        <v>2026</v>
      </c>
      <c r="E614" s="3" t="inlineStr">
        <is>
          <t>RankLLM: A Multi-Criteria Decision-Making Method for LLM Performance Evaluation in Sentiment Analysis</t>
        </is>
      </c>
      <c r="F614" s="3" t="inlineStr">
        <is>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is>
      </c>
      <c r="G614" s="5" t="inlineStr">
        <is>
          <t>Conference paper</t>
        </is>
      </c>
      <c r="H614" s="5" t="inlineStr">
        <is>
          <t>10.1007/978-981-95-2725-0_12</t>
        </is>
      </c>
      <c r="I614" s="5" t="n"/>
      <c r="J614" s="3" t="n"/>
    </row>
    <row r="615" ht="299.25" customHeight="1" s="18">
      <c r="A615" s="5" t="inlineStr">
        <is>
          <t>S2-0609</t>
        </is>
      </c>
      <c r="B615" s="5" t="inlineStr">
        <is>
          <t>B-i</t>
        </is>
      </c>
      <c r="C615" s="3" t="inlineStr">
        <is>
          <t>Patidar, A.; Sadhya, D.</t>
        </is>
      </c>
      <c r="D615" s="6" t="n">
        <v>2026</v>
      </c>
      <c r="E615" s="3" t="inlineStr">
        <is>
          <t>FakeThreads: Investigating Fake News Dissemination Patterns in Threads</t>
        </is>
      </c>
      <c r="F615" s="3" t="inlineStr">
        <is>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is>
      </c>
      <c r="G615" s="5" t="inlineStr">
        <is>
          <t>Journal article</t>
        </is>
      </c>
      <c r="H615" s="5" t="inlineStr">
        <is>
          <t>10.1109/tcss.2025.3629708</t>
        </is>
      </c>
      <c r="I615" s="5" t="n"/>
      <c r="J615" s="3" t="n"/>
    </row>
    <row r="616" ht="299.25" customHeight="1" s="18">
      <c r="A616" s="5" t="inlineStr">
        <is>
          <t>S2-0610</t>
        </is>
      </c>
      <c r="B616" s="5" t="inlineStr">
        <is>
          <t>B-i</t>
        </is>
      </c>
      <c r="C616" s="3" t="inlineStr">
        <is>
          <t>Mishrra, S.; Sarkar, B.; Roy, S.; Routh, P.; Chowdhury, P.; Banerjee, D.; Bal, S.</t>
        </is>
      </c>
      <c r="D616" s="6" t="n">
        <v>2026</v>
      </c>
      <c r="E616" s="3" t="inlineStr">
        <is>
          <t>Performance Analysis of Classical Machine Learning Algorithms and Transformer Models on Multilingual Sentiment Data</t>
        </is>
      </c>
      <c r="F616" s="3" t="inlineStr">
        <is>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is>
      </c>
      <c r="G616" s="5" t="inlineStr">
        <is>
          <t>Conference paper</t>
        </is>
      </c>
      <c r="H616" s="5" t="inlineStr">
        <is>
          <t>10.1007/978-3-032-28307-8_33</t>
        </is>
      </c>
      <c r="I616" s="5" t="n"/>
      <c r="J616" s="3" t="n"/>
    </row>
    <row r="617" ht="256.5" customHeight="1" s="18">
      <c r="A617" s="5" t="inlineStr">
        <is>
          <t>S2-0611</t>
        </is>
      </c>
      <c r="B617" s="5" t="inlineStr">
        <is>
          <t>B-i</t>
        </is>
      </c>
      <c r="C617" s="3" t="inlineStr">
        <is>
          <t>Natesh, N.; Vijayakumar, M.V.</t>
        </is>
      </c>
      <c r="D617" s="6" t="n">
        <v>2025</v>
      </c>
      <c r="E617" s="3" t="inlineStr">
        <is>
          <t>A Social Cognitive-Inspired Social Media Sentiment Classification Model</t>
        </is>
      </c>
      <c r="F617" s="3" t="inlineStr">
        <is>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is>
      </c>
      <c r="G617" s="5" t="inlineStr">
        <is>
          <t>Journal article</t>
        </is>
      </c>
      <c r="H617" s="5" t="inlineStr">
        <is>
          <t>10.48084/etasr.12663</t>
        </is>
      </c>
      <c r="I617" s="5" t="n"/>
      <c r="J617" s="3" t="n"/>
    </row>
    <row r="618" ht="299.25" customHeight="1" s="18">
      <c r="A618" s="5" t="inlineStr">
        <is>
          <t>S2-0612</t>
        </is>
      </c>
      <c r="B618" s="5" t="inlineStr">
        <is>
          <t>B-i</t>
        </is>
      </c>
      <c r="C618" s="3" t="inlineStr">
        <is>
          <t>Zheng, S.; Ren, Y.; Zhu, C.; Wang, X.; Zhao, M.; Wang, S.; Wang, J.; Yang, T.</t>
        </is>
      </c>
      <c r="D618" s="6" t="n">
        <v>2026</v>
      </c>
      <c r="E618" s="3" t="inlineStr">
        <is>
          <t>Quantifying cultural ecosystem services in urban parks using social media and large language models: Insights for Beijing’s Garden City initiative</t>
        </is>
      </c>
      <c r="F618" s="3" t="inlineStr">
        <is>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is>
      </c>
      <c r="G618" s="5" t="inlineStr">
        <is>
          <t>Journal article</t>
        </is>
      </c>
      <c r="H618" s="5" t="inlineStr">
        <is>
          <t>10.1016/j.ufug.2026.129263</t>
        </is>
      </c>
      <c r="I618" s="5" t="n"/>
      <c r="J618" s="3" t="n"/>
    </row>
    <row r="619" ht="327.75" customHeight="1" s="18">
      <c r="A619" s="5" t="inlineStr">
        <is>
          <t>S2-0613</t>
        </is>
      </c>
      <c r="B619" s="5" t="inlineStr">
        <is>
          <t>B-i</t>
        </is>
      </c>
      <c r="C619" s="3" t="inlineStr">
        <is>
          <t>Bhargava, N.; Radaideh, M.I.; Kwon, O.H.; Verma, A.; Radaideh, M.I.</t>
        </is>
      </c>
      <c r="D619" s="6" t="n">
        <v>2026</v>
      </c>
      <c r="E619" s="3" t="inlineStr">
        <is>
          <t>On the Impact of Language Nuances on Sentiment Analysis With Large Language Models: Paraphrasing, Sarcasm, and Emojis</t>
        </is>
      </c>
      <c r="F619" s="3" t="inlineStr">
        <is>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is>
      </c>
      <c r="G619" s="5" t="inlineStr">
        <is>
          <t>Journal article</t>
        </is>
      </c>
      <c r="H619" s="5" t="inlineStr">
        <is>
          <t>10.1109/access.2026.3693919</t>
        </is>
      </c>
      <c r="I619" s="5" t="n"/>
      <c r="J619" s="3" t="n"/>
    </row>
    <row r="620" ht="285" customHeight="1" s="18">
      <c r="A620" s="5" t="inlineStr">
        <is>
          <t>S2-0614</t>
        </is>
      </c>
      <c r="B620" s="5" t="inlineStr">
        <is>
          <t>B-i</t>
        </is>
      </c>
      <c r="C620" s="3" t="inlineStr">
        <is>
          <t>Himelboim, I.; Baid, M.</t>
        </is>
      </c>
      <c r="D620" s="6" t="n">
        <v>2026</v>
      </c>
      <c r="E620" s="3" t="inlineStr">
        <is>
          <t>Evaluating Computational Approaches for Harmful Content Analysis: Promise, Pitfalls and Tools for Responsible Research</t>
        </is>
      </c>
      <c r="F620" s="3" t="inlineStr">
        <is>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is>
      </c>
      <c r="G620" s="5" t="inlineStr">
        <is>
          <t>Journal article</t>
        </is>
      </c>
      <c r="H620" s="5" t="inlineStr">
        <is>
          <t>10.3390/bdcc10050143</t>
        </is>
      </c>
      <c r="I620" s="5" t="n"/>
      <c r="J620" s="3" t="n"/>
    </row>
    <row r="621" ht="270.75" customHeight="1" s="18">
      <c r="A621" s="5" t="inlineStr">
        <is>
          <t>S2-0615</t>
        </is>
      </c>
      <c r="B621" s="5" t="inlineStr">
        <is>
          <t>B-i</t>
        </is>
      </c>
      <c r="C621" s="3" t="inlineStr">
        <is>
          <t>Skoularikis, K.; Savvas, I.; Garani, G.; Kakarontzas, G.</t>
        </is>
      </c>
      <c r="D621" s="6" t="n">
        <v>2026</v>
      </c>
      <c r="E621" s="3" t="inlineStr">
        <is>
          <t>Hybrid sentiment analysis approach with domain-specific lexicons with active learning on Greek social media texts</t>
        </is>
      </c>
      <c r="F621" s="3" t="inlineStr">
        <is>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is>
      </c>
      <c r="G621" s="5" t="inlineStr">
        <is>
          <t>Journal article</t>
        </is>
      </c>
      <c r="H621" s="5" t="inlineStr">
        <is>
          <t>10.1007/s13278-025-01560-6</t>
        </is>
      </c>
      <c r="I621" s="5" t="n"/>
      <c r="J621" s="3" t="n"/>
    </row>
    <row r="622" ht="342" customHeight="1" s="18">
      <c r="A622" s="5" t="inlineStr">
        <is>
          <t>S2-0616</t>
        </is>
      </c>
      <c r="B622" s="5" t="inlineStr">
        <is>
          <t>B-i</t>
        </is>
      </c>
      <c r="C622" s="3" t="inlineStr">
        <is>
          <t>Mishra, N.; Soy, A.</t>
        </is>
      </c>
      <c r="D622" s="6" t="n">
        <v>2026</v>
      </c>
      <c r="E622" s="3" t="inlineStr">
        <is>
          <t>Context-Enriched NLP Pipelines using Large Language Models for High Accuracy Text Mining and Sentiment Analysis</t>
        </is>
      </c>
      <c r="F622" s="3" t="inlineStr">
        <is>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is>
      </c>
      <c r="G622" s="5" t="inlineStr">
        <is>
          <t>Conference paper</t>
        </is>
      </c>
      <c r="H622" s="5" t="inlineStr">
        <is>
          <t>10.1109/iccnct68477.2026.11590134</t>
        </is>
      </c>
      <c r="I622" s="5" t="n"/>
      <c r="J622" s="3" t="n"/>
    </row>
    <row r="623" ht="285" customHeight="1" s="18">
      <c r="A623" s="5" t="inlineStr">
        <is>
          <t>S2-0617</t>
        </is>
      </c>
      <c r="B623" s="5" t="inlineStr">
        <is>
          <t>B-i</t>
        </is>
      </c>
      <c r="C623" s="3" t="inlineStr">
        <is>
          <t>Yan, Y.; Sun, S.; Tang, Z.; Liu, T.; Liu, M.</t>
        </is>
      </c>
      <c r="D623" s="6" t="n">
        <v>2026</v>
      </c>
      <c r="E623" s="3" t="inlineStr">
        <is>
          <t>Collaborative Stance Detection via Small-Large Language Model Consistency Verification</t>
        </is>
      </c>
      <c r="F623" s="3" t="inlineStr">
        <is>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is>
      </c>
      <c r="G623" s="5" t="inlineStr">
        <is>
          <t>Conference paper</t>
        </is>
      </c>
      <c r="H623" s="5" t="inlineStr">
        <is>
          <t>10.1007/978-981-95-4158-4_1</t>
        </is>
      </c>
      <c r="I623" s="5" t="n"/>
      <c r="J623" s="3" t="n"/>
    </row>
    <row r="624" ht="285" customHeight="1" s="18">
      <c r="A624" s="5" t="inlineStr">
        <is>
          <t>S2-0618</t>
        </is>
      </c>
      <c r="B624" s="5" t="inlineStr">
        <is>
          <t>B-i</t>
        </is>
      </c>
      <c r="C624" s="3" t="inlineStr">
        <is>
          <t>Xi, S.; Ou, Z.; Meng, B.; Li, X.</t>
        </is>
      </c>
      <c r="D624" s="6" t="n">
        <v>2026</v>
      </c>
      <c r="E624" s="3" t="inlineStr">
        <is>
          <t>Fine-Grained Cultural Perception and Evaluation of Beijing’s Capital Culture Integrating Large Language Models with Higher-Order Tensor Decomposition</t>
        </is>
      </c>
      <c r="F624" s="3" t="inlineStr">
        <is>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is>
      </c>
      <c r="G624" s="5" t="inlineStr">
        <is>
          <t>Journal article</t>
        </is>
      </c>
      <c r="H624" s="5" t="inlineStr">
        <is>
          <t>10.3390/ijgi15080350</t>
        </is>
      </c>
      <c r="I624" s="5" t="n"/>
      <c r="J624" s="3" t="n"/>
    </row>
    <row r="625" ht="409.5" customHeight="1" s="18">
      <c r="A625" s="5" t="inlineStr">
        <is>
          <t>S2-0619</t>
        </is>
      </c>
      <c r="B625" s="5" t="inlineStr">
        <is>
          <t>B-i</t>
        </is>
      </c>
      <c r="C625" s="3" t="inlineStr">
        <is>
          <t>Frantzidis, C.A.</t>
        </is>
      </c>
      <c r="D625" s="6" t="n">
        <v>2025</v>
      </c>
      <c r="E625" s="3" t="inlineStr">
        <is>
          <t>From Narratives to Diagnosis: A Machine Learning Framework for Classifying Sleep Disorders in Aging Populations: The sleepCare Platform</t>
        </is>
      </c>
      <c r="F625" s="3" t="inlineStr">
        <is>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is>
      </c>
      <c r="G625" s="5" t="inlineStr">
        <is>
          <t>Journal article</t>
        </is>
      </c>
      <c r="H625" s="5" t="inlineStr">
        <is>
          <t>10.3390/brainsci15070667</t>
        </is>
      </c>
      <c r="I625" s="5" t="n"/>
      <c r="J625" s="3" t="n"/>
    </row>
    <row r="626" ht="356.25" customHeight="1" s="18">
      <c r="A626" s="5" t="inlineStr">
        <is>
          <t>S2-0620</t>
        </is>
      </c>
      <c r="B626" s="5" t="inlineStr">
        <is>
          <t>B-i</t>
        </is>
      </c>
      <c r="C626" s="3" t="inlineStr">
        <is>
          <t>Sairanbekova, A.; Nazyrova, A.; Bekmanova, G.; Zhetkenbay, L.; Yergesh, B.; Lamasheva, Z.</t>
        </is>
      </c>
      <c r="D626" s="6" t="n">
        <v>2026</v>
      </c>
      <c r="E626" s="3" t="inlineStr">
        <is>
          <t>Automatic Analysis of Political Discourse: A Comparative Study of Multilingual and Large Language Models</t>
        </is>
      </c>
      <c r="F626" s="3" t="inlineStr">
        <is>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is>
      </c>
      <c r="G626" s="5" t="inlineStr">
        <is>
          <t>Journal article</t>
        </is>
      </c>
      <c r="H626" s="5" t="inlineStr">
        <is>
          <t>10.47738/jads.v7i2.1118</t>
        </is>
      </c>
      <c r="I626" s="5" t="n"/>
      <c r="J626" s="3" t="n"/>
    </row>
    <row r="627" ht="270.75" customHeight="1" s="18">
      <c r="A627" s="5" t="inlineStr">
        <is>
          <t>S2-0621</t>
        </is>
      </c>
      <c r="B627" s="5" t="inlineStr">
        <is>
          <t>B-i</t>
        </is>
      </c>
      <c r="C627" s="3" t="inlineStr">
        <is>
          <t>Azaïs, M.-A.; Coustaty, M.; Guillaume, J.-L.</t>
        </is>
      </c>
      <c r="D627" s="6" t="n">
        <v>2027</v>
      </c>
      <c r="E627" s="3" t="inlineStr">
        <is>
          <t>Does Your Definition Matter? LLMs Comparison Between Prompt Sensitivity and Internal Behavior for Social Media Analysis</t>
        </is>
      </c>
      <c r="F627" s="3" t="inlineStr">
        <is>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is>
      </c>
      <c r="G627" s="5" t="inlineStr">
        <is>
          <t>Conference paper</t>
        </is>
      </c>
      <c r="H627" s="5" t="inlineStr">
        <is>
          <t>10.1007/978-3-032-31438-3_34</t>
        </is>
      </c>
      <c r="I627" s="5" t="n"/>
      <c r="J627" s="3" t="n"/>
    </row>
    <row r="628" ht="256.5" customHeight="1" s="18">
      <c r="A628" s="5" t="inlineStr">
        <is>
          <t>S2-0622</t>
        </is>
      </c>
      <c r="B628" s="5" t="inlineStr">
        <is>
          <t>B-i</t>
        </is>
      </c>
      <c r="C628" s="3" t="inlineStr">
        <is>
          <t>Cui, Q.; Zhang, Y.; Ma, H.; Zhang, K.; Peng, J.; Chen, Z.; Lin, P.; Lin, Z.</t>
        </is>
      </c>
      <c r="D628" s="6" t="n">
        <v>2025</v>
      </c>
      <c r="E628" s="3" t="inlineStr">
        <is>
          <t>How about electric vehicle? Sensing owners’ experiences and attitudes through online short video</t>
        </is>
      </c>
      <c r="F628" s="3" t="inlineStr">
        <is>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is>
      </c>
      <c r="G628" s="5" t="inlineStr">
        <is>
          <t>Journal article</t>
        </is>
      </c>
      <c r="H628" s="5" t="inlineStr">
        <is>
          <t>10.1016/j.tranpol.2025.03.012</t>
        </is>
      </c>
      <c r="I628" s="5" t="n"/>
      <c r="J628" s="3" t="n"/>
    </row>
    <row r="629" ht="313.5" customHeight="1" s="18">
      <c r="A629" s="5" t="inlineStr">
        <is>
          <t>S2-0623</t>
        </is>
      </c>
      <c r="B629" s="5" t="inlineStr">
        <is>
          <t>B-i</t>
        </is>
      </c>
      <c r="C629" s="3" t="inlineStr">
        <is>
          <t>Fodor, A.; Katona, E.; Németh, R.</t>
        </is>
      </c>
      <c r="D629" s="6" t="n">
        <v>2026</v>
      </c>
      <c r="E629" s="3" t="inlineStr">
        <is>
          <t>Evaluating large language models on a hermeneutically complex text annotation task</t>
        </is>
      </c>
      <c r="F629" s="3" t="inlineStr">
        <is>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is>
      </c>
      <c r="G629" s="5" t="inlineStr">
        <is>
          <t>Journal article</t>
        </is>
      </c>
      <c r="H629" s="5" t="inlineStr">
        <is>
          <t>10.1016/j.amper.2026.100270</t>
        </is>
      </c>
      <c r="I629" s="5" t="n"/>
      <c r="J629" s="3" t="n"/>
    </row>
    <row r="630" ht="242.25" customHeight="1" s="18">
      <c r="A630" s="5" t="inlineStr">
        <is>
          <t>S2-0624</t>
        </is>
      </c>
      <c r="B630" s="5" t="inlineStr">
        <is>
          <t>B-i</t>
        </is>
      </c>
      <c r="C630" s="3" t="inlineStr">
        <is>
          <t>Serna, A.; Gerrikagoitia, J.K.; de Oña, J.</t>
        </is>
      </c>
      <c r="D630" s="6" t="n">
        <v>2026</v>
      </c>
      <c r="E630" s="3" t="inlineStr">
        <is>
          <t>Cross-Lingual Sentiment Classification in Sustainable Mobility: A Zero-Shot Domain Transfer Evaluation Framework</t>
        </is>
      </c>
      <c r="F630" s="3" t="inlineStr">
        <is>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is>
      </c>
      <c r="G630" s="5" t="inlineStr">
        <is>
          <t>Journal article</t>
        </is>
      </c>
      <c r="H630" s="5" t="inlineStr">
        <is>
          <t>10.3390/ai7060216</t>
        </is>
      </c>
      <c r="I630" s="5" t="n"/>
      <c r="J630" s="3" t="n"/>
    </row>
    <row r="631" ht="384.75" customHeight="1" s="18">
      <c r="A631" s="5" t="inlineStr">
        <is>
          <t>S2-0625</t>
        </is>
      </c>
      <c r="B631" s="5" t="inlineStr">
        <is>
          <t>B-i</t>
        </is>
      </c>
      <c r="C631" s="3" t="inlineStr">
        <is>
          <t>Wu, M.</t>
        </is>
      </c>
      <c r="D631" s="6" t="n">
        <v>2025</v>
      </c>
      <c r="E631" s="3" t="inlineStr">
        <is>
          <t>Label knowledge-guided heterogeneous graph contrastive learning for semi-supervised short text sentiment classification</t>
        </is>
      </c>
      <c r="F631" s="3" t="inlineStr">
        <is>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is>
      </c>
      <c r="G631" s="5" t="inlineStr">
        <is>
          <t>Journal article</t>
        </is>
      </c>
      <c r="H631" s="5" t="inlineStr">
        <is>
          <t>10.1186/s40537-025-01276-6</t>
        </is>
      </c>
      <c r="I631" s="5" t="n"/>
      <c r="J631" s="3" t="n"/>
    </row>
    <row r="632" ht="228" customHeight="1" s="18">
      <c r="A632" s="5" t="inlineStr">
        <is>
          <t>S2-0626</t>
        </is>
      </c>
      <c r="B632" s="5" t="inlineStr">
        <is>
          <t>B-i</t>
        </is>
      </c>
      <c r="C632" s="3" t="inlineStr">
        <is>
          <t>Shah, M.; Sharma, A.; Shawl, S.; Singhal, A.</t>
        </is>
      </c>
      <c r="D632" s="6" t="n">
        <v>2026</v>
      </c>
      <c r="E632" s="3" t="inlineStr">
        <is>
          <t>AI-Powered Fake News Detection Using LLMs and Knowledge Graphs</t>
        </is>
      </c>
      <c r="F632" s="3" t="inlineStr">
        <is>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is>
      </c>
      <c r="G632" s="5" t="inlineStr">
        <is>
          <t>Conference paper</t>
        </is>
      </c>
      <c r="H632" s="5" t="inlineStr">
        <is>
          <t>10.1109/otcon69332.2026.11629972</t>
        </is>
      </c>
      <c r="I632" s="5" t="n"/>
      <c r="J632" s="3" t="n"/>
    </row>
    <row r="633" ht="270.75" customHeight="1" s="18">
      <c r="A633" s="5" t="inlineStr">
        <is>
          <t>S2-0627</t>
        </is>
      </c>
      <c r="B633" s="5" t="inlineStr">
        <is>
          <t>B-i</t>
        </is>
      </c>
      <c r="C633" s="3" t="inlineStr">
        <is>
          <t>Kramer, M.; Golovchenko, Y.; Hjorth, F.</t>
        </is>
      </c>
      <c r="D633" s="6" t="n">
        <v>2025</v>
      </c>
      <c r="E633" s="3" t="inlineStr">
        <is>
          <t>Detecting pro-kremlin disinformation using large language models</t>
        </is>
      </c>
      <c r="F633" s="3" t="inlineStr">
        <is>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is>
      </c>
      <c r="G633" s="5" t="inlineStr">
        <is>
          <t>Journal article</t>
        </is>
      </c>
      <c r="H633" s="5" t="inlineStr">
        <is>
          <t>10.1177/20531680251351910</t>
        </is>
      </c>
      <c r="I633" s="5" t="n"/>
      <c r="J633" s="3" t="n"/>
    </row>
    <row r="634" ht="285" customHeight="1" s="18">
      <c r="A634" s="5" t="inlineStr">
        <is>
          <t>S2-0628</t>
        </is>
      </c>
      <c r="B634" s="5" t="inlineStr">
        <is>
          <t>B-i</t>
        </is>
      </c>
      <c r="C634" s="3" t="inlineStr">
        <is>
          <t>Larsson, A.O.</t>
        </is>
      </c>
      <c r="D634" s="6" t="n">
        <v>2026</v>
      </c>
      <c r="E634" s="3" t="inlineStr">
        <is>
          <t>Going negative across platforms and time: Assessing the supply and demand of negative campaigning</t>
        </is>
      </c>
      <c r="F634" s="3" t="inlineStr">
        <is>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is>
      </c>
      <c r="G634" s="5" t="inlineStr">
        <is>
          <t>Journal article</t>
        </is>
      </c>
      <c r="H634" s="5" t="inlineStr">
        <is>
          <t>10.1177/14614448261430714</t>
        </is>
      </c>
      <c r="I634" s="5" t="n"/>
      <c r="J634" s="3" t="n"/>
    </row>
    <row r="635" ht="199.5" customHeight="1" s="18">
      <c r="A635" s="5" t="inlineStr">
        <is>
          <t>S2-0629</t>
        </is>
      </c>
      <c r="B635" s="5" t="inlineStr">
        <is>
          <t>B-i</t>
        </is>
      </c>
      <c r="C635" s="3" t="inlineStr">
        <is>
          <t>Tao, X.; Song, X.; Talaei Khoei, T.</t>
        </is>
      </c>
      <c r="D635" s="6" t="n">
        <v>2026</v>
      </c>
      <c r="E635" s="3" t="inlineStr">
        <is>
          <t>Hybrid sentiment analysis in healthcare: Multi-method approach</t>
        </is>
      </c>
      <c r="F635" s="3" t="inlineStr">
        <is>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is>
      </c>
      <c r="G635" s="5" t="inlineStr">
        <is>
          <t>Journal article</t>
        </is>
      </c>
      <c r="H635" s="5" t="inlineStr">
        <is>
          <t>10.1016/j.fraope.2026.100624</t>
        </is>
      </c>
      <c r="I635" s="5" t="n"/>
      <c r="J635" s="3" t="n"/>
    </row>
    <row r="636" ht="342" customHeight="1" s="18">
      <c r="A636" s="5" t="inlineStr">
        <is>
          <t>S2-0630</t>
        </is>
      </c>
      <c r="B636" s="5" t="inlineStr">
        <is>
          <t>B-i</t>
        </is>
      </c>
      <c r="C636" s="3" t="inlineStr">
        <is>
          <t>Nucita, A.; Penna, A.; Cava, A.; Iannizzotto, G.; Mucciardi, M.</t>
        </is>
      </c>
      <c r="D636" s="6" t="n">
        <v>2026</v>
      </c>
      <c r="E636" s="3" t="inlineStr">
        <is>
          <t>AI and social science: Automatic classification tools for big data analysis in sociological research</t>
        </is>
      </c>
      <c r="F636" s="3" t="inlineStr">
        <is>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is>
      </c>
      <c r="G636" s="5" t="inlineStr">
        <is>
          <t>Journal article</t>
        </is>
      </c>
      <c r="H636" s="5" t="inlineStr">
        <is>
          <t>10.1371/journal.pone.0351336</t>
        </is>
      </c>
      <c r="I636" s="5" t="n"/>
      <c r="J636" s="3" t="n"/>
    </row>
    <row r="637" ht="213.75" customHeight="1" s="18">
      <c r="A637" s="5" t="inlineStr">
        <is>
          <t>S2-0631</t>
        </is>
      </c>
      <c r="B637" s="5" t="inlineStr">
        <is>
          <t>B-i</t>
        </is>
      </c>
      <c r="C637" s="3" t="inlineStr">
        <is>
          <t>Vázquez-Hernández, M.; Gómez-Adorno, H.M.; Lerín-Hernández, N.; Islas Barajas, I.; Ramos-Flores, O.</t>
        </is>
      </c>
      <c r="D637" s="6" t="n">
        <v>2026</v>
      </c>
      <c r="E637" s="3" t="inlineStr">
        <is>
          <t>Detecting Obstetric Violence Tweets from Mexico: Annotation Guidelines and Classification with LLMs</t>
        </is>
      </c>
      <c r="F637" s="3" t="inlineStr">
        <is>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is>
      </c>
      <c r="G637" s="5" t="inlineStr">
        <is>
          <t>Journal article</t>
        </is>
      </c>
      <c r="H637" s="5" t="inlineStr">
        <is>
          <t>10.1109/tla.2026.11494932</t>
        </is>
      </c>
      <c r="I637" s="5" t="n"/>
      <c r="J637" s="3" t="n"/>
    </row>
    <row r="638" ht="313.5" customHeight="1" s="18">
      <c r="A638" s="5" t="inlineStr">
        <is>
          <t>S2-0632</t>
        </is>
      </c>
      <c r="B638" s="5" t="inlineStr">
        <is>
          <t>B-i</t>
        </is>
      </c>
      <c r="C638" s="3" t="inlineStr">
        <is>
          <t>Sharma, T.; Vajpayee, A.</t>
        </is>
      </c>
      <c r="D638" s="6" t="n">
        <v>2026</v>
      </c>
      <c r="E638" s="3" t="inlineStr">
        <is>
          <t>Semantic-Aware Youtube Trend Analysis Using Large Language Model-Based Intelligence Engines</t>
        </is>
      </c>
      <c r="F638" s="3" t="inlineStr">
        <is>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is>
      </c>
      <c r="G638" s="5" t="inlineStr">
        <is>
          <t>Conference paper</t>
        </is>
      </c>
      <c r="H638" s="5" t="inlineStr">
        <is>
          <t>10.1109/ic2pct68894.2026.11584269</t>
        </is>
      </c>
      <c r="I638" s="5" t="n"/>
      <c r="J638" s="3" t="n"/>
    </row>
    <row r="639" ht="228" customHeight="1" s="18">
      <c r="A639" s="5" t="inlineStr">
        <is>
          <t>S2-0633</t>
        </is>
      </c>
      <c r="B639" s="5" t="inlineStr">
        <is>
          <t>B-i</t>
        </is>
      </c>
      <c r="C639" s="3" t="inlineStr">
        <is>
          <t>Han, X.; Sun, J.; Yu, S.; Qin, L.; Luo, H.; Li, Y.</t>
        </is>
      </c>
      <c r="D639" s="6" t="n">
        <v>2025</v>
      </c>
      <c r="E639" s="3" t="inlineStr">
        <is>
          <t>CommentAgent: a LLM-powered agent framework for automated comment generation and opinion understanding</t>
        </is>
      </c>
      <c r="F639" s="3" t="inlineStr">
        <is>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is>
      </c>
      <c r="G639" s="5" t="inlineStr">
        <is>
          <t>Journal article</t>
        </is>
      </c>
      <c r="H639" s="5" t="inlineStr">
        <is>
          <t>10.1007/s11227-025-07957-6</t>
        </is>
      </c>
      <c r="I639" s="5" t="n"/>
      <c r="J639" s="3" t="n"/>
    </row>
    <row r="640" ht="270.75" customHeight="1" s="18">
      <c r="A640" s="5" t="inlineStr">
        <is>
          <t>S2-0634</t>
        </is>
      </c>
      <c r="B640" s="5" t="inlineStr">
        <is>
          <t>B-i</t>
        </is>
      </c>
      <c r="C640" s="3" t="inlineStr">
        <is>
          <t>Mayrhofer, L.; Foramitti, M.; Fassnacht, S.; Köhler, J.K.; Todorova, B.; Lamm, C.; Martins, M.</t>
        </is>
      </c>
      <c r="D640" s="6" t="n">
        <v>2026</v>
      </c>
      <c r="E640" s="3" t="inlineStr">
        <is>
          <t>GPT outperforms BERT and LIWC for stance and anger detection in German news articles and user comments</t>
        </is>
      </c>
      <c r="F640" s="3" t="inlineStr">
        <is>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is>
      </c>
      <c r="G640" s="5" t="inlineStr">
        <is>
          <t>Journal article</t>
        </is>
      </c>
      <c r="H640" s="5" t="inlineStr">
        <is>
          <t>10.3389/fpos.2026.1745587</t>
        </is>
      </c>
      <c r="I640" s="5" t="n"/>
      <c r="J640" s="3" t="n"/>
    </row>
    <row r="641" ht="409.5" customHeight="1" s="18">
      <c r="A641" s="5" t="inlineStr">
        <is>
          <t>S2-0635</t>
        </is>
      </c>
      <c r="B641" s="5" t="inlineStr">
        <is>
          <t>B-i</t>
        </is>
      </c>
      <c r="C641" s="3" t="inlineStr">
        <is>
          <t>Totare, R.Y.; Patil, V.N.; Golhar, R.; Patil, C.</t>
        </is>
      </c>
      <c r="D641" s="6" t="n">
        <v>2026</v>
      </c>
      <c r="E641" s="3" t="inlineStr">
        <is>
          <t>A Context-Aware Text Sentiment Classification Framework Leveraging Pretrained Large Language Models and Transfer Learning for Large-Scale Opinion Mining</t>
        </is>
      </c>
      <c r="F641" s="3" t="inlineStr">
        <is>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is>
      </c>
      <c r="G641" s="5" t="inlineStr">
        <is>
          <t>Journal article</t>
        </is>
      </c>
      <c r="H641" s="5" t="inlineStr">
        <is>
          <t>10.59543/jidmis.v3.451</t>
        </is>
      </c>
      <c r="I641" s="5" t="n"/>
      <c r="J641" s="3" t="n"/>
    </row>
    <row r="642" ht="142.5" customHeight="1" s="18">
      <c r="A642" s="5" t="inlineStr">
        <is>
          <t>S2-0636</t>
        </is>
      </c>
      <c r="B642" s="5" t="inlineStr">
        <is>
          <t>B-i</t>
        </is>
      </c>
      <c r="C642" s="3" t="inlineStr">
        <is>
          <t>Ouchene, L.; Bessou, S.</t>
        </is>
      </c>
      <c r="D642" s="6" t="n">
        <v>2025</v>
      </c>
      <c r="E642" s="3" t="inlineStr">
        <is>
          <t>Benchmarking sentiment analysis of algerian arabic dialect on X (Twitter)</t>
        </is>
      </c>
      <c r="F642" s="3" t="inlineStr">
        <is>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is>
      </c>
      <c r="G642" s="5" t="inlineStr">
        <is>
          <t>Journal article</t>
        </is>
      </c>
      <c r="H642" s="5" t="inlineStr">
        <is>
          <t>10.1007/s44443-025-00295-w</t>
        </is>
      </c>
      <c r="I642" s="5" t="n"/>
      <c r="J642" s="3" t="n"/>
    </row>
    <row r="643" ht="242.25" customHeight="1" s="18">
      <c r="A643" s="5" t="inlineStr">
        <is>
          <t>S2-0637</t>
        </is>
      </c>
      <c r="B643" s="5" t="inlineStr">
        <is>
          <t>B-i</t>
        </is>
      </c>
      <c r="C643" s="3" t="inlineStr">
        <is>
          <t>Lad, V.; Deshmukh, R.J.; Awati, C.J.; Dhabarde, R.</t>
        </is>
      </c>
      <c r="D643" s="6" t="n">
        <v>2026</v>
      </c>
      <c r="E643" s="3" t="inlineStr">
        <is>
          <t>Code-Mixed Sentiment Analysis in Social Media: A Critical Review of Recent Methods, Trends, and Open Challenges</t>
        </is>
      </c>
      <c r="F643" s="3" t="inlineStr">
        <is>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is>
      </c>
      <c r="G643" s="5" t="inlineStr">
        <is>
          <t>Conference paper</t>
        </is>
      </c>
      <c r="H643" s="5" t="inlineStr">
        <is>
          <t>10.1109/icicds70526.2026.11604839</t>
        </is>
      </c>
      <c r="I643" s="5" t="n"/>
      <c r="J643" s="3" t="n"/>
    </row>
    <row r="644" ht="199.5" customHeight="1" s="18">
      <c r="A644" s="5" t="inlineStr">
        <is>
          <t>S2-0638</t>
        </is>
      </c>
      <c r="B644" s="5" t="inlineStr">
        <is>
          <t>B-i</t>
        </is>
      </c>
      <c r="C644" s="3" t="inlineStr">
        <is>
          <t>Wuraola, I.; Marciniak, D.; Dethlefs, N.</t>
        </is>
      </c>
      <c r="D644" s="6" t="n">
        <v>2026</v>
      </c>
      <c r="E644" s="3" t="inlineStr">
        <is>
          <t>SLANG-GraphRAG: Multi-Layered Retrieval with Domain-Specific Knowledge for Low Resource Social Media Conversations</t>
        </is>
      </c>
      <c r="F644" s="3" t="inlineStr">
        <is>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is>
      </c>
      <c r="G644" s="5" t="inlineStr">
        <is>
          <t>Conference paper</t>
        </is>
      </c>
      <c r="H644" s="5" t="inlineStr">
        <is>
          <t>10.18653/v1/2026.findings-eacl.203</t>
        </is>
      </c>
      <c r="I644" s="5" t="n"/>
      <c r="J644" s="3" t="n"/>
    </row>
    <row r="645" ht="270.75" customHeight="1" s="18">
      <c r="A645" s="5" t="inlineStr">
        <is>
          <t>S2-0639</t>
        </is>
      </c>
      <c r="B645" s="5" t="inlineStr">
        <is>
          <t>B-i</t>
        </is>
      </c>
      <c r="C645" s="3" t="inlineStr">
        <is>
          <t>Zhu, X.; Feng, H.; Cambria, E.; Yu, X.; Santamaria, J.; Fan, X.; Wang, R.</t>
        </is>
      </c>
      <c r="D645" s="6" t="n">
        <v>2026</v>
      </c>
      <c r="E645" s="3" t="inlineStr">
        <is>
          <t>FMSA: Few-Shot Multimodal Sentiment Analysis for Social Media via Integrated Prompt Learning and Vision-Language Models</t>
        </is>
      </c>
      <c r="F645" s="3" t="inlineStr">
        <is>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is>
      </c>
      <c r="G645" s="5" t="inlineStr">
        <is>
          <t>Journal article</t>
        </is>
      </c>
      <c r="H645" s="5" t="inlineStr">
        <is>
          <t>10.1109/taffc.2026.3681216</t>
        </is>
      </c>
      <c r="I645" s="5" t="n"/>
      <c r="J645" s="3" t="n"/>
    </row>
    <row r="646" ht="356.25" customHeight="1" s="18">
      <c r="A646" s="5" t="inlineStr">
        <is>
          <t>S2-0640</t>
        </is>
      </c>
      <c r="B646" s="5" t="inlineStr">
        <is>
          <t>B-i</t>
        </is>
      </c>
      <c r="C646" s="3" t="inlineStr">
        <is>
          <t>Praschk, A.; Fischill-Neudeck, V.; Caspari, T.; Wiesinger, H.-P.</t>
        </is>
      </c>
      <c r="D646" s="6" t="n">
        <v>2026</v>
      </c>
      <c r="E646" s="3" t="inlineStr">
        <is>
          <t>Beyond Accuracy: A Mixed-Methods Audit of Chain-of-Thought Failures in LLM-Based COVID-19 Vaccine Stance Detection</t>
        </is>
      </c>
      <c r="F646" s="3" t="inlineStr">
        <is>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is>
      </c>
      <c r="G646" s="5" t="inlineStr">
        <is>
          <t>Journal article</t>
        </is>
      </c>
      <c r="H646" s="5" t="inlineStr">
        <is>
          <t>10.1007/s10916-026-02449-3</t>
        </is>
      </c>
      <c r="I646" s="5" t="n"/>
      <c r="J646" s="3" t="n"/>
    </row>
    <row r="647" ht="285" customHeight="1" s="18">
      <c r="A647" s="5" t="inlineStr">
        <is>
          <t>S2-0641</t>
        </is>
      </c>
      <c r="B647" s="5" t="inlineStr">
        <is>
          <t>B-i</t>
        </is>
      </c>
      <c r="C647" s="3" t="inlineStr">
        <is>
          <t>Telman, D.; Yerimbetova, A.; Sambetbayeva, M.; Daiyrbayeva, E.; Bazarkulova, A.; Turganbayev, A.; Bolatov, B.</t>
        </is>
      </c>
      <c r="D647" s="6" t="n">
        <v>2026</v>
      </c>
      <c r="E647" s="3" t="inlineStr">
        <is>
          <t>Cross-Lingual and Multilingual Approaches to Fake News Detection in the Kazakh Language</t>
        </is>
      </c>
      <c r="F647" s="3" t="inlineStr">
        <is>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is>
      </c>
      <c r="G647" s="5" t="inlineStr">
        <is>
          <t>Conference paper</t>
        </is>
      </c>
      <c r="H647" s="5" t="inlineStr">
        <is>
          <t>10.1016/j.procs.2026.01.082</t>
        </is>
      </c>
      <c r="I647" s="5" t="n"/>
      <c r="J647" s="3" t="n"/>
    </row>
    <row r="648" ht="409.5" customHeight="1" s="18">
      <c r="A648" s="5" t="inlineStr">
        <is>
          <t>S2-0642</t>
        </is>
      </c>
      <c r="B648" s="5" t="inlineStr">
        <is>
          <t>B-i</t>
        </is>
      </c>
      <c r="C648" s="3" t="inlineStr">
        <is>
          <t>Murthy, D.; Shermak, J.; Pathania, S.; Vinton, K.; Whipple, K.; Willard, L.; Madison, R.</t>
        </is>
      </c>
      <c r="D648" s="6" t="n">
        <v>2026</v>
      </c>
      <c r="E648" s="3" t="inlineStr">
        <is>
          <t>Rage against the AI machine: Can generative AI understand Donald Trump-related posts as well as humans?</t>
        </is>
      </c>
      <c r="F648" s="3" t="inlineStr">
        <is>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is>
      </c>
      <c r="G648" s="5" t="inlineStr">
        <is>
          <t>Journal article</t>
        </is>
      </c>
      <c r="H648" s="5" t="inlineStr">
        <is>
          <t>10.1177/13548565261459202</t>
        </is>
      </c>
      <c r="I648" s="5" t="n"/>
      <c r="J648" s="3" t="n"/>
    </row>
    <row r="649" ht="285" customHeight="1" s="18">
      <c r="A649" s="5" t="inlineStr">
        <is>
          <t>S2-0643</t>
        </is>
      </c>
      <c r="B649" s="5" t="inlineStr">
        <is>
          <t>B-i</t>
        </is>
      </c>
      <c r="C649" s="3" t="inlineStr">
        <is>
          <t>Xie, C.; Zhu, D.; Wang, Z.; Zhang, H.; Wei, Z.</t>
        </is>
      </c>
      <c r="D649" s="6" t="n">
        <v>2026</v>
      </c>
      <c r="E649" s="3" t="inlineStr">
        <is>
          <t>Explainable AI for Mental Health Detection from Social Media: A Comparative Study of Traditional Machine Learning and a Large Language Model</t>
        </is>
      </c>
      <c r="F649" s="3" t="inlineStr">
        <is>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is>
      </c>
      <c r="G649" s="5" t="inlineStr">
        <is>
          <t>Conference paper</t>
        </is>
      </c>
      <c r="H649" s="5" t="inlineStr">
        <is>
          <t>10.1109/ichi69079.2026.00235</t>
        </is>
      </c>
      <c r="I649" s="5" t="n"/>
      <c r="J649" s="3" t="n"/>
    </row>
    <row r="650" ht="299.25" customHeight="1" s="18">
      <c r="A650" s="5" t="inlineStr">
        <is>
          <t>S2-0644</t>
        </is>
      </c>
      <c r="B650" s="5" t="inlineStr">
        <is>
          <t>B-i</t>
        </is>
      </c>
      <c r="C650" s="3" t="inlineStr">
        <is>
          <t>Lan, F.; Aljebreen, A.; Dragut, E.</t>
        </is>
      </c>
      <c r="D650" s="6" t="n">
        <v>2026</v>
      </c>
      <c r="E650" s="3" t="inlineStr">
        <is>
          <t>Why They Link: An Intent Taxonomy for Including Hyperlinks in Social Posts</t>
        </is>
      </c>
      <c r="F650" s="3" t="inlineStr">
        <is>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is>
      </c>
      <c r="G650" s="5" t="inlineStr">
        <is>
          <t>Conference paper</t>
        </is>
      </c>
      <c r="H650" s="5" t="inlineStr">
        <is>
          <t>10.1145/3795766.3799753</t>
        </is>
      </c>
      <c r="I650" s="5" t="n"/>
      <c r="J650" s="3" t="n"/>
    </row>
    <row r="651" ht="242.25" customHeight="1" s="18">
      <c r="A651" s="5" t="inlineStr">
        <is>
          <t>S2-0645</t>
        </is>
      </c>
      <c r="B651" s="5" t="inlineStr">
        <is>
          <t>B-i</t>
        </is>
      </c>
      <c r="C651" s="3" t="inlineStr">
        <is>
          <t>Bernal-Beltrán, T.; Paredes-Valverde, M.A.; Salas-Zárate, M.D.P.; García-Díaz, J.A.; Valencia-García, R.</t>
        </is>
      </c>
      <c r="D651" s="6" t="n">
        <v>2025</v>
      </c>
      <c r="E651" s="3" t="inlineStr">
        <is>
          <t>Sentiment Analysis in Mexican Spanish: A Comparison Between Fine-Tuning and In-Context Learning with Large Language Models</t>
        </is>
      </c>
      <c r="F651" s="3" t="inlineStr">
        <is>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is>
      </c>
      <c r="G651" s="5" t="inlineStr">
        <is>
          <t>Journal article</t>
        </is>
      </c>
      <c r="H651" s="5" t="inlineStr">
        <is>
          <t>10.3390/fi17100445</t>
        </is>
      </c>
      <c r="I651" s="5" t="n"/>
      <c r="J651" s="3" t="n"/>
    </row>
    <row r="652" ht="270.75" customHeight="1" s="18">
      <c r="A652" s="5" t="inlineStr">
        <is>
          <t>S2-0646</t>
        </is>
      </c>
      <c r="B652" s="5" t="inlineStr">
        <is>
          <t>B-i</t>
        </is>
      </c>
      <c r="C652" s="3" t="inlineStr">
        <is>
          <t>Glazkova, A.; Zakharova, O.</t>
        </is>
      </c>
      <c r="D652" s="6" t="n">
        <v>2025</v>
      </c>
      <c r="E652" s="3" t="inlineStr">
        <is>
          <t>Enhancing Green Practice Detection in Social Media with Paraphrasing-Based Data Augmentation</t>
        </is>
      </c>
      <c r="F652" s="3" t="inlineStr">
        <is>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is>
      </c>
      <c r="G652" s="5" t="inlineStr">
        <is>
          <t>Journal article</t>
        </is>
      </c>
      <c r="H652" s="5" t="inlineStr">
        <is>
          <t>10.3390/bdcc9040081</t>
        </is>
      </c>
      <c r="I652" s="5" t="n"/>
      <c r="J652" s="3" t="n"/>
    </row>
    <row r="653" ht="409.5" customHeight="1" s="18">
      <c r="A653" s="5" t="inlineStr">
        <is>
          <t>S2-0647</t>
        </is>
      </c>
      <c r="B653" s="5" t="inlineStr">
        <is>
          <t>B-i</t>
        </is>
      </c>
      <c r="C653" s="3" t="inlineStr">
        <is>
          <t>León-Paredes, G.A.; Villa-Quishpi, E.C.; Márquez-Chávez, J.E.; Zhigue-Granda, E.F.</t>
        </is>
      </c>
      <c r="D653" s="6" t="n">
        <v>2026</v>
      </c>
      <c r="E653" s="3" t="inlineStr">
        <is>
          <t>SentimentPulse: A Concurrent Multi-Platform System for Social Media Sentiment Monitoring with LLM-Based Interpretation</t>
        </is>
      </c>
      <c r="F653" s="3" t="inlineStr">
        <is>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is>
      </c>
      <c r="G653" s="5" t="inlineStr">
        <is>
          <t>Journal article</t>
        </is>
      </c>
      <c r="H653" s="5" t="inlineStr">
        <is>
          <t>10.14569/ijacsa.2026.0170494</t>
        </is>
      </c>
      <c r="I653" s="5" t="n"/>
      <c r="J653" s="3" t="n"/>
    </row>
    <row r="654" ht="242.25" customHeight="1" s="18">
      <c r="A654" s="5" t="inlineStr">
        <is>
          <t>S2-0648</t>
        </is>
      </c>
      <c r="B654" s="5" t="inlineStr">
        <is>
          <t>B-i</t>
        </is>
      </c>
      <c r="C654" s="3" t="inlineStr">
        <is>
          <t>Hemina, K.; Boumahdi, F.; Madani, A.; Guendouz, A.; Harma, K.; Cherif Hamadi, M.; Ibrahim Shapiai, M.</t>
        </is>
      </c>
      <c r="D654" s="6" t="n">
        <v>2027</v>
      </c>
      <c r="E654" s="3" t="inlineStr">
        <is>
          <t>DziriFake: A Dataset and Comparative Benchmark of Large Language Models for Fake News Detection In Algerian Dialect</t>
        </is>
      </c>
      <c r="F654" s="3" t="inlineStr">
        <is>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is>
      </c>
      <c r="G654" s="5" t="inlineStr">
        <is>
          <t>Conference paper</t>
        </is>
      </c>
      <c r="H654" s="5" t="inlineStr">
        <is>
          <t>10.1007/978-3-032-29237-7_31</t>
        </is>
      </c>
      <c r="I654" s="5" t="n"/>
      <c r="J654" s="3" t="n"/>
    </row>
    <row r="655" ht="228" customHeight="1" s="18">
      <c r="A655" s="5" t="inlineStr">
        <is>
          <t>S2-0649</t>
        </is>
      </c>
      <c r="B655" s="5" t="inlineStr">
        <is>
          <t>B-i</t>
        </is>
      </c>
      <c r="C655" s="3" t="inlineStr">
        <is>
          <t>Visalli, M.; Mahieu, B.</t>
        </is>
      </c>
      <c r="D655" s="6" t="n">
        <v>2026</v>
      </c>
      <c r="E655" s="3" t="inlineStr">
        <is>
          <t>Characterizing and comparing sensory and hedonic characteristics of products through free-comment responses to open-ended questions</t>
        </is>
      </c>
      <c r="F655" s="3" t="inlineStr">
        <is>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is>
      </c>
      <c r="G655" s="5" t="inlineStr">
        <is>
          <t>Journal article</t>
        </is>
      </c>
      <c r="H655" s="5" t="inlineStr">
        <is>
          <t>10.1016/b978-0-443-29139-5.00063-x</t>
        </is>
      </c>
      <c r="I655" s="5" t="n"/>
      <c r="J655" s="3" t="n"/>
    </row>
    <row r="656" ht="270.75" customHeight="1" s="18">
      <c r="A656" s="5" t="inlineStr">
        <is>
          <t>S2-0650</t>
        </is>
      </c>
      <c r="B656" s="5" t="inlineStr">
        <is>
          <t>B-i</t>
        </is>
      </c>
      <c r="C656" s="3" t="inlineStr">
        <is>
          <t>Zephaniah, C.; Karunambikai, R.</t>
        </is>
      </c>
      <c r="D656" s="6" t="n">
        <v>2026</v>
      </c>
      <c r="E656" s="3" t="inlineStr">
        <is>
          <t>Enhancing Toxic Comment Classification using an Active Learning-based DistilBERT-SVM Framework</t>
        </is>
      </c>
      <c r="F656" s="3" t="inlineStr">
        <is>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is>
      </c>
      <c r="G656" s="5" t="inlineStr">
        <is>
          <t>Conference paper</t>
        </is>
      </c>
      <c r="H656" s="5" t="inlineStr">
        <is>
          <t>10.1109/icici68773.2026.11580921</t>
        </is>
      </c>
      <c r="I656" s="5" t="n"/>
      <c r="J656" s="3" t="n"/>
    </row>
    <row r="657" ht="228" customHeight="1" s="18">
      <c r="A657" s="5" t="inlineStr">
        <is>
          <t>S2-0651</t>
        </is>
      </c>
      <c r="B657" s="5" t="inlineStr">
        <is>
          <t>B-i</t>
        </is>
      </c>
      <c r="C657" s="3" t="inlineStr">
        <is>
          <t>Liu, J.; Su, Y.; Seth, P.</t>
        </is>
      </c>
      <c r="D657" s="6" t="n">
        <v>2025</v>
      </c>
      <c r="E657" s="3" t="inlineStr">
        <is>
          <t>Can Large Language Models Grasp Abstract Visual Concepts in Videos? A Case Study on YouTube Shorts about Depression</t>
        </is>
      </c>
      <c r="F657" s="3" t="inlineStr">
        <is>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is>
      </c>
      <c r="G657" s="5" t="inlineStr">
        <is>
          <t>Conference paper</t>
        </is>
      </c>
      <c r="H657" s="5" t="inlineStr">
        <is>
          <t>10.1145/3706599.3719821</t>
        </is>
      </c>
      <c r="I657" s="5" t="n"/>
      <c r="J657" s="3" t="n"/>
    </row>
    <row r="658" ht="409.5" customHeight="1" s="18">
      <c r="A658" s="5" t="inlineStr">
        <is>
          <t>S2-0652</t>
        </is>
      </c>
      <c r="B658" s="5" t="inlineStr">
        <is>
          <t>B-i</t>
        </is>
      </c>
      <c r="C658" s="3" t="inlineStr">
        <is>
          <t>Ribeiro, R.; Zutshi, A.</t>
        </is>
      </c>
      <c r="D658" s="6" t="n">
        <v>2026</v>
      </c>
      <c r="E658" s="3" t="inlineStr">
        <is>
          <t>Self-Reported Health Outcomes in Metabolic Health YouTube Comments: Cross-Sectional Study and Rule-Based Natural Language Processing Framework Development and Validation</t>
        </is>
      </c>
      <c r="F658" s="3" t="inlineStr">
        <is>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is>
      </c>
      <c r="G658" s="5" t="inlineStr">
        <is>
          <t>Journal article</t>
        </is>
      </c>
      <c r="H658" s="5" t="inlineStr">
        <is>
          <t>10.2196/94855</t>
        </is>
      </c>
      <c r="I658" s="5" t="n"/>
      <c r="J658" s="3" t="n"/>
    </row>
    <row r="659" ht="228" customHeight="1" s="18">
      <c r="A659" s="5" t="inlineStr">
        <is>
          <t>S2-0653</t>
        </is>
      </c>
      <c r="B659" s="5" t="inlineStr">
        <is>
          <t>B-i</t>
        </is>
      </c>
      <c r="C659" s="3" t="inlineStr">
        <is>
          <t>Allam, N.; Biragnet, P.; Jaulent, M.-C.; Bousquet, C.</t>
        </is>
      </c>
      <c r="D659" s="6" t="n">
        <v>2026</v>
      </c>
      <c r="E659" s="3" t="inlineStr">
        <is>
          <t>Generation of Training Data to Distinguish Adverse Events from Medical Conditions</t>
        </is>
      </c>
      <c r="F659" s="3" t="inlineStr">
        <is>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is>
      </c>
      <c r="G659" s="5" t="inlineStr">
        <is>
          <t>Conference paper</t>
        </is>
      </c>
      <c r="H659" s="5" t="inlineStr">
        <is>
          <t>10.3233/shti260299</t>
        </is>
      </c>
      <c r="I659" s="5" t="n"/>
      <c r="J659" s="3" t="n"/>
    </row>
    <row r="660" ht="356.25" customHeight="1" s="18">
      <c r="A660" s="5" t="inlineStr">
        <is>
          <t>S2-0654</t>
        </is>
      </c>
      <c r="B660" s="5" t="inlineStr">
        <is>
          <t>B-i</t>
        </is>
      </c>
      <c r="C660" s="3" t="inlineStr">
        <is>
          <t>Muthusami, R.; Saritha, K.; Rao, K.S.; Sugapriya, P.; Saveetha, G.</t>
        </is>
      </c>
      <c r="D660" s="6" t="n">
        <v>2025</v>
      </c>
      <c r="E660" s="3" t="inlineStr">
        <is>
          <t>Interpretable stance detection in social media via topic-guided transformers</t>
        </is>
      </c>
      <c r="F660" s="3" t="inlineStr">
        <is>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is>
      </c>
      <c r="G660" s="5" t="inlineStr">
        <is>
          <t>Journal article</t>
        </is>
      </c>
      <c r="H660" s="5" t="inlineStr">
        <is>
          <t>10.1007/s44163-025-00635-9</t>
        </is>
      </c>
      <c r="I660" s="5" t="n"/>
      <c r="J660" s="3" t="n"/>
    </row>
    <row r="661" ht="356.25" customHeight="1" s="18">
      <c r="A661" s="5" t="inlineStr">
        <is>
          <t>S2-0655</t>
        </is>
      </c>
      <c r="B661" s="5" t="inlineStr">
        <is>
          <t>B-i</t>
        </is>
      </c>
      <c r="C661" s="3" t="inlineStr">
        <is>
          <t>Parschan, P.; Jakob, C.</t>
        </is>
      </c>
      <c r="D661" s="6" t="n">
        <v>2026</v>
      </c>
      <c r="E661" s="3" t="inlineStr">
        <is>
          <t>Computational measurement of political positions: a review of text-based ideal point estimation algorithms</t>
        </is>
      </c>
      <c r="F661" s="3" t="inlineStr">
        <is>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is>
      </c>
      <c r="G661" s="5" t="inlineStr">
        <is>
          <t>Journal article</t>
        </is>
      </c>
      <c r="H661" s="5" t="inlineStr">
        <is>
          <t>10.1007/s11135-025-02500-4</t>
        </is>
      </c>
      <c r="I661" s="5" t="n"/>
      <c r="J661" s="3" t="n"/>
    </row>
    <row r="662" ht="327.75" customHeight="1" s="18">
      <c r="A662" s="5" t="inlineStr">
        <is>
          <t>S2-0656</t>
        </is>
      </c>
      <c r="B662" s="5" t="inlineStr">
        <is>
          <t>B-i</t>
        </is>
      </c>
      <c r="C662" s="3" t="inlineStr">
        <is>
          <t>Kakegawa, S.; Yamada, K.; Masuda, H.</t>
        </is>
      </c>
      <c r="D662" s="6" t="n">
        <v>2026</v>
      </c>
      <c r="E662" s="3" t="inlineStr">
        <is>
          <t>Personalized Emotion Analysis Using In-Context Learning</t>
        </is>
      </c>
      <c r="F662" s="3" t="inlineStr">
        <is>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is>
      </c>
      <c r="G662" s="5" t="inlineStr">
        <is>
          <t>Conference paper</t>
        </is>
      </c>
      <c r="H662" s="5" t="inlineStr">
        <is>
          <t>10.1109/sera69989.2026.11618661</t>
        </is>
      </c>
      <c r="I662" s="5" t="n"/>
      <c r="J662" s="3" t="n"/>
    </row>
    <row r="663" ht="356.25" customHeight="1" s="18">
      <c r="A663" s="5" t="inlineStr">
        <is>
          <t>S2-0657</t>
        </is>
      </c>
      <c r="B663" s="5" t="inlineStr">
        <is>
          <t>B-i</t>
        </is>
      </c>
      <c r="C663" s="3" t="inlineStr">
        <is>
          <t>Wang, H.; Liu, S.; Xie, N.</t>
        </is>
      </c>
      <c r="D663" s="6" t="n">
        <v>2026</v>
      </c>
      <c r="E663" s="3" t="inlineStr">
        <is>
          <t>Few-Shot Multimodal Sentiment Analysis Based on Dynamic Adjustment and Contrastive Learning</t>
        </is>
      </c>
      <c r="F663" s="3" t="inlineStr">
        <is>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is>
      </c>
      <c r="G663" s="5" t="inlineStr">
        <is>
          <t>Journal article</t>
        </is>
      </c>
      <c r="H663" s="5" t="inlineStr">
        <is>
          <t>10.20965/jaciii.2026.p0472</t>
        </is>
      </c>
      <c r="I663" s="5" t="n"/>
      <c r="J663" s="3" t="n"/>
    </row>
    <row r="664" ht="384.75" customHeight="1" s="18">
      <c r="A664" s="5" t="inlineStr">
        <is>
          <t>S2-0658</t>
        </is>
      </c>
      <c r="B664" s="5" t="inlineStr">
        <is>
          <t>B-i</t>
        </is>
      </c>
      <c r="C664" s="3" t="inlineStr">
        <is>
          <t>Bai, Z.; Wu, Y.; Kang, X.; Kong, X.; Zhang, J.</t>
        </is>
      </c>
      <c r="D664" s="6" t="n">
        <v>2026</v>
      </c>
      <c r="E664" s="3" t="inlineStr">
        <is>
          <t>Using LLMs for the multidimensional perception assessment of recreation and leisure spaces: a case study of Hangzhou, China</t>
        </is>
      </c>
      <c r="F664" s="3" t="inlineStr">
        <is>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is>
      </c>
      <c r="G664" s="5" t="inlineStr">
        <is>
          <t>Journal article</t>
        </is>
      </c>
      <c r="H664" s="5" t="inlineStr">
        <is>
          <t>10.1007/s43762-026-00240-1</t>
        </is>
      </c>
      <c r="I664" s="5" t="n"/>
      <c r="J664" s="3" t="n"/>
    </row>
    <row r="665" ht="242.25" customHeight="1" s="18">
      <c r="A665" s="5" t="inlineStr">
        <is>
          <t>S2-0659</t>
        </is>
      </c>
      <c r="B665" s="5" t="inlineStr">
        <is>
          <t>B-i</t>
        </is>
      </c>
      <c r="C665" s="3" t="inlineStr">
        <is>
          <t>Ding, W.; Bhuiyan, H.</t>
        </is>
      </c>
      <c r="D665" s="6" t="n">
        <v>2027</v>
      </c>
      <c r="E665" s="3" t="inlineStr">
        <is>
          <t>WeiboDRP: Sentiment Analysis on Chinese Social Media with Multi-Level Comment Structures</t>
        </is>
      </c>
      <c r="F665" s="3" t="inlineStr">
        <is>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is>
      </c>
      <c r="G665" s="5" t="inlineStr">
        <is>
          <t>Conference paper</t>
        </is>
      </c>
      <c r="H665" s="5" t="inlineStr">
        <is>
          <t>10.1007/978-981-92-2014-4_4</t>
        </is>
      </c>
      <c r="I665" s="5" t="n"/>
      <c r="J665" s="3" t="n"/>
    </row>
    <row r="666" ht="285" customHeight="1" s="18">
      <c r="A666" s="5" t="inlineStr">
        <is>
          <t>S2-0660</t>
        </is>
      </c>
      <c r="B666" s="5" t="inlineStr">
        <is>
          <t>B-i</t>
        </is>
      </c>
      <c r="C666" s="3" t="inlineStr">
        <is>
          <t>Shifa, A.; Md. Nawaz Ali, G.G.; Henricks, D.</t>
        </is>
      </c>
      <c r="D666" s="6" t="n">
        <v>2026</v>
      </c>
      <c r="E666" s="3" t="inlineStr">
        <is>
          <t>Bridging Lexical and Contextual Semantics for Adolescents' Health Sentiment Analysis: A Cross-Platform Study Using Large Language Models</t>
        </is>
      </c>
      <c r="F666" s="3" t="inlineStr">
        <is>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is>
      </c>
      <c r="G666" s="5" t="inlineStr">
        <is>
          <t>Conference paper</t>
        </is>
      </c>
      <c r="H666" s="5" t="inlineStr">
        <is>
          <t>10.1109/icsc67292.2026.00060</t>
        </is>
      </c>
      <c r="I666" s="5" t="n"/>
      <c r="J666" s="3" t="n"/>
    </row>
    <row r="667" ht="285" customHeight="1" s="18">
      <c r="A667" s="5" t="inlineStr">
        <is>
          <t>S2-0661</t>
        </is>
      </c>
      <c r="B667" s="5" t="inlineStr">
        <is>
          <t>B-i</t>
        </is>
      </c>
      <c r="C667" s="3" t="inlineStr">
        <is>
          <t>Baberwal, S.K.; Shelke, N.A.; Anwar, K.</t>
        </is>
      </c>
      <c r="D667" s="6" t="n">
        <v>2025</v>
      </c>
      <c r="E667" s="3" t="inlineStr">
        <is>
          <t>Systematic review of recent advances in multimodal sentiment analysis</t>
        </is>
      </c>
      <c r="F667" s="3" t="inlineStr">
        <is>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is>
      </c>
      <c r="G667" s="5" t="inlineStr">
        <is>
          <t>Journal article</t>
        </is>
      </c>
      <c r="H667" s="5" t="inlineStr">
        <is>
          <t>10.1007/s10791-025-09727-7</t>
        </is>
      </c>
      <c r="I667" s="5" t="n"/>
      <c r="J667" s="3" t="n"/>
    </row>
    <row r="668" ht="409.5" customHeight="1" s="18">
      <c r="A668" s="5" t="inlineStr">
        <is>
          <t>S2-0662</t>
        </is>
      </c>
      <c r="B668" s="5" t="inlineStr">
        <is>
          <t>B-i</t>
        </is>
      </c>
      <c r="C668" s="3" t="inlineStr">
        <is>
          <t>Andrey, F.; Igor, D.; Ivan, V.</t>
        </is>
      </c>
      <c r="D668" s="6" t="n">
        <v>2025</v>
      </c>
      <c r="E668" s="3" t="inlineStr">
        <is>
          <t>THE METHOD FOR INTEGRATING LARGE LANGUAGE MODELS INTO ALGORITHMS FOR FOCUSED MONITORING OF OPEN SOCIAL MEDIA DATA</t>
        </is>
      </c>
      <c r="F668" s="3" t="inlineStr">
        <is>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is>
      </c>
      <c r="G668" s="5" t="inlineStr">
        <is>
          <t>Journal article</t>
        </is>
      </c>
      <c r="H668" s="5" t="inlineStr">
        <is>
          <t>10.15622/ia.24.6.4</t>
        </is>
      </c>
      <c r="I668" s="5" t="n"/>
      <c r="J668" s="3" t="n"/>
    </row>
    <row r="669" ht="270.75" customHeight="1" s="18">
      <c r="A669" s="5" t="inlineStr">
        <is>
          <t>S2-0663</t>
        </is>
      </c>
      <c r="B669" s="5" t="inlineStr">
        <is>
          <t>B-i</t>
        </is>
      </c>
      <c r="C669" s="3" t="inlineStr">
        <is>
          <t>Andrade-Segarra, D.A.; Santillán-Lima, J.C.; Duque-Vaca, M.; Molina-Granja, F.T.</t>
        </is>
      </c>
      <c r="D669" s="6" t="n">
        <v>2026</v>
      </c>
      <c r="E669" s="3" t="inlineStr">
        <is>
          <t>Advances in Deep Learning for Affective Intelligence: Language Models, Multimodal Trends, and Research Frontiers</t>
        </is>
      </c>
      <c r="F669" s="3" t="inlineStr">
        <is>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is>
      </c>
      <c r="G669" s="5" t="inlineStr">
        <is>
          <t>Journal article</t>
        </is>
      </c>
      <c r="H669" s="5" t="inlineStr">
        <is>
          <t>10.14569/ijacsa.2026.0170145</t>
        </is>
      </c>
      <c r="I669" s="5" t="n"/>
      <c r="J669" s="3" t="n"/>
    </row>
    <row r="670" ht="213.75" customHeight="1" s="18">
      <c r="A670" s="5" t="inlineStr">
        <is>
          <t>S2-0664</t>
        </is>
      </c>
      <c r="B670" s="5" t="inlineStr">
        <is>
          <t>B-i</t>
        </is>
      </c>
      <c r="C670" s="3" t="inlineStr">
        <is>
          <t>Kulyabin, M.; Joosten, J.; Ulan uulu, C.; Martins Pacheco, N.M.; Ries, F.; Petridis, F.; Bosch, J.; Olsson, H.H.</t>
        </is>
      </c>
      <c r="D670" s="6" t="n">
        <v>2026</v>
      </c>
      <c r="E670" s="3" t="inlineStr">
        <is>
          <t>User eXperience Perception Insights Dataset (UXPID): Synthetic User Feedback from Public Industrial Forums</t>
        </is>
      </c>
      <c r="F670" s="3" t="inlineStr">
        <is>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is>
      </c>
      <c r="G670" s="5" t="inlineStr">
        <is>
          <t>Journal article</t>
        </is>
      </c>
      <c r="H670" s="5" t="inlineStr">
        <is>
          <t>10.1038/s41597-026-07253-9</t>
        </is>
      </c>
      <c r="I670" s="5" t="n"/>
      <c r="J670" s="3" t="n"/>
    </row>
    <row r="671" ht="213.75" customHeight="1" s="18">
      <c r="A671" s="5" t="inlineStr">
        <is>
          <t>S2-0665</t>
        </is>
      </c>
      <c r="B671" s="5" t="inlineStr">
        <is>
          <t>B-i</t>
        </is>
      </c>
      <c r="C671" s="3" t="inlineStr">
        <is>
          <t>Palivela, L.H.; Athinarapu, S.; Basireddy, G.R.; Teja, T.V.K.</t>
        </is>
      </c>
      <c r="D671" s="6" t="n">
        <v>2026</v>
      </c>
      <c r="E671" s="3" t="inlineStr">
        <is>
          <t>Real-Time Financial Sentiment Extraction Using Large Language Model (LLM) Architectures</t>
        </is>
      </c>
      <c r="F671" s="3" t="inlineStr">
        <is>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is>
      </c>
      <c r="G671" s="5" t="inlineStr">
        <is>
          <t>Journal article</t>
        </is>
      </c>
      <c r="H671" s="5" t="inlineStr">
        <is>
          <t>10.4018/979-8-3693-6690-5.ch006</t>
        </is>
      </c>
      <c r="I671" s="5" t="n"/>
      <c r="J671" s="3" t="n"/>
    </row>
    <row r="672" ht="370.5" customHeight="1" s="18">
      <c r="A672" s="5" t="inlineStr">
        <is>
          <t>S2-0666</t>
        </is>
      </c>
      <c r="B672" s="5" t="inlineStr">
        <is>
          <t>B-i</t>
        </is>
      </c>
      <c r="C672" s="3" t="inlineStr">
        <is>
          <t>Kastrati, M.; Manaf, A.; Imran, A.S.; Kastrati, Z.; Daudpota, S.M.; Biba, M.</t>
        </is>
      </c>
      <c r="D672" s="6" t="n">
        <v>2026</v>
      </c>
      <c r="E672" s="3" t="inlineStr">
        <is>
          <t>Do language families matter? Evaluating LLMs for sentiment analysis through a hierarchical cross-lingual lens</t>
        </is>
      </c>
      <c r="F672" s="3" t="inlineStr">
        <is>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is>
      </c>
      <c r="G672" s="5" t="inlineStr">
        <is>
          <t>Journal article</t>
        </is>
      </c>
      <c r="H672" s="5" t="inlineStr">
        <is>
          <t>10.3389/frai.2026.1854873</t>
        </is>
      </c>
      <c r="I672" s="5" t="n"/>
      <c r="J672" s="3" t="n"/>
    </row>
    <row r="673" ht="356.25" customHeight="1" s="18">
      <c r="A673" s="5" t="inlineStr">
        <is>
          <t>S2-0667</t>
        </is>
      </c>
      <c r="B673" s="5" t="inlineStr">
        <is>
          <t>B-i</t>
        </is>
      </c>
      <c r="C673" s="3" t="inlineStr">
        <is>
          <t>Rama, S.; Mythili, R.</t>
        </is>
      </c>
      <c r="D673" s="6" t="n">
        <v>2026</v>
      </c>
      <c r="E673" s="3" t="inlineStr">
        <is>
          <t>INTEGRATING SEMI-SUPERVISED LEARNING AND TRANSFORMER MODELS FOR OFFENSIVE LANGUAGE DETECTION IN ENGLISH–TAMIL CODE-MIXED SOCIAL MEDIA</t>
        </is>
      </c>
      <c r="F673" s="3" t="inlineStr">
        <is>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is>
      </c>
      <c r="G673" s="5" t="inlineStr">
        <is>
          <t>Journal article</t>
        </is>
      </c>
      <c r="H673" s="5" t="inlineStr">
        <is>
          <t>10.5281/zenodo.18258611</t>
        </is>
      </c>
      <c r="I673" s="5" t="n"/>
      <c r="J673" s="3" t="n"/>
    </row>
    <row r="674" ht="313.5" customHeight="1" s="18">
      <c r="A674" s="5" t="inlineStr">
        <is>
          <t>S2-0668</t>
        </is>
      </c>
      <c r="B674" s="5" t="inlineStr">
        <is>
          <t>B-i</t>
        </is>
      </c>
      <c r="C674" s="3" t="inlineStr">
        <is>
          <t>Mabokela, K.R.; Primus, M.; Celik, T.</t>
        </is>
      </c>
      <c r="D674" s="6" t="n">
        <v>2025</v>
      </c>
      <c r="E674" s="3" t="inlineStr">
        <is>
          <t>Advancing sentiment analysis for low-resourced african languages using pre-trained language models</t>
        </is>
      </c>
      <c r="F674" s="3" t="inlineStr">
        <is>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is>
      </c>
      <c r="G674" s="5" t="inlineStr">
        <is>
          <t>Journal article</t>
        </is>
      </c>
      <c r="H674" s="5" t="inlineStr">
        <is>
          <t>10.1371/journal.pone.0325102</t>
        </is>
      </c>
      <c r="I674" s="5" t="n"/>
      <c r="J674" s="3" t="n"/>
    </row>
    <row r="675" ht="384.75" customHeight="1" s="18">
      <c r="A675" s="5" t="inlineStr">
        <is>
          <t>S2-0669</t>
        </is>
      </c>
      <c r="B675" s="5" t="inlineStr">
        <is>
          <t>B-i</t>
        </is>
      </c>
      <c r="C675" s="3" t="inlineStr">
        <is>
          <t>Ceni, A.; Kika, A.</t>
        </is>
      </c>
      <c r="D675" s="6" t="n">
        <v>2026</v>
      </c>
      <c r="E675" s="3" t="inlineStr">
        <is>
          <t>Intent-Driven GraphRAG for LLM-Based Analysis of Online Conversations</t>
        </is>
      </c>
      <c r="F675" s="3" t="inlineStr">
        <is>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is>
      </c>
      <c r="G675" s="5" t="inlineStr">
        <is>
          <t>Conference paper</t>
        </is>
      </c>
      <c r="H675" s="5" t="inlineStr">
        <is>
          <t>10.1109/ecai69016.2026.11613653</t>
        </is>
      </c>
      <c r="I675" s="5" t="n"/>
      <c r="J675" s="3" t="n"/>
    </row>
    <row r="676" ht="242.25" customHeight="1" s="18">
      <c r="A676" s="5" t="inlineStr">
        <is>
          <t>S2-0670</t>
        </is>
      </c>
      <c r="B676" s="5" t="inlineStr">
        <is>
          <t>B-i</t>
        </is>
      </c>
      <c r="C676" s="3" t="inlineStr">
        <is>
          <t>Wali, A.; Alahmadi, A.; Aljohani, A.; Alharbi, A.</t>
        </is>
      </c>
      <c r="D676" s="6" t="n">
        <v>2026</v>
      </c>
      <c r="E676" s="3" t="inlineStr">
        <is>
          <t>Evaluating Arabic Sentiment Analysis With GPT-4o: A Comparative Study of Raw and Preprocessed Text</t>
        </is>
      </c>
      <c r="F676" s="3" t="inlineStr">
        <is>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is>
      </c>
      <c r="G676" s="5" t="inlineStr">
        <is>
          <t>Journal article</t>
        </is>
      </c>
      <c r="H676" s="5" t="inlineStr">
        <is>
          <t>10.4018/jcit.402749</t>
        </is>
      </c>
      <c r="I676" s="5" t="n"/>
      <c r="J676" s="3" t="n"/>
    </row>
    <row r="677" ht="228" customHeight="1" s="18">
      <c r="A677" s="5" t="inlineStr">
        <is>
          <t>S2-0671</t>
        </is>
      </c>
      <c r="B677" s="5" t="inlineStr">
        <is>
          <t>B-i</t>
        </is>
      </c>
      <c r="C677" s="3" t="inlineStr">
        <is>
          <t>Buder, C.; Fritsch, N.-S.; Osorio-Krauter, C.; Philipp, A.; Verwiebe, R.; Weißmann, S.</t>
        </is>
      </c>
      <c r="D677" s="6" t="n">
        <v>2026</v>
      </c>
      <c r="E677" s="3" t="inlineStr">
        <is>
          <t>Efficiency vs. understanding: a critical examination of ChatGPT’s performance in context-sensitive annotation tasks</t>
        </is>
      </c>
      <c r="F677" s="3" t="inlineStr">
        <is>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is>
      </c>
      <c r="G677" s="5" t="inlineStr">
        <is>
          <t>Journal article</t>
        </is>
      </c>
      <c r="H677" s="5" t="inlineStr">
        <is>
          <t>10.1080/00207659.2026.2661167</t>
        </is>
      </c>
      <c r="I677" s="5" t="n"/>
      <c r="J677" s="3" t="n"/>
    </row>
    <row r="678" ht="270.75" customHeight="1" s="18">
      <c r="A678" s="5" t="inlineStr">
        <is>
          <t>S2-0672</t>
        </is>
      </c>
      <c r="B678" s="5" t="inlineStr">
        <is>
          <t>B-i</t>
        </is>
      </c>
      <c r="C678" s="3" t="inlineStr">
        <is>
          <t>Mohanasundari, M.; Boopathy, S.S.; Kotteeswari, C.; Manikandan, M.; Aswin, K.S.; Kishore, S.</t>
        </is>
      </c>
      <c r="D678" s="6" t="n">
        <v>2026</v>
      </c>
      <c r="E678" s="3" t="inlineStr">
        <is>
          <t>A Multi-Model Deep Learning Framework for Hate Speech Detection in Code-Mixed Low-Resource Languages</t>
        </is>
      </c>
      <c r="F678" s="3" t="inlineStr">
        <is>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is>
      </c>
      <c r="G678" s="5" t="inlineStr">
        <is>
          <t>Conference paper</t>
        </is>
      </c>
      <c r="H678" s="5" t="inlineStr">
        <is>
          <t>10.1109/icaiss68683.2026.11526308</t>
        </is>
      </c>
      <c r="I678" s="5" t="n"/>
      <c r="J678" s="3" t="n"/>
    </row>
    <row r="679" ht="370.5" customHeight="1" s="18">
      <c r="A679" s="5" t="inlineStr">
        <is>
          <t>S2-0673</t>
        </is>
      </c>
      <c r="B679" s="5" t="inlineStr">
        <is>
          <t>B-i</t>
        </is>
      </c>
      <c r="C679" s="3" t="inlineStr">
        <is>
          <t>Che, S.; Miller, L.; Wang, Z.</t>
        </is>
      </c>
      <c r="D679" s="6" t="n">
        <v>2025</v>
      </c>
      <c r="E679" s="3" t="inlineStr">
        <is>
          <t>Exploring Chinese Youths’ Focus and Sentimental Tendencies toward Different Extreme Weather Events: A BERTopic and Zero-Shot GPT-4o-Mini Analysis</t>
        </is>
      </c>
      <c r="F679" s="3" t="inlineStr">
        <is>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is>
      </c>
      <c r="G679" s="5" t="inlineStr">
        <is>
          <t>Journal article</t>
        </is>
      </c>
      <c r="H679" s="5" t="inlineStr">
        <is>
          <t>10.1175/wcas-d-25-0016.1</t>
        </is>
      </c>
      <c r="I679" s="5" t="n"/>
      <c r="J679" s="3" t="n"/>
    </row>
    <row r="680" ht="299.25" customHeight="1" s="18">
      <c r="A680" s="5" t="inlineStr">
        <is>
          <t>S2-0674</t>
        </is>
      </c>
      <c r="B680" s="5" t="inlineStr">
        <is>
          <t>B-i</t>
        </is>
      </c>
      <c r="C680" s="3" t="inlineStr">
        <is>
          <t>Walji, K.; Erraissi, A.; ZAKRANI, A.; Banane, M.</t>
        </is>
      </c>
      <c r="D680" s="6" t="n">
        <v>2025</v>
      </c>
      <c r="E680" s="3" t="inlineStr">
        <is>
          <t>From Review to Practice: A Comparative Study and Decision-Support Framework for Sentiment Classification Models</t>
        </is>
      </c>
      <c r="F680" s="3" t="inlineStr">
        <is>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is>
      </c>
      <c r="G680" s="5" t="inlineStr">
        <is>
          <t>Journal article</t>
        </is>
      </c>
      <c r="H680" s="5" t="inlineStr">
        <is>
          <t>10.14569/ijacsa.2025.0160967</t>
        </is>
      </c>
      <c r="I680" s="5" t="n"/>
      <c r="J680" s="3" t="n"/>
    </row>
    <row r="681" ht="299.25" customHeight="1" s="18">
      <c r="A681" s="5" t="inlineStr">
        <is>
          <t>S2-0675</t>
        </is>
      </c>
      <c r="B681" s="5" t="inlineStr">
        <is>
          <t>B-i</t>
        </is>
      </c>
      <c r="C681" s="3" t="inlineStr">
        <is>
          <t>Rathore, B.S.; Chaurasia, S.</t>
        </is>
      </c>
      <c r="D681" s="6" t="n">
        <v>2025</v>
      </c>
      <c r="E681" s="3" t="inlineStr">
        <is>
          <t>Fine tuning large language models for hate speech detection in Hinglish and code mixed custom dataset through a socially responsible approach for safer digital platforms</t>
        </is>
      </c>
      <c r="F681" s="3" t="inlineStr">
        <is>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is>
      </c>
      <c r="G681" s="5" t="inlineStr">
        <is>
          <t>Journal article</t>
        </is>
      </c>
      <c r="H681" s="5" t="inlineStr">
        <is>
          <t>10.1007/s43621-025-02190-w</t>
        </is>
      </c>
      <c r="I681" s="5" t="n"/>
      <c r="J681" s="3" t="n"/>
    </row>
    <row r="682" ht="285" customHeight="1" s="18">
      <c r="A682" s="5" t="inlineStr">
        <is>
          <t>S2-0676</t>
        </is>
      </c>
      <c r="B682" s="5" t="inlineStr">
        <is>
          <t>B-i</t>
        </is>
      </c>
      <c r="C682" s="3" t="inlineStr">
        <is>
          <t>Alsmadi, D.; Prybutok, V.</t>
        </is>
      </c>
      <c r="D682" s="6" t="n">
        <v>2026</v>
      </c>
      <c r="E682" s="3" t="inlineStr">
        <is>
          <t>From manual to AI: A systematic review of methodological evolution in social media content analysis</t>
        </is>
      </c>
      <c r="F682" s="3" t="inlineStr">
        <is>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is>
      </c>
      <c r="G682" s="5" t="inlineStr">
        <is>
          <t>Conference paper</t>
        </is>
      </c>
      <c r="H682" s="5" t="inlineStr">
        <is>
          <t>10.1109/icciaa68481.2026.11544000</t>
        </is>
      </c>
      <c r="I682" s="5" t="n"/>
      <c r="J682" s="3" t="n"/>
    </row>
    <row r="683" ht="199.5" customHeight="1" s="18">
      <c r="A683" s="5" t="inlineStr">
        <is>
          <t>S2-0677</t>
        </is>
      </c>
      <c r="B683" s="5" t="inlineStr">
        <is>
          <t>B-i</t>
        </is>
      </c>
      <c r="C683" s="3" t="inlineStr">
        <is>
          <t>Plisiecki, H.; Koc, P.; Flakus, M.; Pokropek, A.</t>
        </is>
      </c>
      <c r="D683" s="6" t="n">
        <v>2025</v>
      </c>
      <c r="E683" s="3" t="inlineStr">
        <is>
          <t>Predicting emotion intensity in Polish political texts: comparing supervised models and large language models in a low-resource language</t>
        </is>
      </c>
      <c r="F683" s="3" t="inlineStr">
        <is>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is>
      </c>
      <c r="G683" s="5" t="inlineStr">
        <is>
          <t>Journal article</t>
        </is>
      </c>
      <c r="H683" s="5" t="inlineStr">
        <is>
          <t>10.1007/s11135-025-02116-8</t>
        </is>
      </c>
      <c r="I683" s="5" t="n"/>
      <c r="J683" s="3" t="n"/>
    </row>
    <row r="684" ht="213.75" customHeight="1" s="18">
      <c r="A684" s="5" t="inlineStr">
        <is>
          <t>S2-0678</t>
        </is>
      </c>
      <c r="B684" s="5" t="inlineStr">
        <is>
          <t>B-i</t>
        </is>
      </c>
      <c r="C684" s="3" t="inlineStr">
        <is>
          <t>Orama, J.A.; Juvillà Garcia, M.; Melero, M.</t>
        </is>
      </c>
      <c r="D684" s="6" t="n">
        <v>2025</v>
      </c>
      <c r="E684" s="3" t="inlineStr">
        <is>
          <t>Evaluating Instruction-Tuned Large Language Models for Automatic Annotation of Multilingual Climate Disaster-Related Social Media Messages</t>
        </is>
      </c>
      <c r="F684" s="3" t="inlineStr">
        <is>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is>
      </c>
      <c r="G684" s="5" t="inlineStr">
        <is>
          <t>Conference paper</t>
        </is>
      </c>
      <c r="H684" s="5" t="inlineStr">
        <is>
          <t>10.3233/faia250578</t>
        </is>
      </c>
      <c r="I684" s="5" t="n"/>
      <c r="J684" s="3" t="n"/>
    </row>
    <row r="685" ht="242.25" customHeight="1" s="18">
      <c r="A685" s="5" t="inlineStr">
        <is>
          <t>S2-0679</t>
        </is>
      </c>
      <c r="B685" s="5" t="inlineStr">
        <is>
          <t>B-i</t>
        </is>
      </c>
      <c r="C685" s="3" t="inlineStr">
        <is>
          <t>Ghosh, K.; Saha, S.; Mandl, T.; Modha, S.</t>
        </is>
      </c>
      <c r="D685" s="6" t="n">
        <v>2026</v>
      </c>
      <c r="E685" s="3" t="inlineStr">
        <is>
          <t>Findings from shared tasks on hate speech detection: Performance patterns for low-resource languages</t>
        </is>
      </c>
      <c r="F685" s="3" t="inlineStr">
        <is>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is>
      </c>
      <c r="G685" s="5" t="inlineStr">
        <is>
          <t>Journal article</t>
        </is>
      </c>
      <c r="H685" s="5" t="inlineStr">
        <is>
          <t>10.1016/j.patrec.2025.09.004</t>
        </is>
      </c>
      <c r="I685" s="5" t="n"/>
      <c r="J685" s="3" t="n"/>
    </row>
    <row r="686" ht="327.75" customHeight="1" s="18">
      <c r="A686" s="5" t="inlineStr">
        <is>
          <t>S2-0680</t>
        </is>
      </c>
      <c r="B686" s="5" t="inlineStr">
        <is>
          <t>B-i</t>
        </is>
      </c>
      <c r="C686" s="3" t="inlineStr">
        <is>
          <t>Peng, G.; Wang, X.; Zhang, R.; Liu, Y.; Yao, J.; Li, J.; Wu, J.</t>
        </is>
      </c>
      <c r="D686" s="6" t="n">
        <v>2026</v>
      </c>
      <c r="E686" s="3" t="inlineStr">
        <is>
          <t>TaSC-LLM: A Large Language Model–Enabled Business Intelligence Framework for Topic Analytics in Live-Streaming E-Commerce Systems</t>
        </is>
      </c>
      <c r="F686" s="3" t="inlineStr">
        <is>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is>
      </c>
      <c r="G686" s="5" t="inlineStr">
        <is>
          <t>Journal article</t>
        </is>
      </c>
      <c r="H686" s="5" t="inlineStr">
        <is>
          <t>10.3390/systems14080941</t>
        </is>
      </c>
      <c r="I686" s="5" t="n"/>
      <c r="J686" s="3" t="n"/>
    </row>
    <row r="687" ht="270.75" customHeight="1" s="18">
      <c r="A687" s="5" t="inlineStr">
        <is>
          <t>S2-0681</t>
        </is>
      </c>
      <c r="B687" s="5" t="inlineStr">
        <is>
          <t>B-i</t>
        </is>
      </c>
      <c r="C687" s="3" t="inlineStr">
        <is>
          <t>AlShenaifi, N.; Alangari, N.</t>
        </is>
      </c>
      <c r="D687" s="6" t="n">
        <v>2026</v>
      </c>
      <c r="E687" s="3" t="inlineStr">
        <is>
          <t>Beyond text: Multimodal stance detection in Arabic tweets</t>
        </is>
      </c>
      <c r="F687" s="3" t="inlineStr">
        <is>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is>
      </c>
      <c r="G687" s="5" t="inlineStr">
        <is>
          <t>Journal article</t>
        </is>
      </c>
      <c r="H687" s="5" t="inlineStr">
        <is>
          <t>10.1016/j.mlwa.2025.100823</t>
        </is>
      </c>
      <c r="I687" s="5" t="n"/>
      <c r="J687" s="3" t="n"/>
    </row>
    <row r="688" ht="213.75" customHeight="1" s="18">
      <c r="A688" s="5" t="inlineStr">
        <is>
          <t>S2-0682</t>
        </is>
      </c>
      <c r="B688" s="5" t="inlineStr">
        <is>
          <t>B-i</t>
        </is>
      </c>
      <c r="C688" s="3" t="inlineStr">
        <is>
          <t>Limseesawan, K.; Netisopakul, P.; Chotipant, S.; Voravuthikunchai, W.; Sirivorachodphokin, T.</t>
        </is>
      </c>
      <c r="D688" s="6" t="n">
        <v>2026</v>
      </c>
      <c r="E688" s="3" t="inlineStr">
        <is>
          <t>Application of Large Language Models for Aspect-Based Sentiment Analysis on Social Media Data: A Case Study of the Thai Telecommunications Industry</t>
        </is>
      </c>
      <c r="F688" s="3" t="inlineStr">
        <is>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is>
      </c>
      <c r="G688" s="5" t="inlineStr">
        <is>
          <t>Conference paper</t>
        </is>
      </c>
      <c r="H688" s="5" t="inlineStr">
        <is>
          <t>10.1109/jcsse68839.2026.11596913</t>
        </is>
      </c>
      <c r="I688" s="5" t="n"/>
      <c r="J688" s="3" t="n"/>
    </row>
    <row r="689" ht="228" customHeight="1" s="18">
      <c r="A689" s="5" t="inlineStr">
        <is>
          <t>S2-0683</t>
        </is>
      </c>
      <c r="B689" s="5" t="inlineStr">
        <is>
          <t>B-i</t>
        </is>
      </c>
      <c r="C689" s="3" t="inlineStr">
        <is>
          <t>Shobana, T.S.; Rashmi, K.B.; Rajatha, A.N.; Rohit, A.N.; Namitha, S.</t>
        </is>
      </c>
      <c r="D689" s="6" t="n">
        <v>2026</v>
      </c>
      <c r="E689" s="3" t="inlineStr">
        <is>
          <t>A Comparative Study of Three Sentiment Classification Models for Romanized Kannada Using Stacking Ensembles</t>
        </is>
      </c>
      <c r="F689" s="3" t="inlineStr">
        <is>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is>
      </c>
      <c r="G689" s="5" t="inlineStr">
        <is>
          <t>Conference paper</t>
        </is>
      </c>
      <c r="H689" s="5" t="inlineStr">
        <is>
          <t>10.1109/icsadl67539.2026.11451983</t>
        </is>
      </c>
      <c r="I689" s="5" t="n"/>
      <c r="J689" s="3" t="n"/>
    </row>
    <row r="690" ht="313.5" customHeight="1" s="18">
      <c r="A690" s="5" t="inlineStr">
        <is>
          <t>S2-0684</t>
        </is>
      </c>
      <c r="B690" s="5" t="inlineStr">
        <is>
          <t>B-i</t>
        </is>
      </c>
      <c r="C690" s="3" t="inlineStr">
        <is>
          <t>Al-Sharafi, M.A.; Alzaeemi, S.A.; Albashrawi, M.; Dwivedi, Y.K.; Alahmad, R.; Chae, I.</t>
        </is>
      </c>
      <c r="D690" s="6" t="n">
        <v>2026</v>
      </c>
      <c r="E690" s="3" t="inlineStr">
        <is>
          <t>A longitudinal consumer feedback analytics approach for theory building and testing: Examining consumer satisfaction and loyalty in buy now, pay later (BNPL) platforms</t>
        </is>
      </c>
      <c r="F690" s="3" t="inlineStr">
        <is>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is>
      </c>
      <c r="G690" s="5" t="inlineStr">
        <is>
          <t>Journal article</t>
        </is>
      </c>
      <c r="H690" s="5" t="inlineStr">
        <is>
          <t>10.1016/j.jretconser.2025.104551</t>
        </is>
      </c>
      <c r="I690" s="5" t="n"/>
      <c r="J690" s="3" t="n"/>
    </row>
    <row r="691" ht="270.75" customHeight="1" s="18">
      <c r="A691" s="5" t="inlineStr">
        <is>
          <t>S2-0685</t>
        </is>
      </c>
      <c r="B691" s="5" t="inlineStr">
        <is>
          <t>B-i</t>
        </is>
      </c>
      <c r="C691" s="3" t="inlineStr">
        <is>
          <t>Badiger, L.S.; Donkanavar, S.B.; Chikkamath, S.</t>
        </is>
      </c>
      <c r="D691" s="6" t="n">
        <v>2026</v>
      </c>
      <c r="E691" s="3" t="inlineStr">
        <is>
          <t>Sentiment Analysis from Kannada Text</t>
        </is>
      </c>
      <c r="F691" s="3" t="inlineStr">
        <is>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is>
      </c>
      <c r="G691" s="5" t="inlineStr">
        <is>
          <t>Conference paper</t>
        </is>
      </c>
      <c r="H691" s="5" t="inlineStr">
        <is>
          <t>10.1007/978-3-032-06703-6_20</t>
        </is>
      </c>
      <c r="I691" s="5" t="n"/>
      <c r="J691" s="3" t="n"/>
    </row>
    <row r="692" ht="313.5" customHeight="1" s="18">
      <c r="A692" s="5" t="inlineStr">
        <is>
          <t>S2-0686</t>
        </is>
      </c>
      <c r="B692" s="5" t="inlineStr">
        <is>
          <t>B-i</t>
        </is>
      </c>
      <c r="C692" s="3" t="inlineStr">
        <is>
          <t>Almousa, O.; Tashtoush, Y.; AlSobeh, A.; Zahariev, P.; Darwish, O.</t>
        </is>
      </c>
      <c r="D692" s="6" t="n">
        <v>2026</v>
      </c>
      <c r="E692" s="3" t="inlineStr">
        <is>
          <t>SiAraSent: From Features to Deep Transformers for Large-Scale Arabic Sentiment Analysis</t>
        </is>
      </c>
      <c r="F692" s="3" t="inlineStr">
        <is>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is>
      </c>
      <c r="G692" s="5" t="inlineStr">
        <is>
          <t>Journal article</t>
        </is>
      </c>
      <c r="H692" s="5" t="inlineStr">
        <is>
          <t>10.3390/bdcc10020049</t>
        </is>
      </c>
      <c r="I692" s="5" t="n"/>
      <c r="J692" s="3" t="n"/>
    </row>
    <row r="693" ht="399" customHeight="1" s="18">
      <c r="A693" s="5" t="inlineStr">
        <is>
          <t>S2-0687</t>
        </is>
      </c>
      <c r="B693" s="5" t="inlineStr">
        <is>
          <t>B-i</t>
        </is>
      </c>
      <c r="C693" s="3" t="inlineStr">
        <is>
          <t>de Queiroz Hermida, P.C.; Santos, E.M.D.</t>
        </is>
      </c>
      <c r="D693" s="6" t="n">
        <v>2025</v>
      </c>
      <c r="E693" s="3" t="inlineStr">
        <is>
          <t>Exploring the performance of generative models in detecting aggressive content in memes</t>
        </is>
      </c>
      <c r="F693" s="3" t="inlineStr">
        <is>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is>
      </c>
      <c r="G693" s="5" t="inlineStr">
        <is>
          <t>Journal article</t>
        </is>
      </c>
      <c r="H693" s="5" t="inlineStr">
        <is>
          <t>10.1007/s00146-025-02235-8</t>
        </is>
      </c>
      <c r="I693" s="5" t="n"/>
      <c r="J693" s="3" t="n"/>
    </row>
    <row r="694" ht="313.5" customHeight="1" s="18">
      <c r="A694" s="5" t="inlineStr">
        <is>
          <t>S2-0688</t>
        </is>
      </c>
      <c r="B694" s="5" t="inlineStr">
        <is>
          <t>B-i</t>
        </is>
      </c>
      <c r="C694" s="3" t="inlineStr">
        <is>
          <t>Sherif, A.; Hussein, R.; Sabty, C.</t>
        </is>
      </c>
      <c r="D694" s="6" t="n">
        <v>2027</v>
      </c>
      <c r="E694" s="3" t="inlineStr">
        <is>
          <t>Adapting GPT for Egyptian Arabic-English Code-Switched Sentiment Analysis Through Prompting, Retrieval, and Sentiment-Guided Fine-Tuning</t>
        </is>
      </c>
      <c r="F694" s="3" t="inlineStr">
        <is>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is>
      </c>
      <c r="G694" s="5" t="inlineStr">
        <is>
          <t>Conference paper</t>
        </is>
      </c>
      <c r="H694" s="5" t="inlineStr">
        <is>
          <t>10.1007/978-3-032-29532-3_16</t>
        </is>
      </c>
      <c r="I694" s="5" t="n"/>
      <c r="J694" s="3" t="n"/>
    </row>
    <row r="695" ht="313.5" customHeight="1" s="18">
      <c r="A695" s="5" t="inlineStr">
        <is>
          <t>S2-0689</t>
        </is>
      </c>
      <c r="B695" s="5" t="inlineStr">
        <is>
          <t>B-i</t>
        </is>
      </c>
      <c r="C695" s="3" t="inlineStr">
        <is>
          <t>Wang, S.; Jin, Y.; Yan, R.</t>
        </is>
      </c>
      <c r="D695" s="6" t="n">
        <v>2026</v>
      </c>
      <c r="E695" s="3" t="inlineStr">
        <is>
          <t>KITA: Knowledge-Infused Targeted Augmentation for Zero-Shot Stance Detection</t>
        </is>
      </c>
      <c r="F695" s="3" t="inlineStr">
        <is>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is>
      </c>
      <c r="G695" s="5" t="inlineStr">
        <is>
          <t>Journal article</t>
        </is>
      </c>
      <c r="H695" s="5" t="inlineStr">
        <is>
          <t>10.1142/s0218001426590196</t>
        </is>
      </c>
      <c r="I695" s="5" t="n"/>
      <c r="J695" s="3" t="n"/>
    </row>
    <row r="696" ht="256.5" customHeight="1" s="18">
      <c r="A696" s="5" t="inlineStr">
        <is>
          <t>S2-0690</t>
        </is>
      </c>
      <c r="B696" s="5" t="inlineStr">
        <is>
          <t>B-i</t>
        </is>
      </c>
      <c r="C696" s="3" t="inlineStr">
        <is>
          <t>Baishemirov, Z.; Kassymbayev, A.; Yedilkhan, D.; Amirgaliyev, B.; Abdikenov, B.</t>
        </is>
      </c>
      <c r="D696" s="6" t="n">
        <v>2026</v>
      </c>
      <c r="E696" s="3" t="inlineStr">
        <is>
          <t>From Ancient Manuscripts to Modern Social Media: Evolution of Tonality Analysis Methods for Low-Resource Languages</t>
        </is>
      </c>
      <c r="F696" s="3" t="inlineStr">
        <is>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is>
      </c>
      <c r="G696" s="5" t="inlineStr">
        <is>
          <t>Journal article</t>
        </is>
      </c>
      <c r="H696" s="5" t="inlineStr">
        <is>
          <t>10.3390/app16115650</t>
        </is>
      </c>
      <c r="I696" s="5" t="n"/>
      <c r="J696" s="3" t="n"/>
    </row>
    <row r="697" ht="299.25" customHeight="1" s="18">
      <c r="A697" s="5" t="inlineStr">
        <is>
          <t>S2-0691</t>
        </is>
      </c>
      <c r="B697" s="5" t="inlineStr">
        <is>
          <t>B-i</t>
        </is>
      </c>
      <c r="C697" s="3" t="inlineStr">
        <is>
          <t>Hossain, M.R.; Hoque, M.M.; Dewan, M.A.A.; Hoque, E.; Siddique, N.</t>
        </is>
      </c>
      <c r="D697" s="6" t="n">
        <v>2025</v>
      </c>
      <c r="E697" s="3" t="inlineStr">
        <is>
          <t>AFuNet: an attention-based fusion network to classify texts in a resource-constrained language</t>
        </is>
      </c>
      <c r="F697" s="3" t="inlineStr">
        <is>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is>
      </c>
      <c r="G697" s="5" t="inlineStr">
        <is>
          <t>Journal article</t>
        </is>
      </c>
      <c r="H697" s="5" t="inlineStr">
        <is>
          <t>10.1007/s00521-024-10953-1</t>
        </is>
      </c>
      <c r="I697" s="5" t="n"/>
      <c r="J697" s="3" t="n"/>
    </row>
    <row r="698" ht="370.5" customHeight="1" s="18">
      <c r="A698" s="5" t="inlineStr">
        <is>
          <t>S2-0692</t>
        </is>
      </c>
      <c r="B698" s="5" t="inlineStr">
        <is>
          <t>B-i</t>
        </is>
      </c>
      <c r="C698" s="3" t="inlineStr">
        <is>
          <t>Suryabrata, A.W.; Spits Warnars, H.L.H.; Muyeba, M.K.</t>
        </is>
      </c>
      <c r="D698" s="6" t="n">
        <v>2026</v>
      </c>
      <c r="E698" s="3" t="inlineStr">
        <is>
          <t>Aspect-Based Sentiment Analysis of Multilingual Hotel Reviews in Jakarta Using Multilingual Transformer Models: A Comparative Study of Multilingual BERT and CrossLingual RoBERTa</t>
        </is>
      </c>
      <c r="F698" s="3" t="inlineStr">
        <is>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is>
      </c>
      <c r="G698" s="5" t="inlineStr">
        <is>
          <t>Journal article</t>
        </is>
      </c>
      <c r="H698" s="5" t="inlineStr">
        <is>
          <t>10.18280/isi.310112</t>
        </is>
      </c>
      <c r="I698" s="5" t="n"/>
      <c r="J698" s="3" t="n"/>
    </row>
    <row r="699" ht="299.25" customHeight="1" s="18">
      <c r="A699" s="5" t="inlineStr">
        <is>
          <t>S2-0693</t>
        </is>
      </c>
      <c r="B699" s="5" t="inlineStr">
        <is>
          <t>B-i</t>
        </is>
      </c>
      <c r="C699" s="3" t="inlineStr">
        <is>
          <t>Ren, Z.; Yang, T.; Li, G.; Hu, S.; Mou, N.; Chen, Z.</t>
        </is>
      </c>
      <c r="D699" s="6" t="n">
        <v>2025</v>
      </c>
      <c r="E699" s="3" t="inlineStr">
        <is>
          <t>An Integration Framework of Remote Sensing and Social Media for Dynamic Post-Earthquake Impact Assessment</t>
        </is>
      </c>
      <c r="F699" s="3" t="inlineStr">
        <is>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is>
      </c>
      <c r="G699" s="5" t="inlineStr">
        <is>
          <t>Journal article</t>
        </is>
      </c>
      <c r="H699" s="5" t="inlineStr">
        <is>
          <t>10.3390/app152413125</t>
        </is>
      </c>
      <c r="I699" s="5" t="n"/>
      <c r="J699" s="3" t="n"/>
    </row>
    <row r="700" ht="299.25" customHeight="1" s="18">
      <c r="A700" s="5" t="inlineStr">
        <is>
          <t>S2-0694</t>
        </is>
      </c>
      <c r="B700" s="5" t="inlineStr">
        <is>
          <t>B-i</t>
        </is>
      </c>
      <c r="C700" s="3" t="inlineStr">
        <is>
          <t>FU, L.; ZHANG, L.</t>
        </is>
      </c>
      <c r="D700" s="6" t="n">
        <v>2026</v>
      </c>
      <c r="E700" s="3" t="inlineStr">
        <is>
          <t>Multi-label disaster tweet classification for human value identification via IDAP-APE: Example prompt construction enabled by inaccuracy-driven active-prompt and automatic prompt engineer</t>
        </is>
      </c>
      <c r="F700" s="3" t="inlineStr">
        <is>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is>
      </c>
      <c r="G700" s="5" t="inlineStr">
        <is>
          <t>Journal article</t>
        </is>
      </c>
      <c r="H700" s="5" t="inlineStr">
        <is>
          <t>10.1016/j.pdisas.2026.100616</t>
        </is>
      </c>
      <c r="I700" s="5" t="n"/>
      <c r="J700" s="3" t="n"/>
    </row>
    <row r="701" ht="313.5" customHeight="1" s="18">
      <c r="A701" s="5" t="inlineStr">
        <is>
          <t>S2-0695</t>
        </is>
      </c>
      <c r="B701" s="5" t="inlineStr">
        <is>
          <t>B-i</t>
        </is>
      </c>
      <c r="C701" s="3" t="inlineStr">
        <is>
          <t>Venkatakrishnan, J.S.; Moorthy, S.M.R.; Shanmugam, A.</t>
        </is>
      </c>
      <c r="D701" s="6" t="n">
        <v>2026</v>
      </c>
      <c r="E701" s="3" t="inlineStr">
        <is>
          <t>Meta-learning contrastive fusion intelligence for domain-adaptive content categorization using adaptive DNN</t>
        </is>
      </c>
      <c r="F701" s="3" t="inlineStr">
        <is>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is>
      </c>
      <c r="G701" s="5" t="inlineStr">
        <is>
          <t>Journal article</t>
        </is>
      </c>
      <c r="H701" s="5" t="inlineStr">
        <is>
          <t>10.11591/ijres.v15.i2.pp514-523</t>
        </is>
      </c>
      <c r="I701" s="5" t="n"/>
      <c r="J701" s="3" t="n"/>
    </row>
    <row r="702" ht="285" customHeight="1" s="18">
      <c r="A702" s="5" t="inlineStr">
        <is>
          <t>S2-0696</t>
        </is>
      </c>
      <c r="B702" s="5" t="inlineStr">
        <is>
          <t>B-i</t>
        </is>
      </c>
      <c r="C702" s="3" t="inlineStr">
        <is>
          <t>Ma, J.; Wang, C.; Rong, L.; Wang, B.; Xu, Y.</t>
        </is>
      </c>
      <c r="D702" s="6" t="n">
        <v>2025</v>
      </c>
      <c r="E702" s="3" t="inlineStr">
        <is>
          <t>Exploring Multi-Agent Debate for Zero-Shot Stance Detection: A Novel Approach</t>
        </is>
      </c>
      <c r="F702" s="3" t="inlineStr">
        <is>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is>
      </c>
      <c r="G702" s="5" t="inlineStr">
        <is>
          <t>Journal article</t>
        </is>
      </c>
      <c r="H702" s="5" t="inlineStr">
        <is>
          <t>10.3390/app15094612</t>
        </is>
      </c>
      <c r="I702" s="5" t="n"/>
      <c r="J702" s="3" t="n"/>
    </row>
    <row r="703" ht="199.5" customHeight="1" s="18">
      <c r="A703" s="5" t="inlineStr">
        <is>
          <t>S2-0697</t>
        </is>
      </c>
      <c r="B703" s="5" t="inlineStr">
        <is>
          <t>B-i</t>
        </is>
      </c>
      <c r="C703" s="3" t="inlineStr">
        <is>
          <t>Shifa, A.; Nawaz Ali, G.G.M.; Henricks, D.E.</t>
        </is>
      </c>
      <c r="D703" s="6" t="n">
        <v>2026</v>
      </c>
      <c r="E703" s="3" t="inlineStr">
        <is>
          <t>Cross-Platform Sentiment Intelligence for Adolescent Health: A Modular Pipeline Approach Inspired by System-of-Systems Principles Using Large Language Models</t>
        </is>
      </c>
      <c r="F703" s="3" t="inlineStr">
        <is>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is>
      </c>
      <c r="G703" s="5" t="inlineStr">
        <is>
          <t>Journal article</t>
        </is>
      </c>
      <c r="H703" s="5" t="inlineStr">
        <is>
          <t>10.1109/jsyst.2026.3713492</t>
        </is>
      </c>
      <c r="I703" s="5" t="n"/>
      <c r="J703" s="3" t="n"/>
    </row>
    <row r="704" ht="399" customHeight="1" s="18">
      <c r="A704" s="5" t="inlineStr">
        <is>
          <t>S2-0698</t>
        </is>
      </c>
      <c r="B704" s="5" t="inlineStr">
        <is>
          <t>B-i</t>
        </is>
      </c>
      <c r="C704" s="3" t="inlineStr">
        <is>
          <t>Li, M.; Fan, C.; Yan, H.; Wu, P.; Su, Z.; Ma, W.</t>
        </is>
      </c>
      <c r="D704" s="6" t="n">
        <v>2026</v>
      </c>
      <c r="E704" s="3" t="inlineStr">
        <is>
          <t>Urban traffic evaluation with social media data: A consensus-based LLM negotiation paradigm</t>
        </is>
      </c>
      <c r="F704" s="3" t="inlineStr">
        <is>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is>
      </c>
      <c r="G704" s="5" t="inlineStr">
        <is>
          <t>Journal article</t>
        </is>
      </c>
      <c r="H704" s="5" t="inlineStr">
        <is>
          <t>10.1016/j.tra.2026.104980</t>
        </is>
      </c>
      <c r="I704" s="5" t="n"/>
      <c r="J704" s="3" t="n"/>
    </row>
    <row r="705" ht="228" customHeight="1" s="18">
      <c r="A705" s="5" t="inlineStr">
        <is>
          <t>S2-0699</t>
        </is>
      </c>
      <c r="B705" s="5" t="inlineStr">
        <is>
          <t>B-i</t>
        </is>
      </c>
      <c r="C705" s="3" t="inlineStr">
        <is>
          <t>Jamadi Khiabani, P.; Zubiaga, A.</t>
        </is>
      </c>
      <c r="D705" s="6" t="n">
        <v>2025</v>
      </c>
      <c r="E705" s="3" t="inlineStr">
        <is>
          <t>Cross-target stance detection: A survey of techniques, datasets, and challenges</t>
        </is>
      </c>
      <c r="F705" s="3" t="inlineStr">
        <is>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is>
      </c>
      <c r="G705" s="5" t="inlineStr">
        <is>
          <t>Journal article</t>
        </is>
      </c>
      <c r="H705" s="5" t="inlineStr">
        <is>
          <t>10.1016/j.eswa.2025.127790</t>
        </is>
      </c>
      <c r="I705" s="5" t="n"/>
      <c r="J705" s="3" t="n"/>
    </row>
    <row r="706" ht="409.5" customHeight="1" s="18">
      <c r="A706" s="5" t="inlineStr">
        <is>
          <t>S2-0700</t>
        </is>
      </c>
      <c r="B706" s="5" t="inlineStr">
        <is>
          <t>B-i</t>
        </is>
      </c>
      <c r="C706" s="3" t="inlineStr">
        <is>
          <t>Manga, E.; Marinagi, C.; Skourlas, C.; Karanikolas, N.; Markopoulos, D.</t>
        </is>
      </c>
      <c r="D706" s="6" t="n">
        <v>2026</v>
      </c>
      <c r="E706" s="3" t="inlineStr">
        <is>
          <t>Handling small and imbalanced datasets in government social media: A comparative study of machine learning and deep learning models</t>
        </is>
      </c>
      <c r="F706" s="3" t="inlineStr">
        <is>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is>
      </c>
      <c r="G706" s="5" t="inlineStr">
        <is>
          <t>Journal article</t>
        </is>
      </c>
      <c r="H706" s="5" t="inlineStr">
        <is>
          <t>10.1016/j.asoc.2026.115050</t>
        </is>
      </c>
      <c r="I706" s="5" t="n"/>
      <c r="J706" s="3" t="n"/>
    </row>
    <row r="707" ht="327.75" customHeight="1" s="18">
      <c r="A707" s="5" t="inlineStr">
        <is>
          <t>S2-0701</t>
        </is>
      </c>
      <c r="B707" s="5" t="inlineStr">
        <is>
          <t>B-i</t>
        </is>
      </c>
      <c r="C707" s="3" t="inlineStr">
        <is>
          <t>Nghia, N.B.T.; Tu, H.K.; Nhut, N.M.; Thuan, N.D.</t>
        </is>
      </c>
      <c r="D707" s="6" t="n">
        <v>2026</v>
      </c>
      <c r="E707" s="3" t="inlineStr">
        <is>
          <t>Emotion Analytics: Unveiling the Sentiment Aspect in E-Commerce Review Platforms</t>
        </is>
      </c>
      <c r="F707" s="3" t="inlineStr">
        <is>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is>
      </c>
      <c r="G707" s="5" t="inlineStr">
        <is>
          <t>Conference paper</t>
        </is>
      </c>
      <c r="H707" s="5" t="inlineStr">
        <is>
          <t>10.1007/978-981-95-4963-4_6</t>
        </is>
      </c>
      <c r="I707" s="5" t="n"/>
      <c r="J707" s="3" t="n"/>
    </row>
    <row r="708" ht="313.5" customHeight="1" s="18">
      <c r="A708" s="5" t="inlineStr">
        <is>
          <t>S2-0702</t>
        </is>
      </c>
      <c r="B708" s="5" t="inlineStr">
        <is>
          <t>B-i</t>
        </is>
      </c>
      <c r="C708" s="3" t="inlineStr">
        <is>
          <t>Sarkar, D.; Ahmed, S.S.</t>
        </is>
      </c>
      <c r="D708" s="6" t="n">
        <v>2026</v>
      </c>
      <c r="E708" s="3" t="inlineStr">
        <is>
          <t>Sentiment Analysis in Assamese: Unveiling Emotions in Native Texts</t>
        </is>
      </c>
      <c r="F708" s="3" t="inlineStr">
        <is>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is>
      </c>
      <c r="G708" s="5" t="inlineStr">
        <is>
          <t>Conference paper</t>
        </is>
      </c>
      <c r="H708" s="5" t="inlineStr">
        <is>
          <t>10.1007/978-981-95-8098-9_9</t>
        </is>
      </c>
      <c r="I708" s="5" t="n"/>
      <c r="J708" s="3" t="n"/>
    </row>
    <row r="709" ht="356.25" customHeight="1" s="18">
      <c r="A709" s="5" t="inlineStr">
        <is>
          <t>S2-0703</t>
        </is>
      </c>
      <c r="B709" s="5" t="inlineStr">
        <is>
          <t>B-i</t>
        </is>
      </c>
      <c r="C709" s="3" t="inlineStr">
        <is>
          <t>Alostad, H.</t>
        </is>
      </c>
      <c r="D709" s="6" t="n">
        <v>2025</v>
      </c>
      <c r="E709" s="3" t="inlineStr">
        <is>
          <t>Large Language Models as Kuwaiti Annotators</t>
        </is>
      </c>
      <c r="F709" s="3" t="inlineStr">
        <is>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is>
      </c>
      <c r="G709" s="5" t="inlineStr">
        <is>
          <t>Journal article</t>
        </is>
      </c>
      <c r="H709" s="5" t="inlineStr">
        <is>
          <t>10.3390/bdcc9020033</t>
        </is>
      </c>
      <c r="I709" s="5" t="n"/>
      <c r="J709" s="3" t="n"/>
    </row>
    <row r="710" ht="270.75" customHeight="1" s="18">
      <c r="A710" s="5" t="inlineStr">
        <is>
          <t>S2-0704</t>
        </is>
      </c>
      <c r="B710" s="5" t="inlineStr">
        <is>
          <t>B-i</t>
        </is>
      </c>
      <c r="C710" s="3" t="inlineStr">
        <is>
          <t>Singh, S.; Chandra, M.; Awasthi, D.</t>
        </is>
      </c>
      <c r="D710" s="6" t="n">
        <v>2026</v>
      </c>
      <c r="E710" s="3" t="inlineStr">
        <is>
          <t>Leveraging RoBERTa and Large Language Models for Early Mental Health Signal Detection Through English and Hinglish Social Media Text</t>
        </is>
      </c>
      <c r="F710" s="3" t="inlineStr">
        <is>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is>
      </c>
      <c r="G710" s="5" t="inlineStr">
        <is>
          <t>Conference paper</t>
        </is>
      </c>
      <c r="H710" s="5" t="inlineStr">
        <is>
          <t>10.1007/978-3-032-28594-2_45</t>
        </is>
      </c>
      <c r="I710" s="5" t="n"/>
      <c r="J710" s="3" t="n"/>
    </row>
    <row r="711" ht="199.5" customHeight="1" s="18">
      <c r="A711" s="5" t="inlineStr">
        <is>
          <t>S2-0705</t>
        </is>
      </c>
      <c r="B711" s="5" t="inlineStr">
        <is>
          <t>B-i</t>
        </is>
      </c>
      <c r="C711" s="3" t="inlineStr">
        <is>
          <t>Debbah, A.; Lagrini, S.; Zenati, S.; Debboub, S.</t>
        </is>
      </c>
      <c r="D711" s="6" t="n">
        <v>2026</v>
      </c>
      <c r="E711" s="3" t="inlineStr">
        <is>
          <t>LLMs vs Transformer Models: Which Approach is Crucial in Improving Arabic Sentiment Analysis?</t>
        </is>
      </c>
      <c r="F711" s="3" t="inlineStr">
        <is>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is>
      </c>
      <c r="G711" s="5" t="inlineStr">
        <is>
          <t>Conference paper</t>
        </is>
      </c>
      <c r="H711" s="5" t="inlineStr">
        <is>
          <t>10.1007/978-3-032-21582-6_16</t>
        </is>
      </c>
      <c r="I711" s="5" t="n"/>
      <c r="J711" s="3" t="n"/>
    </row>
    <row r="712" ht="384.75" customHeight="1" s="18">
      <c r="A712" s="5" t="inlineStr">
        <is>
          <t>S2-0706</t>
        </is>
      </c>
      <c r="B712" s="5" t="inlineStr">
        <is>
          <t>B-i</t>
        </is>
      </c>
      <c r="C712" s="3" t="inlineStr">
        <is>
          <t>Iswari, N.M.S.; Afriliana, N.</t>
        </is>
      </c>
      <c r="D712" s="6" t="n">
        <v>2025</v>
      </c>
      <c r="E712" s="3" t="inlineStr">
        <is>
          <t>Enhancing Aspect-Based Sentiment Analysis in Tourism Reviews Through Hybrid Data Augmentation</t>
        </is>
      </c>
      <c r="F712" s="3" t="inlineStr">
        <is>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is>
      </c>
      <c r="G712" s="5" t="inlineStr">
        <is>
          <t>Journal article</t>
        </is>
      </c>
      <c r="H712" s="5" t="inlineStr">
        <is>
          <t>10.47738/jads.v6i3.842</t>
        </is>
      </c>
      <c r="I712" s="5" t="n"/>
      <c r="J712" s="3" t="n"/>
    </row>
    <row r="713" ht="270.75" customHeight="1" s="18">
      <c r="A713" s="5" t="inlineStr">
        <is>
          <t>S2-0707</t>
        </is>
      </c>
      <c r="B713" s="5" t="inlineStr">
        <is>
          <t>B-i</t>
        </is>
      </c>
      <c r="C713" s="3" t="inlineStr">
        <is>
          <t>Ali, H.J.; Abrar, A.; Hossain, S.M.H.; Mridha, M.F.</t>
        </is>
      </c>
      <c r="D713" s="6" t="n">
        <v>2026</v>
      </c>
      <c r="E713" s="3" t="inlineStr">
        <is>
          <t>Social media polarization during conflict: insights from an ideological stance dataset on Reddit comments</t>
        </is>
      </c>
      <c r="F713" s="3" t="inlineStr">
        <is>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is>
      </c>
      <c r="G713" s="5" t="inlineStr">
        <is>
          <t>Journal article</t>
        </is>
      </c>
      <c r="H713" s="5" t="inlineStr">
        <is>
          <t>10.1007/s13278-026-01604-5</t>
        </is>
      </c>
      <c r="I713" s="5" t="n"/>
      <c r="J713" s="3" t="n"/>
    </row>
    <row r="714" ht="199.5" customHeight="1" s="18">
      <c r="A714" s="5" t="inlineStr">
        <is>
          <t>S2-0708</t>
        </is>
      </c>
      <c r="B714" s="5" t="inlineStr">
        <is>
          <t>B-i</t>
        </is>
      </c>
      <c r="C714" s="3" t="inlineStr">
        <is>
          <t>Feng, Q.-L.; Zhu, Y.-F.</t>
        </is>
      </c>
      <c r="D714" s="6" t="n">
        <v>2026</v>
      </c>
      <c r="E714" s="3" t="inlineStr">
        <is>
          <t>Social Sentiment Analysis of College Students Based on Semi Supervised Machine Learning in Online Ideological Education</t>
        </is>
      </c>
      <c r="F714" s="3" t="inlineStr">
        <is>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is>
      </c>
      <c r="G714" s="5" t="inlineStr">
        <is>
          <t>Journal article</t>
        </is>
      </c>
      <c r="H714" s="5" t="n"/>
      <c r="I714" s="5" t="n"/>
      <c r="J714" s="3" t="n"/>
    </row>
    <row r="715" ht="228" customHeight="1" s="18">
      <c r="A715" s="5" t="inlineStr">
        <is>
          <t>S2-0709</t>
        </is>
      </c>
      <c r="B715" s="5" t="inlineStr">
        <is>
          <t>B-i</t>
        </is>
      </c>
      <c r="C715" s="3" t="inlineStr">
        <is>
          <t>Yesmaya, V.; Budiharto, W.; Anggreainy, M.S.; Isa, S.M.; Kartowisastro, I.H.</t>
        </is>
      </c>
      <c r="D715" s="6" t="n">
        <v>2026</v>
      </c>
      <c r="E715" s="3" t="inlineStr">
        <is>
          <t>Comparison of Traditional Machine Learning Models and Large Language Models for Multi-Label Text Classification on X (Twitter)</t>
        </is>
      </c>
      <c r="F715" s="3" t="inlineStr">
        <is>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is>
      </c>
      <c r="G715" s="5" t="inlineStr">
        <is>
          <t>Conference paper</t>
        </is>
      </c>
      <c r="H715" s="5" t="inlineStr">
        <is>
          <t>10.1109/iehns68708.2026.11607256</t>
        </is>
      </c>
      <c r="I715" s="5" t="n"/>
      <c r="J715" s="3" t="n"/>
    </row>
    <row r="716" ht="342" customHeight="1" s="18">
      <c r="A716" s="5" t="inlineStr">
        <is>
          <t>S2-0710</t>
        </is>
      </c>
      <c r="B716" s="5" t="inlineStr">
        <is>
          <t>B-i</t>
        </is>
      </c>
      <c r="C716" s="3" t="inlineStr">
        <is>
          <t>Yang, X.; Zhu, J.; De Meo, P.</t>
        </is>
      </c>
      <c r="D716" s="6" t="n">
        <v>2025</v>
      </c>
      <c r="E716" s="3" t="inlineStr">
        <is>
          <t>A quantum-like zero-shot approach for sentiment analysis in finance</t>
        </is>
      </c>
      <c r="F716" s="3" t="inlineStr">
        <is>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is>
      </c>
      <c r="G716" s="5" t="inlineStr">
        <is>
          <t>Journal article</t>
        </is>
      </c>
      <c r="H716" s="5" t="inlineStr">
        <is>
          <t>10.1007/s10844-024-00912-6</t>
        </is>
      </c>
      <c r="I716" s="5" t="n"/>
      <c r="J716" s="3" t="n"/>
    </row>
    <row r="717" ht="299.25" customHeight="1" s="18">
      <c r="A717" s="5" t="inlineStr">
        <is>
          <t>S2-0711</t>
        </is>
      </c>
      <c r="B717" s="5" t="inlineStr">
        <is>
          <t>B-i</t>
        </is>
      </c>
      <c r="C717" s="3" t="inlineStr">
        <is>
          <t>Jordao, S.A.A.; Santos, C.S.; Santos, F.; Dantas, M.J.P.</t>
        </is>
      </c>
      <c r="D717" s="6" t="n">
        <v>2026</v>
      </c>
      <c r="E717" s="3" t="inlineStr">
        <is>
          <t>Style and Stance Alignment in Reddit Discourse</t>
        </is>
      </c>
      <c r="F717" s="3" t="inlineStr">
        <is>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is>
      </c>
      <c r="G717" s="5" t="inlineStr">
        <is>
          <t>Conference paper</t>
        </is>
      </c>
      <c r="H717" s="5" t="inlineStr">
        <is>
          <t>10.1109/compsac69091.2026.00321</t>
        </is>
      </c>
      <c r="I717" s="5" t="n"/>
      <c r="J717" s="3" t="n"/>
    </row>
    <row r="718" ht="356.25" customHeight="1" s="18">
      <c r="A718" s="5" t="inlineStr">
        <is>
          <t>S2-0712</t>
        </is>
      </c>
      <c r="B718" s="5" t="inlineStr">
        <is>
          <t>B-i</t>
        </is>
      </c>
      <c r="C718" s="3" t="inlineStr">
        <is>
          <t>Törnberg, P.</t>
        </is>
      </c>
      <c r="D718" s="6" t="n">
        <v>2025</v>
      </c>
      <c r="E718" s="3" t="inlineStr">
        <is>
          <t>Large Language Models Outperform Expert Coders and Supervised Classifiers at Annotating Political Social Media Messages</t>
        </is>
      </c>
      <c r="F718" s="3" t="inlineStr">
        <is>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is>
      </c>
      <c r="G718" s="5" t="inlineStr">
        <is>
          <t>Journal article</t>
        </is>
      </c>
      <c r="H718" s="5" t="inlineStr">
        <is>
          <t>10.1177/08944393241286471</t>
        </is>
      </c>
      <c r="I718" s="5" t="n"/>
      <c r="J718" s="3" t="n"/>
    </row>
    <row r="719" ht="299.25" customHeight="1" s="18">
      <c r="A719" s="5" t="inlineStr">
        <is>
          <t>S2-0713</t>
        </is>
      </c>
      <c r="B719" s="5" t="inlineStr">
        <is>
          <t>B-i</t>
        </is>
      </c>
      <c r="C719" s="3" t="inlineStr">
        <is>
          <t>Liu, Q.; Wu, J.; Deng, R.</t>
        </is>
      </c>
      <c r="D719" s="6" t="n">
        <v>2026</v>
      </c>
      <c r="E719" s="3" t="inlineStr">
        <is>
          <t>A Generative AI Framework for Privacy-Aware Audience Perception Analysis: Leveraging Large Language Models for Comment Understanding and Content Profiling</t>
        </is>
      </c>
      <c r="F719" s="3" t="inlineStr">
        <is>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is>
      </c>
      <c r="G719" s="5" t="inlineStr">
        <is>
          <t>Conference paper</t>
        </is>
      </c>
      <c r="H719" s="5" t="inlineStr">
        <is>
          <t>10.1109/gaiis69281.2026.11519151</t>
        </is>
      </c>
      <c r="I719" s="5" t="n"/>
      <c r="J719" s="3" t="n"/>
    </row>
    <row r="720" ht="313.5" customHeight="1" s="18">
      <c r="A720" s="5" t="inlineStr">
        <is>
          <t>S2-0714</t>
        </is>
      </c>
      <c r="B720" s="5" t="inlineStr">
        <is>
          <t>B-i</t>
        </is>
      </c>
      <c r="C720" s="3" t="inlineStr">
        <is>
          <t>Wen, J.; Ning, Y.; Kang, H.; Miao, X.; Qian, T.</t>
        </is>
      </c>
      <c r="D720" s="6" t="n">
        <v>2026</v>
      </c>
      <c r="E720" s="3" t="inlineStr">
        <is>
          <t>Tracing Belief-Driven Thoughts with Theory-of-Mind Agents: An Opinion Analysis Framework</t>
        </is>
      </c>
      <c r="F720" s="3" t="inlineStr">
        <is>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is>
      </c>
      <c r="G720" s="5" t="inlineStr">
        <is>
          <t>Conference paper</t>
        </is>
      </c>
      <c r="H720" s="5" t="inlineStr">
        <is>
          <t>10.1145/3774904.3792659</t>
        </is>
      </c>
      <c r="I720" s="5" t="n"/>
      <c r="J720" s="3" t="n"/>
    </row>
    <row r="721" ht="299.25" customHeight="1" s="18">
      <c r="A721" s="5" t="inlineStr">
        <is>
          <t>S2-0715</t>
        </is>
      </c>
      <c r="B721" s="5" t="inlineStr">
        <is>
          <t>B-i</t>
        </is>
      </c>
      <c r="C721" s="3" t="inlineStr">
        <is>
          <t>Liebeskind, C.; Lewandowska-Tomaszczyk, B.; Vanetik, N.</t>
        </is>
      </c>
      <c r="D721" s="6" t="n">
        <v>2026</v>
      </c>
      <c r="E721" s="3" t="inlineStr">
        <is>
          <t>Multilingual clickbait detection with BERT: An empirical evaluation of training strategies</t>
        </is>
      </c>
      <c r="F721" s="3" t="inlineStr">
        <is>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is>
      </c>
      <c r="G721" s="5" t="inlineStr">
        <is>
          <t>Journal article</t>
        </is>
      </c>
      <c r="H721" s="5" t="inlineStr">
        <is>
          <t>10.1016/j.array.2026.100956</t>
        </is>
      </c>
      <c r="I721" s="5" t="n"/>
      <c r="J721" s="3" t="n"/>
    </row>
    <row r="722" ht="256.5" customHeight="1" s="18">
      <c r="A722" s="5" t="inlineStr">
        <is>
          <t>S2-0716</t>
        </is>
      </c>
      <c r="B722" s="5" t="inlineStr">
        <is>
          <t>B-i</t>
        </is>
      </c>
      <c r="C722" s="3" t="inlineStr">
        <is>
          <t>Puraswani, S.; Pathan, S.; Bhagwat, R.; Pandey, A.; Patil, C.</t>
        </is>
      </c>
      <c r="D722" s="6" t="n">
        <v>2026</v>
      </c>
      <c r="E722" s="3" t="inlineStr">
        <is>
          <t>Fake News Detection: Multimodel Approaches and LLM-Based Verification</t>
        </is>
      </c>
      <c r="F722" s="3" t="inlineStr">
        <is>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is>
      </c>
      <c r="G722" s="5" t="inlineStr">
        <is>
          <t>Conference paper</t>
        </is>
      </c>
      <c r="H722" s="5" t="inlineStr">
        <is>
          <t>10.1007/978-3-032-20609-1_31</t>
        </is>
      </c>
      <c r="I722" s="5" t="n"/>
      <c r="J722" s="3" t="n"/>
    </row>
    <row r="723" ht="171" customHeight="1" s="18">
      <c r="A723" s="5" t="inlineStr">
        <is>
          <t>S2-0717</t>
        </is>
      </c>
      <c r="B723" s="5" t="inlineStr">
        <is>
          <t>B-i</t>
        </is>
      </c>
      <c r="C723" s="3" t="inlineStr">
        <is>
          <t>Wang, D.; Ma, T.; Duan, H.</t>
        </is>
      </c>
      <c r="D723" s="6" t="n">
        <v>2026</v>
      </c>
      <c r="E723" s="3" t="inlineStr">
        <is>
          <t>PolyGnosis: An AI Framework for Forecasting Public Opinion from Polymarket Dynamics</t>
        </is>
      </c>
      <c r="F723" s="3" t="inlineStr">
        <is>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is>
      </c>
      <c r="G723" s="5" t="inlineStr">
        <is>
          <t>Conference paper</t>
        </is>
      </c>
      <c r="H723" s="5" t="inlineStr">
        <is>
          <t>10.1109/infocom59046.2026.11571417</t>
        </is>
      </c>
      <c r="I723" s="5" t="n"/>
      <c r="J723" s="3" t="n"/>
    </row>
    <row r="724" ht="242.25" customHeight="1" s="18">
      <c r="A724" s="5" t="inlineStr">
        <is>
          <t>S2-0718</t>
        </is>
      </c>
      <c r="B724" s="5" t="inlineStr">
        <is>
          <t>B-i</t>
        </is>
      </c>
      <c r="C724" s="3" t="inlineStr">
        <is>
          <t>Hafeez, M.; Hussain, N.; Qasim, A.; Zain, M.; Mehak, G.; Kolesnikova, O.; Sidorov, G.; Gelbukh, A.</t>
        </is>
      </c>
      <c r="D724" s="6" t="n">
        <v>2026</v>
      </c>
      <c r="E724" s="3" t="inlineStr">
        <is>
          <t>Sarcasm Detection in Roman Urdu Text: A Comprehensive Study Using Machine Learning and Large Language Model</t>
        </is>
      </c>
      <c r="F724" s="3" t="inlineStr">
        <is>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is>
      </c>
      <c r="G724" s="5" t="inlineStr">
        <is>
          <t>Conference paper</t>
        </is>
      </c>
      <c r="H724" s="5" t="inlineStr">
        <is>
          <t>10.1007/978-3-032-09037-9_20</t>
        </is>
      </c>
      <c r="I724" s="5" t="n"/>
      <c r="J724" s="3" t="n"/>
    </row>
    <row r="725" ht="256.5" customHeight="1" s="18">
      <c r="A725" s="5" t="inlineStr">
        <is>
          <t>S2-0719</t>
        </is>
      </c>
      <c r="B725" s="5" t="inlineStr">
        <is>
          <t>B-i</t>
        </is>
      </c>
      <c r="C725" s="3" t="inlineStr">
        <is>
          <t>Wang, X.; Liu, Y.; Chen, Y.; Zhang, J.; Lu, X.</t>
        </is>
      </c>
      <c r="D725" s="6" t="n">
        <v>2026</v>
      </c>
      <c r="E725" s="3" t="inlineStr">
        <is>
          <t>Enhancing VLM-based multimodal sentiment analysis via prompt tuning and contrastive decoding</t>
        </is>
      </c>
      <c r="F725" s="3" t="inlineStr">
        <is>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is>
      </c>
      <c r="G725" s="5" t="inlineStr">
        <is>
          <t>Journal article</t>
        </is>
      </c>
      <c r="H725" s="5" t="inlineStr">
        <is>
          <t>10.1016/j.patcog.2026.114624</t>
        </is>
      </c>
      <c r="I725" s="5" t="n"/>
      <c r="J725" s="3" t="n"/>
    </row>
    <row r="726" ht="213.75" customHeight="1" s="18">
      <c r="A726" s="5" t="inlineStr">
        <is>
          <t>S2-0720</t>
        </is>
      </c>
      <c r="B726" s="5" t="inlineStr">
        <is>
          <t>B-i</t>
        </is>
      </c>
      <c r="C726" s="3" t="inlineStr">
        <is>
          <t>Kim, Y.; Liu, Q.; Hemsley, J.</t>
        </is>
      </c>
      <c r="D726" s="6" t="n">
        <v>2025</v>
      </c>
      <c r="E726" s="3" t="inlineStr">
        <is>
          <t>LLM-Supported Content Analysis of Motivated Reasoning on Climate Change</t>
        </is>
      </c>
      <c r="F726" s="3" t="inlineStr">
        <is>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is>
      </c>
      <c r="G726" s="5" t="inlineStr">
        <is>
          <t>Journal article</t>
        </is>
      </c>
      <c r="H726" s="5" t="inlineStr">
        <is>
          <t>10.1002/pra2.1261</t>
        </is>
      </c>
      <c r="I726" s="5" t="n"/>
      <c r="J726" s="3" t="n"/>
    </row>
    <row r="727" ht="285" customHeight="1" s="18">
      <c r="A727" s="5" t="inlineStr">
        <is>
          <t>S2-0721</t>
        </is>
      </c>
      <c r="B727" s="5" t="inlineStr">
        <is>
          <t>B-i</t>
        </is>
      </c>
      <c r="C727" s="3" t="inlineStr">
        <is>
          <t>Elgammal, Z.; Alhajj, R.</t>
        </is>
      </c>
      <c r="D727" s="6" t="n">
        <v>2026</v>
      </c>
      <c r="E727" s="3" t="inlineStr">
        <is>
          <t>Evolution of Deep Learning Models for Misinformation Detection in Social Media Textual Data: Background, Architectures, Datasets, and Emerging LLM Applications</t>
        </is>
      </c>
      <c r="F727" s="3" t="inlineStr">
        <is>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is>
      </c>
      <c r="G727" s="5" t="inlineStr">
        <is>
          <t>Journal article</t>
        </is>
      </c>
      <c r="H727" s="5" t="inlineStr">
        <is>
          <t>10.1177/08944393261432625</t>
        </is>
      </c>
      <c r="I727" s="5" t="n"/>
      <c r="J727" s="3" t="n"/>
    </row>
    <row r="728" ht="171" customHeight="1" s="18">
      <c r="A728" s="5" t="inlineStr">
        <is>
          <t>S2-0722</t>
        </is>
      </c>
      <c r="B728" s="5" t="inlineStr">
        <is>
          <t>B-i</t>
        </is>
      </c>
      <c r="C728" s="3" t="inlineStr">
        <is>
          <t>Aust, L.; Fu, A.</t>
        </is>
      </c>
      <c r="D728" s="6" t="n">
        <v>2026</v>
      </c>
      <c r="E728" s="3" t="inlineStr">
        <is>
          <t>Using Large Language Models and Prompt Strategies to Annotate Healthcare Posts on Social Media</t>
        </is>
      </c>
      <c r="F728" s="3" t="inlineStr">
        <is>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is>
      </c>
      <c r="G728" s="5" t="inlineStr">
        <is>
          <t>Conference paper</t>
        </is>
      </c>
      <c r="H728" s="5" t="inlineStr">
        <is>
          <t>10.1007/978-3-032-13167-6_7</t>
        </is>
      </c>
      <c r="I728" s="5" t="n"/>
      <c r="J728" s="3" t="n"/>
    </row>
    <row r="729" ht="409.5" customHeight="1" s="18">
      <c r="A729" s="5" t="inlineStr">
        <is>
          <t>S2-0723</t>
        </is>
      </c>
      <c r="B729" s="5" t="inlineStr">
        <is>
          <t>B-i</t>
        </is>
      </c>
      <c r="C729" s="3" t="inlineStr">
        <is>
          <t>Bilalpur, M.; Hamm, M.E.; Lee, Y.J.; Norman, N.G.; McTigue, K.M.; Wang, Y.</t>
        </is>
      </c>
      <c r="D729" s="6" t="n">
        <v>2026</v>
      </c>
      <c r="E729" s="3" t="inlineStr">
        <is>
          <t>Topic-Aware Summarization of Lived Health Care Experiences: Large Language Model Evaluation Study</t>
        </is>
      </c>
      <c r="F729" s="3" t="inlineStr">
        <is>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is>
      </c>
      <c r="G729" s="5" t="inlineStr">
        <is>
          <t>Journal article</t>
        </is>
      </c>
      <c r="H729" s="5" t="inlineStr">
        <is>
          <t>10.2196/85960</t>
        </is>
      </c>
      <c r="I729" s="5" t="n"/>
      <c r="J729" s="3" t="n"/>
    </row>
    <row r="730" ht="313.5" customHeight="1" s="18">
      <c r="A730" s="5" t="inlineStr">
        <is>
          <t>S2-0724</t>
        </is>
      </c>
      <c r="B730" s="5" t="inlineStr">
        <is>
          <t>B-i</t>
        </is>
      </c>
      <c r="C730" s="3" t="inlineStr">
        <is>
          <t>Dewanti, P.; Permana, P.A.G.; Upadani, I.G.A.W.; Maramento, E.L.; Borreros, A.J.G.</t>
        </is>
      </c>
      <c r="D730" s="6" t="n">
        <v>2026</v>
      </c>
      <c r="E730" s="3" t="inlineStr">
        <is>
          <t>Mapping Tourist Sentiments Through Lexicon-Based Analysis of Social Media Reviews: The Case of Salak Sibetan Agritourism</t>
        </is>
      </c>
      <c r="F730" s="3" t="inlineStr">
        <is>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is>
      </c>
      <c r="G730" s="5" t="inlineStr">
        <is>
          <t>Journal article</t>
        </is>
      </c>
      <c r="H730" s="5" t="inlineStr">
        <is>
          <t>10.14569/ijacsa.2026.0170450</t>
        </is>
      </c>
      <c r="I730" s="5" t="n"/>
      <c r="J730" s="3" t="n"/>
    </row>
    <row r="731" ht="327.75" customHeight="1" s="18">
      <c r="A731" s="5" t="inlineStr">
        <is>
          <t>S2-0725</t>
        </is>
      </c>
      <c r="B731" s="5" t="inlineStr">
        <is>
          <t>B-i</t>
        </is>
      </c>
      <c r="C731" s="3" t="inlineStr">
        <is>
          <t>Agboola, T.; Ajao, O.</t>
        </is>
      </c>
      <c r="D731" s="6" t="n">
        <v>2026</v>
      </c>
      <c r="E731" s="3" t="inlineStr">
        <is>
          <t>Graph-Enhanced LLM Analysis of Multimodal Health Communities: A Computational Framework for Patient Discourse Understanding on TikTok</t>
        </is>
      </c>
      <c r="F731" s="3" t="inlineStr">
        <is>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is>
      </c>
      <c r="G731" s="5" t="inlineStr">
        <is>
          <t>Conference paper</t>
        </is>
      </c>
      <c r="H731" s="5" t="inlineStr">
        <is>
          <t>10.18653/v1/2026.healing-1.9</t>
        </is>
      </c>
      <c r="I731" s="5" t="n"/>
      <c r="J731" s="3" t="n"/>
    </row>
    <row r="732" ht="171" customHeight="1" s="18">
      <c r="A732" s="5" t="inlineStr">
        <is>
          <t>S2-0726</t>
        </is>
      </c>
      <c r="B732" s="5" t="inlineStr">
        <is>
          <t>B-i</t>
        </is>
      </c>
      <c r="C732" s="3" t="inlineStr">
        <is>
          <t>Al-Harigy, L.M.; Al-Nuaim, H.A.; Moradpoor, N.; Tan, Z.</t>
        </is>
      </c>
      <c r="D732" s="6" t="n">
        <v>2025</v>
      </c>
      <c r="E732" s="3" t="inlineStr">
        <is>
          <t>Towards a cyberbullying detection approach: fine-tuned contrastive self-supervised learning for data augmentation</t>
        </is>
      </c>
      <c r="F732" s="3" t="inlineStr">
        <is>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is>
      </c>
      <c r="G732" s="5" t="inlineStr">
        <is>
          <t>Journal article</t>
        </is>
      </c>
      <c r="H732" s="5" t="inlineStr">
        <is>
          <t>10.1007/s41060-024-00607-9</t>
        </is>
      </c>
      <c r="I732" s="5" t="n"/>
      <c r="J732" s="3" t="n"/>
    </row>
    <row r="733" ht="256.5" customHeight="1" s="18">
      <c r="A733" s="5" t="inlineStr">
        <is>
          <t>S2-0727</t>
        </is>
      </c>
      <c r="B733" s="5" t="inlineStr">
        <is>
          <t>B-i</t>
        </is>
      </c>
      <c r="C733" s="3" t="inlineStr">
        <is>
          <t>Gebremeskel, H.G.; Feng, C.; Abera, A.M.; Zhao, X.</t>
        </is>
      </c>
      <c r="D733" s="6" t="n">
        <v>2026</v>
      </c>
      <c r="E733" s="3" t="inlineStr">
        <is>
          <t>TigXMM: A Multimodal Cross-Lingual Transfer LLM Method for Low-Resource Sentiment Analysis: Multimodal Low-Resource Tigrigna Sentiment Analysis</t>
        </is>
      </c>
      <c r="F733" s="3" t="inlineStr">
        <is>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is>
      </c>
      <c r="G733" s="5" t="inlineStr">
        <is>
          <t>Conference paper</t>
        </is>
      </c>
      <c r="H733" s="5" t="inlineStr">
        <is>
          <t>10.1145/3810987.3815534</t>
        </is>
      </c>
      <c r="I733" s="5" t="n"/>
      <c r="J733" s="3" t="n"/>
    </row>
    <row r="734" ht="342" customHeight="1" s="18">
      <c r="A734" s="5" t="inlineStr">
        <is>
          <t>S2-0728</t>
        </is>
      </c>
      <c r="B734" s="5" t="inlineStr">
        <is>
          <t>B-i</t>
        </is>
      </c>
      <c r="C734" s="3" t="inlineStr">
        <is>
          <t>Liu, J.</t>
        </is>
      </c>
      <c r="D734" s="6" t="n">
        <v>2026</v>
      </c>
      <c r="E734" s="3" t="inlineStr">
        <is>
          <t>Rubric-conditioned large language model labeling: Agreement, uncertainty, and label consistency in subjective text annotation</t>
        </is>
      </c>
      <c r="F734" s="3" t="inlineStr">
        <is>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is>
      </c>
      <c r="G734" s="5" t="inlineStr">
        <is>
          <t>Journal article</t>
        </is>
      </c>
      <c r="H734" s="5" t="inlineStr">
        <is>
          <t>10.1016/j.chb.2026.108988</t>
        </is>
      </c>
      <c r="I734" s="5" t="n"/>
      <c r="J734" s="3" t="n"/>
    </row>
    <row r="735" ht="327.75" customHeight="1" s="18">
      <c r="A735" s="5" t="inlineStr">
        <is>
          <t>S2-0729</t>
        </is>
      </c>
      <c r="B735" s="5" t="inlineStr">
        <is>
          <t>B-i</t>
        </is>
      </c>
      <c r="C735" s="3" t="inlineStr">
        <is>
          <t>Chen, T.; Su, L.Y.-F.; Ng, Y.M.M.; Stasiewicz, M.J.; Wang, Y.-C.</t>
        </is>
      </c>
      <c r="D735" s="6" t="n">
        <v>2026</v>
      </c>
      <c r="E735" s="3" t="inlineStr">
        <is>
          <t>Transforming social media sentiment analysis with generative large language models: A case study from the cultured meat debate</t>
        </is>
      </c>
      <c r="F735" s="3" t="inlineStr">
        <is>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is>
      </c>
      <c r="G735" s="5" t="inlineStr">
        <is>
          <t>Journal article</t>
        </is>
      </c>
      <c r="H735" s="5" t="inlineStr">
        <is>
          <t>10.1016/j.foodqual.2026.105968</t>
        </is>
      </c>
      <c r="I735" s="5" t="n"/>
      <c r="J735" s="3" t="n"/>
    </row>
    <row r="736" ht="270.75" customHeight="1" s="18">
      <c r="A736" s="5" t="inlineStr">
        <is>
          <t>S2-0730</t>
        </is>
      </c>
      <c r="B736" s="5" t="inlineStr">
        <is>
          <t>B-i</t>
        </is>
      </c>
      <c r="C736" s="3" t="inlineStr">
        <is>
          <t>Chowdhury, J.; Rashid, R.; Terejanu, G.</t>
        </is>
      </c>
      <c r="D736" s="6" t="n">
        <v>2026</v>
      </c>
      <c r="E736" s="3" t="inlineStr">
        <is>
          <t>Measuring Social Media Polarization Using Large Language Models and Heuristic Rules</t>
        </is>
      </c>
      <c r="F736" s="3" t="inlineStr">
        <is>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is>
      </c>
      <c r="G736" s="5" t="inlineStr">
        <is>
          <t>Conference paper</t>
        </is>
      </c>
      <c r="H736" s="5" t="inlineStr">
        <is>
          <t>10.1007/978-3-032-14107-1_35</t>
        </is>
      </c>
      <c r="I736" s="5" t="n"/>
      <c r="J736" s="3" t="n"/>
    </row>
    <row r="737" ht="409.5" customHeight="1" s="18">
      <c r="A737" s="5" t="inlineStr">
        <is>
          <t>S2-0731</t>
        </is>
      </c>
      <c r="B737" s="5" t="inlineStr">
        <is>
          <t>B-i</t>
        </is>
      </c>
      <c r="C737" s="3" t="inlineStr">
        <is>
          <t>De, S.; Gosai, A.; Thankachan, K.; ZeinEldin, R.A.; Almaktoom, A.T.; Bayram, M.; Mohamed, A.W.</t>
        </is>
      </c>
      <c r="D737" s="6" t="n">
        <v>2026</v>
      </c>
      <c r="E737" s="3" t="inlineStr">
        <is>
          <t>From Lexicons to Large Language Models: A Comprehensive Survey of Sentiment Analysis Methods, Benchmarks, and Emerging Frontiers</t>
        </is>
      </c>
      <c r="F737" s="3" t="inlineStr">
        <is>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is>
      </c>
      <c r="G737" s="5" t="inlineStr">
        <is>
          <t>Journal article</t>
        </is>
      </c>
      <c r="H737" s="5" t="inlineStr">
        <is>
          <t>10.32604/cmes.2026.080601</t>
        </is>
      </c>
      <c r="I737" s="5" t="n"/>
      <c r="J737" s="3" t="n"/>
    </row>
    <row r="738" ht="228" customHeight="1" s="18">
      <c r="A738" s="5" t="inlineStr">
        <is>
          <t>S2-0732</t>
        </is>
      </c>
      <c r="B738" s="5" t="inlineStr">
        <is>
          <t>B-i</t>
        </is>
      </c>
      <c r="C738" s="3" t="inlineStr">
        <is>
          <t>Sun, W.; Yin, Z.; Chen, Y.; Sun, W.; Weng, S.; Wang, Y.</t>
        </is>
      </c>
      <c r="D738" s="6" t="n">
        <v>2026</v>
      </c>
      <c r="E738" s="3" t="inlineStr">
        <is>
          <t>Unveiling international tourist perceptions with a new human-AI collaborative approach: case of Uzbekistan</t>
        </is>
      </c>
      <c r="F738" s="3" t="inlineStr">
        <is>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is>
      </c>
      <c r="G738" s="5" t="inlineStr">
        <is>
          <t>Journal article</t>
        </is>
      </c>
      <c r="H738" s="5" t="inlineStr">
        <is>
          <t>10.1080/10941665.2026.2620378</t>
        </is>
      </c>
      <c r="I738" s="5" t="n"/>
      <c r="J738" s="3" t="n"/>
    </row>
    <row r="739" ht="409.5" customHeight="1" s="18">
      <c r="A739" s="5" t="inlineStr">
        <is>
          <t>S2-0733</t>
        </is>
      </c>
      <c r="B739" s="5" t="inlineStr">
        <is>
          <t>B-i</t>
        </is>
      </c>
      <c r="C739" s="3" t="inlineStr">
        <is>
          <t>Ling, J.; Gan, K.H.</t>
        </is>
      </c>
      <c r="D739" s="6" t="n">
        <v>2026</v>
      </c>
      <c r="E739" s="3" t="inlineStr">
        <is>
          <t>Retrieval-augmented few-shot large language models (LLMs) for financial sentiment classification on social media</t>
        </is>
      </c>
      <c r="F739" s="3" t="inlineStr">
        <is>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is>
      </c>
      <c r="G739" s="5" t="inlineStr">
        <is>
          <t>Journal article</t>
        </is>
      </c>
      <c r="H739" s="5" t="inlineStr">
        <is>
          <t>10.7717/peerj-cs.3871</t>
        </is>
      </c>
      <c r="I739" s="5" t="n"/>
      <c r="J739" s="3" t="n"/>
    </row>
    <row r="740" ht="342" customHeight="1" s="18">
      <c r="A740" s="5" t="inlineStr">
        <is>
          <t>S2-0734</t>
        </is>
      </c>
      <c r="B740" s="5" t="inlineStr">
        <is>
          <t>B-i</t>
        </is>
      </c>
      <c r="C740" s="3" t="inlineStr">
        <is>
          <t>Refai, D.; Dalaq, A.; Dalaq, D.; Ahmad, I.</t>
        </is>
      </c>
      <c r="D740" s="6" t="n">
        <v>2026</v>
      </c>
      <c r="E740" s="3" t="inlineStr">
        <is>
          <t>From human annotation to automation: LLM-in-the-loop active learning for Arabic sentiment analysis</t>
        </is>
      </c>
      <c r="F740" s="3" t="inlineStr">
        <is>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is>
      </c>
      <c r="G740" s="5" t="inlineStr">
        <is>
          <t>Journal article</t>
        </is>
      </c>
      <c r="H740" s="5" t="inlineStr">
        <is>
          <t>10.1007/s00521-026-12387-3</t>
        </is>
      </c>
      <c r="I740" s="5" t="n"/>
      <c r="J740" s="3" t="n"/>
    </row>
    <row r="741" ht="409.5" customHeight="1" s="18">
      <c r="A741" s="5" t="inlineStr">
        <is>
          <t>S2-0735</t>
        </is>
      </c>
      <c r="B741" s="5" t="inlineStr">
        <is>
          <t>B-i</t>
        </is>
      </c>
      <c r="C741" s="3" t="inlineStr">
        <is>
          <t>LIU, B.; LI, F.; LI, S.; LIANG, S.; WANG, D.</t>
        </is>
      </c>
      <c r="D741" s="6" t="n">
        <v>2026</v>
      </c>
      <c r="E741" s="3" t="inlineStr">
        <is>
          <t>Dynamic Emoji Perception and Bidirectional Cross-Modal Attention for Large Language Model Sentiment Analysis</t>
        </is>
      </c>
      <c r="F741" s="3" t="inlineStr">
        <is>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is>
      </c>
      <c r="G741" s="5" t="inlineStr">
        <is>
          <t>Journal article</t>
        </is>
      </c>
      <c r="H741" s="5" t="inlineStr">
        <is>
          <t>10.3778/j.issn.1673-9418.2510010</t>
        </is>
      </c>
      <c r="I741" s="5" t="n"/>
      <c r="J741" s="3" t="n"/>
    </row>
    <row r="742" ht="285" customHeight="1" s="18">
      <c r="A742" s="5" t="inlineStr">
        <is>
          <t>S2-0736</t>
        </is>
      </c>
      <c r="B742" s="5" t="inlineStr">
        <is>
          <t>B-i</t>
        </is>
      </c>
      <c r="C742" s="3" t="inlineStr">
        <is>
          <t>Brandão, J.G.; Castro Junior, A.P.; Pacheco, V.M.G.; Rodrigues, C.G.; Belo, O.M.O.; Coimbra, A.P.; Calixto, W.P.</t>
        </is>
      </c>
      <c r="D742" s="6" t="n">
        <v>2025</v>
      </c>
      <c r="E742" s="3" t="inlineStr">
        <is>
          <t>Optimization of machine learning models for sentiment analysis in social media</t>
        </is>
      </c>
      <c r="F742" s="3" t="inlineStr">
        <is>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is>
      </c>
      <c r="G742" s="5" t="inlineStr">
        <is>
          <t>Journal article</t>
        </is>
      </c>
      <c r="H742" s="5" t="inlineStr">
        <is>
          <t>10.1016/j.ins.2024.121704</t>
        </is>
      </c>
      <c r="I742" s="5" t="n"/>
      <c r="J742" s="3" t="n"/>
    </row>
    <row r="743" ht="185.25" customHeight="1" s="18">
      <c r="A743" s="5" t="inlineStr">
        <is>
          <t>S2-0737</t>
        </is>
      </c>
      <c r="B743" s="5" t="inlineStr">
        <is>
          <t>B-i</t>
        </is>
      </c>
      <c r="C743" s="3" t="inlineStr">
        <is>
          <t>Babad-Falk, T.; Chun, S.A.</t>
        </is>
      </c>
      <c r="D743" s="6" t="n">
        <v>2025</v>
      </c>
      <c r="E743" s="3" t="inlineStr">
        <is>
          <t>Public Opinion Classification on Government Policy Using Social Media: An Exploration of ChatGPT’s Capabilities and Limitations</t>
        </is>
      </c>
      <c r="F743" s="3" t="inlineStr">
        <is>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is>
      </c>
      <c r="G743" s="5" t="inlineStr">
        <is>
          <t>Conference paper</t>
        </is>
      </c>
      <c r="H743" s="5" t="inlineStr">
        <is>
          <t>10.32473/flairs.38.1.138905</t>
        </is>
      </c>
      <c r="I743" s="5" t="n"/>
      <c r="J743" s="3" t="n"/>
    </row>
    <row r="744" ht="242.25" customHeight="1" s="18">
      <c r="A744" s="5" t="inlineStr">
        <is>
          <t>S2-0738</t>
        </is>
      </c>
      <c r="B744" s="5" t="inlineStr">
        <is>
          <t>B-i</t>
        </is>
      </c>
      <c r="C744" s="3" t="inlineStr">
        <is>
          <t>Yazdani, A.; Rouhizadeh, H.; Bornet, A.; Teodoro, D.</t>
        </is>
      </c>
      <c r="D744" s="6" t="n">
        <v>2025</v>
      </c>
      <c r="E744" s="3" t="inlineStr">
        <is>
          <t>Leveraging Large Language Models for Synthetic Data Generation to Enhance Adverse Drug Event Detection in Tweets</t>
        </is>
      </c>
      <c r="F744" s="3" t="inlineStr">
        <is>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is>
      </c>
      <c r="G744" s="5" t="inlineStr">
        <is>
          <t>Conference paper</t>
        </is>
      </c>
      <c r="H744" s="5" t="inlineStr">
        <is>
          <t>10.3233/shti250465</t>
        </is>
      </c>
      <c r="I744" s="5" t="n"/>
      <c r="J744" s="3" t="n"/>
    </row>
    <row r="745" ht="270.75" customHeight="1" s="18">
      <c r="A745" s="5" t="inlineStr">
        <is>
          <t>S2-0739</t>
        </is>
      </c>
      <c r="B745" s="5" t="inlineStr">
        <is>
          <t>B-i</t>
        </is>
      </c>
      <c r="C745" s="3" t="inlineStr">
        <is>
          <t>Nugraha, S.A.; Tedja, J.L.; Sutedjo, H.M.; Rasyid, N.M.K.S.; Limantara, R.; Andreas, C.</t>
        </is>
      </c>
      <c r="D745" s="6" t="n">
        <v>2026</v>
      </c>
      <c r="E745" s="3" t="inlineStr">
        <is>
          <t>Multi-Task Transformer-Based Aspect Sentiment Analysis for Indonesian Energy and Mining Discourse</t>
        </is>
      </c>
      <c r="F745" s="3" t="inlineStr">
        <is>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is>
      </c>
      <c r="G745" s="5" t="inlineStr">
        <is>
          <t>Conference paper</t>
        </is>
      </c>
      <c r="H745" s="5" t="inlineStr">
        <is>
          <t>10.1109/iccraids67816.2026.11519740</t>
        </is>
      </c>
      <c r="I745" s="5" t="n"/>
      <c r="J745" s="3" t="n"/>
    </row>
    <row r="746" ht="409.5" customHeight="1" s="18">
      <c r="A746" s="5" t="inlineStr">
        <is>
          <t>S2-0740</t>
        </is>
      </c>
      <c r="B746" s="5" t="inlineStr">
        <is>
          <t>B-i</t>
        </is>
      </c>
      <c r="C746" s="3" t="inlineStr">
        <is>
          <t>Habib, D.R.S.; Depala, K.; Lin, J.; Le, S.; McFall, N.; Dewan, S.S.; Huang, J.; Habib, M.W.S.; Bishay, A.E.; Siebor, K.; Babaoglu, G.; Chowdhury, N.I.; Moberly, A.C.</t>
        </is>
      </c>
      <c r="D746" s="6" t="n">
        <v>2026</v>
      </c>
      <c r="E746" s="3" t="inlineStr">
        <is>
          <t>Patient Experiences in the Cochlear Implant Reddit Community: Comparing Human and Large Language Model Categorization</t>
        </is>
      </c>
      <c r="F746" s="3" t="inlineStr">
        <is>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is>
      </c>
      <c r="G746" s="5" t="inlineStr">
        <is>
          <t>Journal article</t>
        </is>
      </c>
      <c r="H746" s="5" t="inlineStr">
        <is>
          <t>10.1044/2025_aja-25-00216</t>
        </is>
      </c>
      <c r="I746" s="5" t="n"/>
      <c r="J746" s="3" t="n"/>
    </row>
    <row r="747" ht="342" customHeight="1" s="18">
      <c r="A747" s="5" t="inlineStr">
        <is>
          <t>S2-0741</t>
        </is>
      </c>
      <c r="B747" s="5" t="inlineStr">
        <is>
          <t>B-i</t>
        </is>
      </c>
      <c r="C747" s="3" t="inlineStr">
        <is>
          <t>Soomro, S.-E.-E.; Boota, M.W.; Soomro, N.-E.-E.; Soomro, G.-E.-Z.; Guo, J.; Hu, C.; Wahid, J.A.</t>
        </is>
      </c>
      <c r="D747" s="6" t="n">
        <v>2025</v>
      </c>
      <c r="E747" s="3" t="inlineStr">
        <is>
          <t>Harnessing public sentiment discourse for early drought detection and water crisis response for strategic water management and resilient policy planning</t>
        </is>
      </c>
      <c r="F747" s="3" t="inlineStr">
        <is>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is>
      </c>
      <c r="G747" s="5" t="inlineStr">
        <is>
          <t>Journal article</t>
        </is>
      </c>
      <c r="H747" s="5" t="inlineStr">
        <is>
          <t>10.1016/j.scitotenv.2025.179862</t>
        </is>
      </c>
      <c r="I747" s="5" t="n"/>
      <c r="J747" s="3" t="n"/>
    </row>
    <row r="748" ht="185.25" customHeight="1" s="18">
      <c r="A748" s="5" t="inlineStr">
        <is>
          <t>S2-0742</t>
        </is>
      </c>
      <c r="B748" s="5" t="inlineStr">
        <is>
          <t>B-i</t>
        </is>
      </c>
      <c r="C748" s="3" t="inlineStr">
        <is>
          <t>Wang, Z.; Xu, Z.; Wei, Y.; Chary, M.; Peng, Y.</t>
        </is>
      </c>
      <c r="D748" s="6" t="n">
        <v>2026</v>
      </c>
      <c r="E748" s="3" t="inlineStr">
        <is>
          <t>Curation and Extraction of Drug-Related Entities from Reddit Platform</t>
        </is>
      </c>
      <c r="F748" s="3" t="inlineStr">
        <is>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is>
      </c>
      <c r="G748" s="5" t="inlineStr">
        <is>
          <t>Conference paper</t>
        </is>
      </c>
      <c r="H748" s="5" t="inlineStr">
        <is>
          <t>10.1109/ichi69079.2026.00027</t>
        </is>
      </c>
      <c r="I748" s="5" t="n"/>
      <c r="J748" s="3" t="n"/>
    </row>
    <row r="749" ht="270.75" customHeight="1" s="18">
      <c r="A749" s="5" t="inlineStr">
        <is>
          <t>S2-0743</t>
        </is>
      </c>
      <c r="B749" s="5" t="inlineStr">
        <is>
          <t>B-i</t>
        </is>
      </c>
      <c r="C749" s="3" t="inlineStr">
        <is>
          <t>Chen, M.; Lu, X.; Zhou, Y.; Li, W.</t>
        </is>
      </c>
      <c r="D749" s="6" t="n">
        <v>2026</v>
      </c>
      <c r="E749" s="3" t="inlineStr">
        <is>
          <t>Analysis of Sentiment and Topic Evolution in Multi-Platform User Comments based on LoRA-Fine-Tuned Large Language Models</t>
        </is>
      </c>
      <c r="F749" s="3" t="inlineStr">
        <is>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is>
      </c>
      <c r="G749" s="5" t="inlineStr">
        <is>
          <t>Journal article</t>
        </is>
      </c>
      <c r="H749" s="5" t="n"/>
      <c r="I749" s="5" t="n"/>
      <c r="J749" s="3" t="n"/>
    </row>
    <row r="750" ht="409.5" customHeight="1" s="18">
      <c r="A750" s="5" t="inlineStr">
        <is>
          <t>S2-0744</t>
        </is>
      </c>
      <c r="B750" s="5" t="inlineStr">
        <is>
          <t>B-i</t>
        </is>
      </c>
      <c r="C750" s="3" t="inlineStr">
        <is>
          <t>Tang, J.; Jiang, H.; Peng, J.; Zhang, H.; Qin, P.; Huang, Z.</t>
        </is>
      </c>
      <c r="D750" s="6" t="n">
        <v>2026</v>
      </c>
      <c r="E750" s="3" t="inlineStr">
        <is>
          <t>AI-Driven Topic Modeling and Sentiment Analysis of Systemic Lupus Erythematosus Discussions on Social Media: Cross-Platform Study</t>
        </is>
      </c>
      <c r="F750" s="3" t="inlineStr">
        <is>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is>
      </c>
      <c r="G750" s="5" t="inlineStr">
        <is>
          <t>Journal article</t>
        </is>
      </c>
      <c r="H750" s="5" t="inlineStr">
        <is>
          <t>10.2196/95175</t>
        </is>
      </c>
      <c r="I750" s="5" t="n"/>
      <c r="J750" s="3" t="n"/>
    </row>
    <row r="751" ht="270.75" customHeight="1" s="18">
      <c r="A751" s="5" t="inlineStr">
        <is>
          <t>S2-0745</t>
        </is>
      </c>
      <c r="B751" s="5" t="inlineStr">
        <is>
          <t>B-i</t>
        </is>
      </c>
      <c r="C751" s="3" t="inlineStr">
        <is>
          <t>Rocha, S.; Silva, C.H.V.; Da Silva, M.J.; Neto, J.T.; Ferreira, C.H.G.; Gonçalves, G.D.</t>
        </is>
      </c>
      <c r="D751" s="6" t="n">
        <v>2026</v>
      </c>
      <c r="E751" s="3" t="inlineStr">
        <is>
          <t>Socio-Technical Constraints and Cross-Platform Model Generalization: Text Classification in Brazilian Public Security</t>
        </is>
      </c>
      <c r="F751" s="3" t="inlineStr">
        <is>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is>
      </c>
      <c r="G751" s="5" t="inlineStr">
        <is>
          <t>Conference paper</t>
        </is>
      </c>
      <c r="H751" s="5" t="inlineStr">
        <is>
          <t>10.1145/3795766.3799777</t>
        </is>
      </c>
      <c r="I751" s="5" t="n"/>
      <c r="J751" s="3" t="n"/>
    </row>
    <row r="752" ht="270.75" customHeight="1" s="18">
      <c r="A752" s="5" t="inlineStr">
        <is>
          <t>S2-0746</t>
        </is>
      </c>
      <c r="B752" s="5" t="inlineStr">
        <is>
          <t>B-i</t>
        </is>
      </c>
      <c r="C752" s="3" t="inlineStr">
        <is>
          <t>Kavut, M.; Dzafic, A.; Bayram, U.</t>
        </is>
      </c>
      <c r="D752" s="6" t="n">
        <v>2026</v>
      </c>
      <c r="E752" s="3" t="inlineStr">
        <is>
          <t>Assessing the Representation of Suicidal Ideation in Social Media Datasets Relative to Suicide Notes</t>
        </is>
      </c>
      <c r="F752" s="3" t="inlineStr">
        <is>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is>
      </c>
      <c r="G752" s="5" t="inlineStr">
        <is>
          <t>Journal article</t>
        </is>
      </c>
      <c r="H752" s="5" t="inlineStr">
        <is>
          <t>10.1109/taffc.2026.3664204</t>
        </is>
      </c>
      <c r="I752" s="5" t="n"/>
      <c r="J752" s="3" t="n"/>
    </row>
    <row r="753" ht="409.5" customHeight="1" s="18">
      <c r="A753" s="5" t="inlineStr">
        <is>
          <t>S2-0747</t>
        </is>
      </c>
      <c r="B753" s="5" t="inlineStr">
        <is>
          <t>B-i</t>
        </is>
      </c>
      <c r="C753" s="3" t="inlineStr">
        <is>
          <t>Hutchinson, D.; Lee, L.; Stone, H.; Moa, A.; Seale, H.; Macintyre, C.R.</t>
        </is>
      </c>
      <c r="D753" s="6" t="n">
        <v>2026</v>
      </c>
      <c r="E753" s="3" t="inlineStr">
        <is>
          <t>Comparison of Artificial Intelligence Tools With Human Coding for Sentiment, Topic, and Thematic Analysis Tasks of Public Health Datasets During the COVID-19 Pandemic in Australia: Case Study</t>
        </is>
      </c>
      <c r="F753" s="3" t="inlineStr">
        <is>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is>
      </c>
      <c r="G753" s="5" t="inlineStr">
        <is>
          <t>Journal article</t>
        </is>
      </c>
      <c r="H753" s="5" t="inlineStr">
        <is>
          <t>10.2196/80824</t>
        </is>
      </c>
      <c r="I753" s="5" t="n"/>
      <c r="J753" s="3" t="n"/>
    </row>
    <row r="754" ht="327.75" customHeight="1" s="18">
      <c r="A754" s="5" t="inlineStr">
        <is>
          <t>S2-0748</t>
        </is>
      </c>
      <c r="B754" s="5" t="inlineStr">
        <is>
          <t>B-i</t>
        </is>
      </c>
      <c r="C754" s="3" t="inlineStr">
        <is>
          <t>Iwidat, H.</t>
        </is>
      </c>
      <c r="D754" s="6" t="n">
        <v>2026</v>
      </c>
      <c r="E754" s="3" t="inlineStr">
        <is>
          <t>Integrating Large Language Models and Graph Neural Networks for enhanced Arabic sentiment analysis</t>
        </is>
      </c>
      <c r="F754" s="3" t="inlineStr">
        <is>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is>
      </c>
      <c r="G754" s="5" t="inlineStr">
        <is>
          <t>Journal article</t>
        </is>
      </c>
      <c r="H754" s="5" t="inlineStr">
        <is>
          <t>10.1007/s10791-026-10211-z</t>
        </is>
      </c>
      <c r="I754" s="5" t="n"/>
      <c r="J754" s="3" t="n"/>
    </row>
    <row r="755" ht="299.25" customHeight="1" s="18">
      <c r="A755" s="5" t="inlineStr">
        <is>
          <t>S2-0749</t>
        </is>
      </c>
      <c r="B755" s="5" t="inlineStr">
        <is>
          <t>B-i</t>
        </is>
      </c>
      <c r="C755" s="3" t="inlineStr">
        <is>
          <t>Aust, L.; Fu, A.; Hu, D.; Kasson, E.; Wu, D.; Cavazos-Rehg, P.; Chen, L.-S.; Liu, H.; Huang, M.</t>
        </is>
      </c>
      <c r="D755" s="6" t="n">
        <v>2026</v>
      </c>
      <c r="E755" s="3" t="inlineStr">
        <is>
          <t>Multi-Agent Adjudication for Transtheoretical Model-Based Classification of Vaping Cessation Stages in Reddit Vaping Discourse</t>
        </is>
      </c>
      <c r="F755" s="3" t="inlineStr">
        <is>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is>
      </c>
      <c r="G755" s="5" t="inlineStr">
        <is>
          <t>Conference paper</t>
        </is>
      </c>
      <c r="H755" s="5" t="inlineStr">
        <is>
          <t>10.1109/ichi69079.2026.00278</t>
        </is>
      </c>
      <c r="I755" s="5" t="n"/>
      <c r="J755" s="3" t="n"/>
    </row>
    <row r="756" ht="156.75" customHeight="1" s="18">
      <c r="A756" s="5" t="inlineStr">
        <is>
          <t>S2-0750</t>
        </is>
      </c>
      <c r="B756" s="5" t="inlineStr">
        <is>
          <t>B-i</t>
        </is>
      </c>
      <c r="C756" s="3" t="inlineStr">
        <is>
          <t>Hsieh, P.-H.</t>
        </is>
      </c>
      <c r="D756" s="6" t="n">
        <v>2025</v>
      </c>
      <c r="E756" s="3" t="inlineStr">
        <is>
          <t>Psychological reactance to vaccine mandates on Twitter: a study of sentiments in the United States</t>
        </is>
      </c>
      <c r="F756" s="3" t="inlineStr">
        <is>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is>
      </c>
      <c r="G756" s="5" t="inlineStr">
        <is>
          <t>Journal article</t>
        </is>
      </c>
      <c r="H756" s="5" t="inlineStr">
        <is>
          <t>10.1057/s41271-025-00554-0</t>
        </is>
      </c>
      <c r="I756" s="5" t="n"/>
      <c r="J756" s="3" t="n"/>
    </row>
    <row r="757" ht="213.75" customHeight="1" s="18">
      <c r="A757" s="5" t="inlineStr">
        <is>
          <t>S2-0751</t>
        </is>
      </c>
      <c r="B757" s="5" t="inlineStr">
        <is>
          <t>B-i</t>
        </is>
      </c>
      <c r="C757" s="3" t="inlineStr">
        <is>
          <t>Lin, J.; Cai, T.; Chen, W.; Yang, Z.; Liao, X.</t>
        </is>
      </c>
      <c r="D757" s="6" t="n">
        <v>2026</v>
      </c>
      <c r="E757" s="3" t="inlineStr">
        <is>
          <t>Dynamic Reliable-Aware Router for Few-Shot Multimodal Sentiment Analysis</t>
        </is>
      </c>
      <c r="F757" s="3" t="inlineStr">
        <is>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is>
      </c>
      <c r="G757" s="5" t="inlineStr">
        <is>
          <t>Conference paper</t>
        </is>
      </c>
      <c r="H757" s="5" t="inlineStr">
        <is>
          <t>10.1109/dlcv69906.2026.11635125</t>
        </is>
      </c>
      <c r="I757" s="5" t="n"/>
      <c r="J757" s="3" t="n"/>
    </row>
    <row r="758" ht="409.5" customHeight="1" s="18">
      <c r="A758" s="5" t="inlineStr">
        <is>
          <t>S2-0752</t>
        </is>
      </c>
      <c r="B758" s="5" t="inlineStr">
        <is>
          <t>B-i</t>
        </is>
      </c>
      <c r="C758" s="3" t="inlineStr">
        <is>
          <t>Dietrich, J.; Hollstein, A.</t>
        </is>
      </c>
      <c r="D758" s="6" t="n">
        <v>2025</v>
      </c>
      <c r="E758" s="3" t="inlineStr">
        <is>
          <t>Performance and Reproducibility of Large Language Models in Named Entity Recognition: Considerations for the Use in Controlled Environments</t>
        </is>
      </c>
      <c r="F758" s="3" t="inlineStr">
        <is>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is>
      </c>
      <c r="G758" s="5" t="inlineStr">
        <is>
          <t>Journal article</t>
        </is>
      </c>
      <c r="H758" s="5" t="inlineStr">
        <is>
          <t>10.1007/s40264-024-01499-1</t>
        </is>
      </c>
      <c r="I758" s="5" t="n"/>
      <c r="J758" s="3" t="n"/>
    </row>
    <row r="759" ht="327.75" customHeight="1" s="18">
      <c r="A759" s="5" t="inlineStr">
        <is>
          <t>S2-0753</t>
        </is>
      </c>
      <c r="B759" s="5" t="inlineStr">
        <is>
          <t>B-i</t>
        </is>
      </c>
      <c r="C759" s="3" t="inlineStr">
        <is>
          <t>Şeker, A.</t>
        </is>
      </c>
      <c r="D759" s="6" t="n">
        <v>2026</v>
      </c>
      <c r="E759" s="3" t="inlineStr">
        <is>
          <t>From Language Identification to Topic Modelling: A Fully Integrated Pipeline for Multilingual Aspect-Based Sentiment Analysis and Component-Level Insights</t>
        </is>
      </c>
      <c r="F759" s="3" t="inlineStr">
        <is>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is>
      </c>
      <c r="G759" s="5" t="inlineStr">
        <is>
          <t>Journal article</t>
        </is>
      </c>
      <c r="H759" s="5" t="inlineStr">
        <is>
          <t>10.1111/exsy.70300</t>
        </is>
      </c>
      <c r="I759" s="5" t="n"/>
      <c r="J759" s="3" t="n"/>
    </row>
    <row r="760" ht="342" customHeight="1" s="18">
      <c r="A760" s="5" t="inlineStr">
        <is>
          <t>S2-0754</t>
        </is>
      </c>
      <c r="B760" s="5" t="inlineStr">
        <is>
          <t>B-i</t>
        </is>
      </c>
      <c r="C760" s="3" t="inlineStr">
        <is>
          <t>Nagpal, S.; Sabharwal, S.</t>
        </is>
      </c>
      <c r="D760" s="6" t="n">
        <v>2026</v>
      </c>
      <c r="E760" s="3" t="inlineStr">
        <is>
          <t>Mental Health Disorder Prediction with PEFT-Enhanced Large Language Model</t>
        </is>
      </c>
      <c r="F760" s="3" t="inlineStr">
        <is>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is>
      </c>
      <c r="G760" s="5" t="inlineStr">
        <is>
          <t>Conference paper</t>
        </is>
      </c>
      <c r="H760" s="5" t="inlineStr">
        <is>
          <t>10.1007/978-3-032-28594-2_37</t>
        </is>
      </c>
      <c r="I760" s="5" t="n"/>
      <c r="J760" s="3" t="n"/>
    </row>
    <row r="761" ht="313.5" customHeight="1" s="18">
      <c r="A761" s="5" t="inlineStr">
        <is>
          <t>S2-0755</t>
        </is>
      </c>
      <c r="B761" s="5" t="inlineStr">
        <is>
          <t>B-i</t>
        </is>
      </c>
      <c r="C761" s="3" t="inlineStr">
        <is>
          <t>Moreno-Cediel, A.; Garcia-Cabot, A.; Garcia-Lopez, E.</t>
        </is>
      </c>
      <c r="D761" s="6" t="n">
        <v>2026</v>
      </c>
      <c r="E761" s="3" t="inlineStr">
        <is>
          <t>From Binary to Multi-Class: LLM-Judged Synthetic Annotation Applied to Hate Speech Detection</t>
        </is>
      </c>
      <c r="F761" s="3" t="inlineStr">
        <is>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is>
      </c>
      <c r="G761" s="5" t="inlineStr">
        <is>
          <t>Journal article</t>
        </is>
      </c>
      <c r="H761" s="5" t="inlineStr">
        <is>
          <t>10.32604/cmc.2026.083252</t>
        </is>
      </c>
      <c r="I761" s="5" t="n"/>
      <c r="J761" s="3" t="n"/>
    </row>
    <row r="762" ht="242.25" customHeight="1" s="18">
      <c r="A762" s="5" t="inlineStr">
        <is>
          <t>S2-0756</t>
        </is>
      </c>
      <c r="B762" s="5" t="inlineStr">
        <is>
          <t>B-i</t>
        </is>
      </c>
      <c r="C762" s="3" t="inlineStr">
        <is>
          <t>Bulut, K.U.; Mostofi, H.</t>
        </is>
      </c>
      <c r="D762" s="6" t="n">
        <v>2026</v>
      </c>
      <c r="E762" s="3" t="inlineStr">
        <is>
          <t>Analyzing Public Perceptions of Mobility Electrification in Germany and China Through Social Media with Large Language Models</t>
        </is>
      </c>
      <c r="F762" s="3" t="inlineStr">
        <is>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is>
      </c>
      <c r="G762" s="5" t="inlineStr">
        <is>
          <t>Journal article</t>
        </is>
      </c>
      <c r="H762" s="5" t="inlineStr">
        <is>
          <t>10.3390/vehicles8010021</t>
        </is>
      </c>
      <c r="I762" s="5" t="n"/>
      <c r="J762" s="3" t="n"/>
    </row>
    <row r="763" ht="199.5" customHeight="1" s="18">
      <c r="A763" s="5" t="inlineStr">
        <is>
          <t>S2-0757</t>
        </is>
      </c>
      <c r="B763" s="5" t="inlineStr">
        <is>
          <t>B-i</t>
        </is>
      </c>
      <c r="C763" s="3" t="inlineStr">
        <is>
          <t>Chen, X.; Lin, J.; Zhong, Z.</t>
        </is>
      </c>
      <c r="D763" s="6" t="n">
        <v>2026</v>
      </c>
      <c r="E763" s="3" t="inlineStr">
        <is>
          <t>Measuring online public opinion polarization: Comparing and optimizing metrics using LLMs on social media text datasets</t>
        </is>
      </c>
      <c r="F763" s="3" t="inlineStr">
        <is>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is>
      </c>
      <c r="G763" s="5" t="inlineStr">
        <is>
          <t>Journal article</t>
        </is>
      </c>
      <c r="H763" s="5" t="inlineStr">
        <is>
          <t>10.1016/j.osnem.2026.100351</t>
        </is>
      </c>
      <c r="I763" s="5" t="n"/>
      <c r="J763" s="3" t="n"/>
    </row>
    <row r="764" ht="285" customHeight="1" s="18">
      <c r="A764" s="5" t="inlineStr">
        <is>
          <t>S2-0758</t>
        </is>
      </c>
      <c r="B764" s="5" t="inlineStr">
        <is>
          <t>B-i</t>
        </is>
      </c>
      <c r="C764" s="3" t="inlineStr">
        <is>
          <t>Prasad, A.; Shalmani, S.A.; He, L.; Wang, Y.; McRoy, S.</t>
        </is>
      </c>
      <c r="D764" s="6" t="n">
        <v>2025</v>
      </c>
      <c r="E764" s="3" t="inlineStr">
        <is>
          <t>Identifying Themes in Social Media Discussions of Eating Disorders: A Quantitative Analysis of How Meaningful Guidance and Examples Improve LLM Classification</t>
        </is>
      </c>
      <c r="F764" s="3" t="inlineStr">
        <is>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is>
      </c>
      <c r="G764" s="5" t="inlineStr">
        <is>
          <t>Journal article</t>
        </is>
      </c>
      <c r="H764" s="5" t="inlineStr">
        <is>
          <t>10.3390/biomedinformatics5030040</t>
        </is>
      </c>
      <c r="I764" s="5" t="n"/>
      <c r="J764" s="3" t="n"/>
    </row>
    <row r="765" ht="228" customHeight="1" s="18">
      <c r="A765" s="5" t="inlineStr">
        <is>
          <t>S2-0759</t>
        </is>
      </c>
      <c r="B765" s="5" t="inlineStr">
        <is>
          <t>B-i</t>
        </is>
      </c>
      <c r="C765" s="3" t="inlineStr">
        <is>
          <t>Noersasongko, E.; Budiman, F.; Supriyanto, C.</t>
        </is>
      </c>
      <c r="D765" s="6" t="n">
        <v>2025</v>
      </c>
      <c r="E765" s="3" t="inlineStr">
        <is>
          <t>LAStER: Lexical Data Augmentation with Stacking Ensembles for Robust Emotion Detection in Low-Resource Corpora</t>
        </is>
      </c>
      <c r="F765" s="3" t="inlineStr">
        <is>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is>
      </c>
      <c r="G765" s="5" t="inlineStr">
        <is>
          <t>Journal article</t>
        </is>
      </c>
      <c r="H765" s="5" t="inlineStr">
        <is>
          <t>10.22266/ijies2025.1231.61</t>
        </is>
      </c>
      <c r="I765" s="5" t="n"/>
      <c r="J765" s="3" t="n"/>
    </row>
    <row r="766" ht="356.25" customHeight="1" s="18">
      <c r="A766" s="5" t="inlineStr">
        <is>
          <t>S2-0760</t>
        </is>
      </c>
      <c r="B766" s="5" t="inlineStr">
        <is>
          <t>B-i</t>
        </is>
      </c>
      <c r="C766" s="3" t="inlineStr">
        <is>
          <t>Feng, W.; Yang, C.; Zhao, M.; Xia, Z.; Wang, F.</t>
        </is>
      </c>
      <c r="D766" s="6" t="n">
        <v>2026</v>
      </c>
      <c r="E766" s="3" t="inlineStr">
        <is>
          <t>CoFFEe-Qwen: A Large Language Model for Chinese Financial Sentiment Analysis Using the Contrastive Learning and Fine-Tuning Paradigm</t>
        </is>
      </c>
      <c r="F766" s="3" t="inlineStr">
        <is>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is>
      </c>
      <c r="G766" s="5" t="inlineStr">
        <is>
          <t>Journal article</t>
        </is>
      </c>
      <c r="H766" s="5" t="n"/>
      <c r="I766" s="5" t="n"/>
      <c r="J766" s="3" t="n"/>
    </row>
    <row r="767" ht="327.75" customHeight="1" s="18">
      <c r="A767" s="5" t="inlineStr">
        <is>
          <t>S2-0761</t>
        </is>
      </c>
      <c r="B767" s="5" t="inlineStr">
        <is>
          <t>B-i</t>
        </is>
      </c>
      <c r="C767" s="3" t="inlineStr">
        <is>
          <t>Xiong, S.; Tian, W.; Wang, B.; Zhang, Y.; Zhang, X.; Che, Y.; Shi, L.; Si, H.</t>
        </is>
      </c>
      <c r="D767" s="6" t="n">
        <v>2025</v>
      </c>
      <c r="E767" s="3" t="inlineStr">
        <is>
          <t>Enhancing food safety review classification with large language models and label embedding</t>
        </is>
      </c>
      <c r="F767" s="3" t="inlineStr">
        <is>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is>
      </c>
      <c r="G767" s="5" t="inlineStr">
        <is>
          <t>Journal article</t>
        </is>
      </c>
      <c r="H767" s="5" t="inlineStr">
        <is>
          <t>10.1016/j.eswa.2025.127550</t>
        </is>
      </c>
      <c r="I767" s="5" t="n"/>
      <c r="J767" s="3" t="n"/>
    </row>
    <row r="768" ht="156.75" customHeight="1" s="18">
      <c r="A768" s="5" t="inlineStr">
        <is>
          <t>S2-0762</t>
        </is>
      </c>
      <c r="B768" s="5" t="inlineStr">
        <is>
          <t>B-i</t>
        </is>
      </c>
      <c r="C768" s="3" t="inlineStr">
        <is>
          <t>Abeynayake, V.S.; Lorensuhewa, S.A.S.; Kalyani, M.A.L.</t>
        </is>
      </c>
      <c r="D768" s="6" t="n">
        <v>2026</v>
      </c>
      <c r="E768" s="3" t="inlineStr">
        <is>
          <t>Fine-Tuning SinLlama for Sentiment Analysis in Romanized Sinhala-English Code-Mixed Social Media Text</t>
        </is>
      </c>
      <c r="F768" s="3" t="inlineStr">
        <is>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is>
      </c>
      <c r="G768" s="5" t="inlineStr">
        <is>
          <t>Conference paper</t>
        </is>
      </c>
      <c r="H768" s="5" t="inlineStr">
        <is>
          <t>10.1109/icarc68737.2026.11453630</t>
        </is>
      </c>
      <c r="I768" s="5" t="n"/>
      <c r="J768" s="3" t="n"/>
    </row>
    <row r="769" ht="409.5" customHeight="1" s="18">
      <c r="A769" s="5" t="inlineStr">
        <is>
          <t>S2-0763</t>
        </is>
      </c>
      <c r="B769" s="5" t="inlineStr">
        <is>
          <t>B-i</t>
        </is>
      </c>
      <c r="C769" s="3" t="inlineStr">
        <is>
          <t>Alkaoud, M.</t>
        </is>
      </c>
      <c r="D769" s="6" t="n">
        <v>2025</v>
      </c>
      <c r="E769" s="3" t="inlineStr">
        <is>
          <t>On the effectiveness of limited-data large language model fine-tuning for Arabic</t>
        </is>
      </c>
      <c r="F769" s="3" t="inlineStr">
        <is>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is>
      </c>
      <c r="G769" s="5" t="inlineStr">
        <is>
          <t>Journal article</t>
        </is>
      </c>
      <c r="H769" s="5" t="inlineStr">
        <is>
          <t>10.1371/journal.pone.0332419</t>
        </is>
      </c>
      <c r="I769" s="5" t="n"/>
      <c r="J769" s="3" t="n"/>
    </row>
    <row r="770" ht="327.75" customHeight="1" s="18">
      <c r="A770" s="5" t="inlineStr">
        <is>
          <t>S2-0764</t>
        </is>
      </c>
      <c r="B770" s="5" t="inlineStr">
        <is>
          <t>B-i</t>
        </is>
      </c>
      <c r="C770" s="3" t="inlineStr">
        <is>
          <t>Mahdhaoui, H.; Mars, A.; Hazar, M.J.; Abid Ali, A.A.M.; Zrigui, S.; Zrigui, M.</t>
        </is>
      </c>
      <c r="D770" s="6" t="n">
        <v>2026</v>
      </c>
      <c r="E770" s="3" t="inlineStr">
        <is>
          <t>Bridging the Maghrebi Dialect Gap: Multi-Dialect Named Entity Recognition for North African Arabic Using Dialect-Aware Active Learning and Cross-Dialectal Transfer</t>
        </is>
      </c>
      <c r="F770" s="3" t="inlineStr">
        <is>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is>
      </c>
      <c r="G770" s="5" t="inlineStr">
        <is>
          <t>Conference paper</t>
        </is>
      </c>
      <c r="H770" s="5" t="inlineStr">
        <is>
          <t>10.5220/0014399000004052</t>
        </is>
      </c>
      <c r="I770" s="5" t="n"/>
      <c r="J770" s="3" t="n"/>
    </row>
    <row r="771" ht="409.5" customHeight="1" s="18">
      <c r="A771" s="5" t="inlineStr">
        <is>
          <t>S2-0765</t>
        </is>
      </c>
      <c r="B771" s="5" t="inlineStr">
        <is>
          <t>B-i</t>
        </is>
      </c>
      <c r="C771" s="3" t="inlineStr">
        <is>
          <t>Yang, S.; Hawryluk, C.; Liu, J.; Eckert, N.; Otoo, J.; Vina, E.R.; Yao, L.</t>
        </is>
      </c>
      <c r="D771" s="6" t="n">
        <v>2026</v>
      </c>
      <c r="E771" s="3" t="inlineStr">
        <is>
          <t>Harnessing AI and social media to understand real-world patient experiences in SLE</t>
        </is>
      </c>
      <c r="F771" s="3" t="inlineStr">
        <is>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is>
      </c>
      <c r="G771" s="5" t="inlineStr">
        <is>
          <t>Journal article</t>
        </is>
      </c>
      <c r="H771" s="5" t="inlineStr">
        <is>
          <t>10.1136/lupus-2026-002024</t>
        </is>
      </c>
      <c r="I771" s="5" t="n"/>
      <c r="J771" s="3" t="n"/>
    </row>
    <row r="772" ht="313.5" customHeight="1" s="18">
      <c r="A772" s="5" t="inlineStr">
        <is>
          <t>S2-0766</t>
        </is>
      </c>
      <c r="B772" s="5" t="inlineStr">
        <is>
          <t>B-i</t>
        </is>
      </c>
      <c r="C772" s="3" t="inlineStr">
        <is>
          <t>Xia, T.; Liu, X.; Deng, Y.; Qiu, F.</t>
        </is>
      </c>
      <c r="D772" s="6" t="n">
        <v>2026</v>
      </c>
      <c r="E772" s="3" t="inlineStr">
        <is>
          <t>Augmenting Sentiment Analysis with a Hierarchical Pre-Attention Framework and Strategic LLM Fine-Tuning</t>
        </is>
      </c>
      <c r="F772" s="3" t="inlineStr">
        <is>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is>
      </c>
      <c r="G772" s="5" t="inlineStr">
        <is>
          <t>Journal article</t>
        </is>
      </c>
      <c r="H772" s="5" t="inlineStr">
        <is>
          <t>10.3390/app16094515</t>
        </is>
      </c>
      <c r="I772" s="5" t="n"/>
      <c r="J772" s="3" t="n"/>
    </row>
    <row r="773" ht="327.75" customHeight="1" s="18">
      <c r="A773" s="5" t="inlineStr">
        <is>
          <t>S2-0767</t>
        </is>
      </c>
      <c r="B773" s="5" t="inlineStr">
        <is>
          <t>B-i</t>
        </is>
      </c>
      <c r="C773" s="3" t="inlineStr">
        <is>
          <t>Oprea, S.-V.; Bâra, A.</t>
        </is>
      </c>
      <c r="D773" s="6" t="n">
        <v>2025</v>
      </c>
      <c r="E773" s="3" t="inlineStr">
        <is>
          <t>Extracting Emotions from Customer Reviews Using Text Mining, Large Language Models and Fine-Tuning Strategies</t>
        </is>
      </c>
      <c r="F773" s="3" t="inlineStr">
        <is>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is>
      </c>
      <c r="G773" s="5" t="inlineStr">
        <is>
          <t>Journal article</t>
        </is>
      </c>
      <c r="H773" s="5" t="inlineStr">
        <is>
          <t>10.3390/jtaer20030221</t>
        </is>
      </c>
      <c r="I773" s="5" t="n"/>
      <c r="J773" s="3" t="n"/>
    </row>
    <row r="774" ht="256.5" customHeight="1" s="18">
      <c r="A774" s="5" t="inlineStr">
        <is>
          <t>S2-0768</t>
        </is>
      </c>
      <c r="B774" s="5" t="inlineStr">
        <is>
          <t>B-i</t>
        </is>
      </c>
      <c r="C774" s="3" t="inlineStr">
        <is>
          <t>Stanley, M.; Datta, S.; Kumar, A.; Khudabukhsh, A.R.</t>
        </is>
      </c>
      <c r="D774" s="6" t="n">
        <v>2026</v>
      </c>
      <c r="E774" s="3" t="inlineStr">
        <is>
          <t>Investigating Vaccine Buyer’s Remorse: Post-Vaccination Decision Regret in COVID-19 Social Media Using Politically Diverse Human Annotation</t>
        </is>
      </c>
      <c r="F774" s="3" t="inlineStr">
        <is>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is>
      </c>
      <c r="G774" s="5" t="inlineStr">
        <is>
          <t>Conference paper</t>
        </is>
      </c>
      <c r="H774" s="5" t="inlineStr">
        <is>
          <t>10.1609/aaai.v40i46.41278</t>
        </is>
      </c>
      <c r="I774" s="5" t="n"/>
      <c r="J774" s="3" t="n"/>
    </row>
    <row r="775" ht="409.5" customHeight="1" s="18">
      <c r="A775" s="5" t="inlineStr">
        <is>
          <t>S2-0769</t>
        </is>
      </c>
      <c r="B775" s="5" t="inlineStr">
        <is>
          <t>B-i</t>
        </is>
      </c>
      <c r="C775" s="3" t="inlineStr">
        <is>
          <t>Hussain, S.S.A.; Fujisaki, K.; Yai, T.</t>
        </is>
      </c>
      <c r="D775" s="6" t="n">
        <v>2026</v>
      </c>
      <c r="E775" s="3" t="inlineStr">
        <is>
          <t>Understanding Audience Engagement with Japan Travel Itinerary Videos Across Social Media Platforms</t>
        </is>
      </c>
      <c r="F775" s="3" t="inlineStr">
        <is>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is>
      </c>
      <c r="G775" s="5" t="inlineStr">
        <is>
          <t>Conference paper</t>
        </is>
      </c>
      <c r="H775" s="5" t="inlineStr">
        <is>
          <t>10.34190/ictr.9.1.4417</t>
        </is>
      </c>
      <c r="I775" s="5" t="n"/>
      <c r="J775" s="3" t="n"/>
    </row>
    <row r="776" ht="370.5" customHeight="1" s="18">
      <c r="A776" s="5" t="inlineStr">
        <is>
          <t>S2-0770</t>
        </is>
      </c>
      <c r="B776" s="5" t="inlineStr">
        <is>
          <t>B-i</t>
        </is>
      </c>
      <c r="C776" s="3" t="inlineStr">
        <is>
          <t>Narasimharao, K.; V.Jayasri, A.S.</t>
        </is>
      </c>
      <c r="D776" s="6" t="n">
        <v>2026</v>
      </c>
      <c r="E776" s="3" t="inlineStr">
        <is>
          <t>Enhanced Multilingual Text Classification with Pre-Trained Language Models</t>
        </is>
      </c>
      <c r="F776" s="3" t="inlineStr">
        <is>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is>
      </c>
      <c r="G776" s="5" t="inlineStr">
        <is>
          <t>Journal article</t>
        </is>
      </c>
      <c r="H776" s="5" t="n"/>
      <c r="I776" s="5" t="n"/>
      <c r="J776" s="3" t="n"/>
    </row>
    <row r="777" ht="270.75" customHeight="1" s="18">
      <c r="A777" s="5" t="inlineStr">
        <is>
          <t>S2-0771</t>
        </is>
      </c>
      <c r="B777" s="5" t="inlineStr">
        <is>
          <t>B-i</t>
        </is>
      </c>
      <c r="C777" s="3" t="inlineStr">
        <is>
          <t>Sharma, V.S.; Nakrani, T.; Sharma, S.</t>
        </is>
      </c>
      <c r="D777" s="6" t="n">
        <v>2026</v>
      </c>
      <c r="E777" s="3" t="inlineStr">
        <is>
          <t>Improving Sentiment Analysis in Social Media Using Deep Learning Techniques: A Comparison Study of Generative AI Model Approaches in Gujarati Language Context</t>
        </is>
      </c>
      <c r="F777" s="3" t="inlineStr">
        <is>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is>
      </c>
      <c r="G777" s="5" t="inlineStr">
        <is>
          <t>Journal article</t>
        </is>
      </c>
      <c r="H777" s="5" t="inlineStr">
        <is>
          <t>10.70917/ijcisim-2026-2291</t>
        </is>
      </c>
      <c r="I777" s="5" t="n"/>
      <c r="J777" s="3" t="n"/>
    </row>
    <row r="778" ht="342" customHeight="1" s="18">
      <c r="A778" s="5" t="inlineStr">
        <is>
          <t>S2-0772</t>
        </is>
      </c>
      <c r="B778" s="5" t="inlineStr">
        <is>
          <t>B-i</t>
        </is>
      </c>
      <c r="C778" s="3" t="inlineStr">
        <is>
          <t>Singh, S.K.; Koyal, A.; Saghir, U.; Ojha, N.K.</t>
        </is>
      </c>
      <c r="D778" s="6" t="n">
        <v>2026</v>
      </c>
      <c r="E778" s="3" t="inlineStr">
        <is>
          <t>Machine Learning and Deep Learning Approaches Based Sentiment Analysis for Multilingual Text</t>
        </is>
      </c>
      <c r="F778" s="3" t="inlineStr">
        <is>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is>
      </c>
      <c r="G778" s="5" t="inlineStr">
        <is>
          <t>Conference paper</t>
        </is>
      </c>
      <c r="H778" s="5" t="inlineStr">
        <is>
          <t>10.1109/mpcon69668.2026.11508618</t>
        </is>
      </c>
      <c r="I778" s="5" t="n"/>
      <c r="J778" s="3" t="n"/>
    </row>
    <row r="779" ht="228" customHeight="1" s="18">
      <c r="A779" s="5" t="inlineStr">
        <is>
          <t>S2-0773</t>
        </is>
      </c>
      <c r="B779" s="5" t="inlineStr">
        <is>
          <t>B-i</t>
        </is>
      </c>
      <c r="C779" s="3" t="inlineStr">
        <is>
          <t>Zhou, K.; Chen, W.; Sheng, W.; Hu, B.; Yang, Y.; Yang, L.; Lu, H.</t>
        </is>
      </c>
      <c r="D779" s="6" t="n">
        <v>2025</v>
      </c>
      <c r="E779" s="3" t="inlineStr">
        <is>
          <t>Explainable AI with fine-tuned large language models for sustainable cultural heritage management</t>
        </is>
      </c>
      <c r="F779" s="3" t="inlineStr">
        <is>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is>
      </c>
      <c r="G779" s="5" t="inlineStr">
        <is>
          <t>Journal article</t>
        </is>
      </c>
      <c r="H779" s="5" t="inlineStr">
        <is>
          <t>10.1038/s41598-025-25406-5</t>
        </is>
      </c>
      <c r="I779" s="5" t="n"/>
      <c r="J779" s="3" t="n"/>
    </row>
    <row r="780" ht="242.25" customHeight="1" s="18">
      <c r="A780" s="5" t="inlineStr">
        <is>
          <t>S2-0774</t>
        </is>
      </c>
      <c r="B780" s="5" t="inlineStr">
        <is>
          <t>B-i</t>
        </is>
      </c>
      <c r="C780" s="3" t="inlineStr">
        <is>
          <t>Kabir, M.E.; Tanim, S.H.; Sellnow, D.D.; Luteria, G.L.P.; Rennert, L.</t>
        </is>
      </c>
      <c r="D780" s="6" t="n">
        <v>2026</v>
      </c>
      <c r="E780" s="3" t="inlineStr">
        <is>
          <t>Teaching AI to Decode Vaccine Hesitancy Narratives: A Few-Shot Learning and Topic Modeling Approach</t>
        </is>
      </c>
      <c r="F780" s="3" t="inlineStr">
        <is>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is>
      </c>
      <c r="G780" s="5" t="inlineStr">
        <is>
          <t>Journal article</t>
        </is>
      </c>
      <c r="H780" s="5" t="inlineStr">
        <is>
          <t>10.3390/bdcc10050159</t>
        </is>
      </c>
      <c r="I780" s="5" t="n"/>
      <c r="J780" s="3" t="n"/>
    </row>
    <row r="781" ht="199.5" customHeight="1" s="18">
      <c r="A781" s="5" t="inlineStr">
        <is>
          <t>S2-0775</t>
        </is>
      </c>
      <c r="B781" s="5" t="inlineStr">
        <is>
          <t>B-i</t>
        </is>
      </c>
      <c r="C781" s="3" t="inlineStr">
        <is>
          <t>Gebremeskel, H.G.; Feng, C.</t>
        </is>
      </c>
      <c r="D781" s="6" t="n">
        <v>2026</v>
      </c>
      <c r="E781" s="3" t="inlineStr">
        <is>
          <t>Exploring Sentiment Analysis in Tigrigna: Insights from Social Media Texts</t>
        </is>
      </c>
      <c r="F781" s="3" t="inlineStr">
        <is>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is>
      </c>
      <c r="G781" s="5" t="inlineStr">
        <is>
          <t>Conference paper</t>
        </is>
      </c>
      <c r="H781" s="5" t="inlineStr">
        <is>
          <t>10.1007/978-981-95-3349-7_34</t>
        </is>
      </c>
      <c r="I781" s="5" t="n"/>
      <c r="J781" s="3" t="n"/>
    </row>
    <row r="782" ht="285" customHeight="1" s="18">
      <c r="A782" s="5" t="inlineStr">
        <is>
          <t>S2-0776</t>
        </is>
      </c>
      <c r="B782" s="5" t="inlineStr">
        <is>
          <t>B-i</t>
        </is>
      </c>
      <c r="C782" s="3" t="inlineStr">
        <is>
          <t>Gautam, H.; Gaur, A.; Yadav, D.K.</t>
        </is>
      </c>
      <c r="D782" s="6" t="n">
        <v>2025</v>
      </c>
      <c r="E782" s="3" t="inlineStr">
        <is>
          <t>A Survey on the Impact of Pre-Trained Language Models in Sentiment Classification Task</t>
        </is>
      </c>
      <c r="F782" s="3" t="inlineStr">
        <is>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is>
      </c>
      <c r="G782" s="5" t="inlineStr">
        <is>
          <t>Journal article</t>
        </is>
      </c>
      <c r="H782" s="5" t="inlineStr">
        <is>
          <t>10.1007/s41060-025-00805-z</t>
        </is>
      </c>
      <c r="I782" s="5" t="n"/>
      <c r="J782" s="3" t="n"/>
    </row>
    <row r="783" ht="285" customHeight="1" s="18">
      <c r="A783" s="5" t="inlineStr">
        <is>
          <t>S2-0777</t>
        </is>
      </c>
      <c r="B783" s="5" t="inlineStr">
        <is>
          <t>B-i</t>
        </is>
      </c>
      <c r="C783" s="3" t="inlineStr">
        <is>
          <t>Yang, Y.Y.; Wang, C.-C.; Chou, P.-L.; Tien, C.-Y.; Wen, J.-C.; Chen, N.-H.</t>
        </is>
      </c>
      <c r="D783" s="6" t="n">
        <v>2026</v>
      </c>
      <c r="E783" s="3" t="inlineStr">
        <is>
          <t>Evaluating human-based and large language model-based content analysis: A case study on negative word-of-mouth classification in social media</t>
        </is>
      </c>
      <c r="F783" s="3" t="inlineStr">
        <is>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is>
      </c>
      <c r="G783" s="5" t="inlineStr">
        <is>
          <t>Journal article</t>
        </is>
      </c>
      <c r="H783" s="5" t="inlineStr">
        <is>
          <t>10.1016/j.chb.2026.108904</t>
        </is>
      </c>
      <c r="I783" s="5" t="n"/>
      <c r="J783" s="3" t="n"/>
    </row>
    <row r="784" ht="409.5" customHeight="1" s="18">
      <c r="A784" s="5" t="inlineStr">
        <is>
          <t>S2-0778</t>
        </is>
      </c>
      <c r="B784" s="5" t="inlineStr">
        <is>
          <t>B-i</t>
        </is>
      </c>
      <c r="C784" s="3" t="inlineStr">
        <is>
          <t>Bayram, I.; Ugur, N.G.</t>
        </is>
      </c>
      <c r="D784" s="6" t="n">
        <v>2026</v>
      </c>
      <c r="E784" s="3" t="inlineStr">
        <is>
          <t>AI perception in digital consumption: A multi-layered analysis of evaluation, discourse, and engagement</t>
        </is>
      </c>
      <c r="F784" s="3" t="inlineStr">
        <is>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is>
      </c>
      <c r="G784" s="5" t="inlineStr">
        <is>
          <t>Journal article</t>
        </is>
      </c>
      <c r="H784" s="5" t="inlineStr">
        <is>
          <t>10.1016/j.jretconser.2026.104937</t>
        </is>
      </c>
      <c r="I784" s="5" t="n"/>
      <c r="J784" s="3" t="n"/>
    </row>
    <row r="785" ht="242.25" customHeight="1" s="18">
      <c r="A785" s="5" t="inlineStr">
        <is>
          <t>S2-0779</t>
        </is>
      </c>
      <c r="B785" s="5" t="inlineStr">
        <is>
          <t>B-i</t>
        </is>
      </c>
      <c r="C785" s="3" t="inlineStr">
        <is>
          <t>Suresh, G.</t>
        </is>
      </c>
      <c r="D785" s="6" t="n">
        <v>2026</v>
      </c>
      <c r="E785" s="3" t="inlineStr">
        <is>
          <t>A Comprehensive Review on Sentiment Analysis in Low-Resource and Code-Mixed Languages</t>
        </is>
      </c>
      <c r="F785" s="3" t="inlineStr">
        <is>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is>
      </c>
      <c r="G785" s="5" t="inlineStr">
        <is>
          <t>Conference paper</t>
        </is>
      </c>
      <c r="H785" s="5" t="inlineStr">
        <is>
          <t>10.1109/iccces62661.2026.11437331</t>
        </is>
      </c>
      <c r="I785" s="5" t="n"/>
      <c r="J785" s="3" t="n"/>
    </row>
    <row r="786" ht="356.25" customHeight="1" s="18">
      <c r="A786" s="5" t="inlineStr">
        <is>
          <t>S2-0780</t>
        </is>
      </c>
      <c r="B786" s="5" t="inlineStr">
        <is>
          <t>B-i</t>
        </is>
      </c>
      <c r="C786" s="3" t="inlineStr">
        <is>
          <t>Rama, S.; Mythili, R.</t>
        </is>
      </c>
      <c r="D786" s="6" t="n">
        <v>2026</v>
      </c>
      <c r="E786" s="3" t="inlineStr">
        <is>
          <t>INTEGRATING SEMI-SUPERVISED LEARNING AND TRANSFORMER MODELS FOR OFFENSIVE LANGUAGE DETECTION IN ENGLISH–TAMIL CODE-MIXED SOCIAL MEDIA</t>
        </is>
      </c>
      <c r="F786" s="3" t="inlineStr">
        <is>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is>
      </c>
      <c r="G786" s="5" t="inlineStr">
        <is>
          <t>Journal article</t>
        </is>
      </c>
      <c r="H786" s="5" t="inlineStr">
        <is>
          <t>10.5281/zenodo.18260204</t>
        </is>
      </c>
      <c r="I786" s="5" t="n"/>
      <c r="J786" s="3" t="n"/>
    </row>
    <row r="787" ht="409.5" customHeight="1" s="18">
      <c r="A787" s="5" t="inlineStr">
        <is>
          <t>S2-0781</t>
        </is>
      </c>
      <c r="B787" s="5" t="inlineStr">
        <is>
          <t>B-i</t>
        </is>
      </c>
      <c r="C787" s="3" t="inlineStr">
        <is>
          <t>Xu, Y.; Ma, J.; Hu, Y.; Liu, Y.; Chen, Y.; Feng, W.; Zhang, C.; Zhang, L.; Zhang, X.; Huang, R.</t>
        </is>
      </c>
      <c r="D787" s="6" t="n">
        <v>2026</v>
      </c>
      <c r="E787" s="3" t="inlineStr">
        <is>
          <t>Large Language Model–Assisted Annotation Framework for Cross-Platform Analysis of Online Autism Communities: Implications for Parent Education and Digital Support</t>
        </is>
      </c>
      <c r="F787" s="3" t="inlineStr">
        <is>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is>
      </c>
      <c r="G787" s="5" t="inlineStr">
        <is>
          <t>Journal article</t>
        </is>
      </c>
      <c r="H787" s="5" t="inlineStr">
        <is>
          <t>10.2196/85290</t>
        </is>
      </c>
      <c r="I787" s="5" t="n"/>
      <c r="J787" s="3" t="n"/>
    </row>
    <row r="788" ht="409.5" customHeight="1" s="18">
      <c r="A788" s="5" t="inlineStr">
        <is>
          <t>S2-0782</t>
        </is>
      </c>
      <c r="B788" s="5" t="inlineStr">
        <is>
          <t>B-i</t>
        </is>
      </c>
      <c r="C788" s="3" t="inlineStr">
        <is>
          <t>Wass, L.M.; Wu, Z.; Vizoso, J.; Wu, J.T.; Lin, L.</t>
        </is>
      </c>
      <c r="D788" s="6" t="n">
        <v>2026</v>
      </c>
      <c r="E788" s="3" t="inlineStr">
        <is>
          <t>Global Sentiment Toward Health AI at the Dawn of the ChatGPT Era: Empirical Analysis of Twitter (X) Discourse</t>
        </is>
      </c>
      <c r="F788" s="3" t="inlineStr">
        <is>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is>
      </c>
      <c r="G788" s="5" t="inlineStr">
        <is>
          <t>Journal article</t>
        </is>
      </c>
      <c r="H788" s="5" t="inlineStr">
        <is>
          <t>10.2196/80346</t>
        </is>
      </c>
      <c r="I788" s="5" t="n"/>
      <c r="J788" s="3" t="n"/>
    </row>
    <row r="789" ht="299.25" customHeight="1" s="18">
      <c r="A789" s="5" t="inlineStr">
        <is>
          <t>S2-0783</t>
        </is>
      </c>
      <c r="B789" s="5" t="inlineStr">
        <is>
          <t>B-i</t>
        </is>
      </c>
      <c r="C789" s="3" t="inlineStr">
        <is>
          <t>Gebremeskel, H.G.; Feng, C.; Abera, A.M.</t>
        </is>
      </c>
      <c r="D789" s="6" t="n">
        <v>2026</v>
      </c>
      <c r="E789" s="3" t="inlineStr">
        <is>
          <t>TIGSEN: Building a Low-Resource Dataset and Benchmarking for Tigrigna Sentiment Analysis with Cross-Lingual Transfer Learning Approaches</t>
        </is>
      </c>
      <c r="F789" s="3" t="inlineStr">
        <is>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is>
      </c>
      <c r="G789" s="5" t="inlineStr">
        <is>
          <t>Conference paper</t>
        </is>
      </c>
      <c r="H789" s="5" t="inlineStr">
        <is>
          <t>10.1007/978-981-92-0199-0_1</t>
        </is>
      </c>
      <c r="I789" s="5" t="n"/>
      <c r="J789" s="3" t="n"/>
    </row>
    <row r="790" ht="242.25" customHeight="1" s="18">
      <c r="A790" s="5" t="inlineStr">
        <is>
          <t>S2-0784</t>
        </is>
      </c>
      <c r="B790" s="5" t="inlineStr">
        <is>
          <t>B-i</t>
        </is>
      </c>
      <c r="C790" s="3" t="inlineStr">
        <is>
          <t>Kumar, G.; Singh, J.P.</t>
        </is>
      </c>
      <c r="D790" s="6" t="n">
        <v>2025</v>
      </c>
      <c r="E790" s="3" t="inlineStr">
        <is>
          <t>Bias mitigation in text classification through cGAN and LLMs</t>
        </is>
      </c>
      <c r="F790" s="3" t="inlineStr">
        <is>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is>
      </c>
      <c r="G790" s="5" t="inlineStr">
        <is>
          <t>Journal article</t>
        </is>
      </c>
      <c r="H790" s="5" t="inlineStr">
        <is>
          <t>10.1007/s43538-024-00371-1</t>
        </is>
      </c>
      <c r="I790" s="5" t="n"/>
      <c r="J790" s="3" t="n"/>
    </row>
    <row r="791" ht="256.5" customHeight="1" s="18">
      <c r="A791" s="5" t="inlineStr">
        <is>
          <t>S2-0785</t>
        </is>
      </c>
      <c r="B791" s="5" t="inlineStr">
        <is>
          <t>B-i</t>
        </is>
      </c>
      <c r="C791" s="3" t="inlineStr">
        <is>
          <t>Sikorskii, S.; Carrio-Pastor, M.L.</t>
        </is>
      </c>
      <c r="D791" s="6" t="n">
        <v>2025</v>
      </c>
      <c r="E791" s="3" t="inlineStr">
        <is>
          <t>ENHANCING LLM INTERPRETATION OF APPRAISALS IN SPANISH DIGITAL DISCOURSE</t>
        </is>
      </c>
      <c r="F791" s="3" t="inlineStr">
        <is>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is>
      </c>
      <c r="G791" s="5" t="inlineStr">
        <is>
          <t>Journal article</t>
        </is>
      </c>
      <c r="H791" s="5" t="inlineStr">
        <is>
          <t>10.18721/jhss.16410</t>
        </is>
      </c>
      <c r="I791" s="5" t="n"/>
      <c r="J791" s="3" t="n"/>
    </row>
    <row r="792" ht="384.75" customHeight="1" s="18">
      <c r="A792" s="5" t="inlineStr">
        <is>
          <t>S2-0786</t>
        </is>
      </c>
      <c r="B792" s="5" t="inlineStr">
        <is>
          <t>B-i</t>
        </is>
      </c>
      <c r="C792" s="3" t="inlineStr">
        <is>
          <t>Badullovich, N.; Stede, M.; Aktaș, B.; Mirzakhmedova, N.; Saint-Dizier, P.</t>
        </is>
      </c>
      <c r="D792" s="6" t="n">
        <v>2026</v>
      </c>
      <c r="E792" s="3" t="inlineStr">
        <is>
          <t>Manual and automatic paragraph-level analysis of climate change framing in academic journal editorials</t>
        </is>
      </c>
      <c r="F792" s="3" t="inlineStr">
        <is>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is>
      </c>
      <c r="G792" s="5" t="inlineStr">
        <is>
          <t>Journal article</t>
        </is>
      </c>
      <c r="H792" s="5" t="inlineStr">
        <is>
          <t>10.1007/s11192-025-05494-w</t>
        </is>
      </c>
      <c r="I792" s="5" t="n"/>
      <c r="J792" s="3" t="n"/>
    </row>
    <row r="793" ht="213.75" customHeight="1" s="18">
      <c r="A793" s="5" t="inlineStr">
        <is>
          <t>S2-0787</t>
        </is>
      </c>
      <c r="B793" s="5" t="inlineStr">
        <is>
          <t>B-i</t>
        </is>
      </c>
      <c r="C793" s="3" t="inlineStr">
        <is>
          <t>He, J.; Wei, Y.; Tyson, G.</t>
        </is>
      </c>
      <c r="D793" s="6" t="n">
        <v>2026</v>
      </c>
      <c r="E793" s="3" t="inlineStr">
        <is>
          <t>Enhancing Content Moderation with LLMs: A Reddit Case Study on Evaluating and Refining Human Decisions</t>
        </is>
      </c>
      <c r="F793" s="3" t="inlineStr">
        <is>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is>
      </c>
      <c r="G793" s="5" t="inlineStr">
        <is>
          <t>Conference paper</t>
        </is>
      </c>
      <c r="H793" s="5" t="inlineStr">
        <is>
          <t>10.1145/3774904.3792999</t>
        </is>
      </c>
      <c r="I793" s="5" t="n"/>
      <c r="J793" s="3" t="n"/>
    </row>
    <row r="794" ht="256.5" customHeight="1" s="18">
      <c r="A794" s="5" t="inlineStr">
        <is>
          <t>S2-0788</t>
        </is>
      </c>
      <c r="B794" s="5" t="inlineStr">
        <is>
          <t>B-i</t>
        </is>
      </c>
      <c r="C794" s="3" t="inlineStr">
        <is>
          <t>Wei, H.; Xiang, B.; Zheng, X.; Yang, J.</t>
        </is>
      </c>
      <c r="D794" s="6" t="n">
        <v>2026</v>
      </c>
      <c r="E794" s="3" t="inlineStr">
        <is>
          <t>Emotional Comfort or Technological Delusion? Unveiling Public Perceptions and Attitudes Toward AI Companions Based on Video Social Medias</t>
        </is>
      </c>
      <c r="F794" s="3" t="inlineStr">
        <is>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is>
      </c>
      <c r="G794" s="5" t="inlineStr">
        <is>
          <t>Journal article</t>
        </is>
      </c>
      <c r="H794" s="5" t="inlineStr">
        <is>
          <t>10.1080/10447318.2026.2630076</t>
        </is>
      </c>
      <c r="I794" s="5" t="n"/>
      <c r="J794" s="3" t="n"/>
    </row>
    <row r="795" ht="409.5" customHeight="1" s="18">
      <c r="A795" s="5" t="inlineStr">
        <is>
          <t>S2-0789</t>
        </is>
      </c>
      <c r="B795" s="5" t="inlineStr">
        <is>
          <t>B-i</t>
        </is>
      </c>
      <c r="C795" s="3" t="inlineStr">
        <is>
          <t>Saifullah, S.; Dreżewski, R.</t>
        </is>
      </c>
      <c r="D795" s="6" t="n">
        <v>2026</v>
      </c>
      <c r="E795" s="3" t="inlineStr">
        <is>
          <t>A Hybrid Feature-Enhanced IndoBERT Framework with Controlled Semi-Supervised Learning for Low-Resource Indonesian Hate Speech Detection</t>
        </is>
      </c>
      <c r="F795" s="3" t="inlineStr">
        <is>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is>
      </c>
      <c r="G795" s="5" t="inlineStr">
        <is>
          <t>Journal article</t>
        </is>
      </c>
      <c r="H795" s="5" t="inlineStr">
        <is>
          <t>10.3390/app16136478</t>
        </is>
      </c>
      <c r="I795" s="5" t="n"/>
      <c r="J795" s="3" t="n"/>
    </row>
    <row r="796" ht="370.5" customHeight="1" s="18">
      <c r="A796" s="5" t="inlineStr">
        <is>
          <t>S2-0790</t>
        </is>
      </c>
      <c r="B796" s="5" t="inlineStr">
        <is>
          <t>B-i</t>
        </is>
      </c>
      <c r="C796" s="3" t="inlineStr">
        <is>
          <t>Jangra, S.; De, S.; Sastry, N.; Fadaei, S.</t>
        </is>
      </c>
      <c r="D796" s="6" t="n">
        <v>2026</v>
      </c>
      <c r="E796" s="3" t="inlineStr">
        <is>
          <t>Protecting Vulnerable Voices: Synthetic Dataset Generation for Self-disclosure Detection</t>
        </is>
      </c>
      <c r="F796" s="3" t="inlineStr">
        <is>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is>
      </c>
      <c r="G796" s="5" t="inlineStr">
        <is>
          <t>Conference paper</t>
        </is>
      </c>
      <c r="H796" s="5" t="inlineStr">
        <is>
          <t>10.1007/978-3-032-13821-7_1</t>
        </is>
      </c>
      <c r="I796" s="5" t="n"/>
      <c r="J796" s="3" t="n"/>
    </row>
    <row r="797" ht="199.5" customHeight="1" s="18">
      <c r="A797" s="5" t="inlineStr">
        <is>
          <t>S2-0791</t>
        </is>
      </c>
      <c r="B797" s="5" t="inlineStr">
        <is>
          <t>B-i</t>
        </is>
      </c>
      <c r="C797" s="3" t="inlineStr">
        <is>
          <t>Linardos, V.; Drakaki, M.; Tzionas, P.</t>
        </is>
      </c>
      <c r="D797" s="6" t="n">
        <v>2025</v>
      </c>
      <c r="E797" s="3" t="inlineStr">
        <is>
          <t>Utilizing LLMs and ML Algorithms in Disaster-Related Social Media Content</t>
        </is>
      </c>
      <c r="F797" s="3" t="inlineStr">
        <is>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is>
      </c>
      <c r="G797" s="5" t="inlineStr">
        <is>
          <t>Journal article</t>
        </is>
      </c>
      <c r="H797" s="5" t="inlineStr">
        <is>
          <t>10.3390/geohazards6030033</t>
        </is>
      </c>
      <c r="I797" s="5" t="n"/>
      <c r="J797" s="3" t="n"/>
    </row>
    <row r="798" ht="256.5" customHeight="1" s="18">
      <c r="A798" s="5" t="inlineStr">
        <is>
          <t>S2-0792</t>
        </is>
      </c>
      <c r="B798" s="5" t="inlineStr">
        <is>
          <t>B-i</t>
        </is>
      </c>
      <c r="C798" s="3" t="inlineStr">
        <is>
          <t>Zhou, A.; Wu, H.; Peng, K.; Liu, P.; Li, X.</t>
        </is>
      </c>
      <c r="D798" s="6" t="n">
        <v>2026</v>
      </c>
      <c r="E798" s="3" t="inlineStr">
        <is>
          <t>Improving Few-Shot Multi-modal Aspect-Level Sentiment Classification with Implicit In-context Learning</t>
        </is>
      </c>
      <c r="F798" s="3" t="inlineStr">
        <is>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is>
      </c>
      <c r="G798" s="5" t="inlineStr">
        <is>
          <t>Conference paper</t>
        </is>
      </c>
      <c r="H798" s="5" t="inlineStr">
        <is>
          <t>10.1007/978-981-95-6960-1_22</t>
        </is>
      </c>
      <c r="I798" s="5" t="n"/>
      <c r="J798" s="3" t="n"/>
    </row>
    <row r="799" ht="342" customHeight="1" s="18">
      <c r="A799" s="5" t="inlineStr">
        <is>
          <t>S2-0793</t>
        </is>
      </c>
      <c r="B799" s="5" t="inlineStr">
        <is>
          <t>B-i</t>
        </is>
      </c>
      <c r="C799" s="3" t="inlineStr">
        <is>
          <t>Shi, J.</t>
        </is>
      </c>
      <c r="D799" s="6" t="n">
        <v>2026</v>
      </c>
      <c r="E799" s="3" t="inlineStr">
        <is>
          <t>System design and algorithm optimization of large language model based on knowledge graph in rumour detection</t>
        </is>
      </c>
      <c r="F799" s="3" t="inlineStr">
        <is>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is>
      </c>
      <c r="G799" s="5" t="inlineStr">
        <is>
          <t>Journal article</t>
        </is>
      </c>
      <c r="H799" s="5" t="inlineStr">
        <is>
          <t>10.7717/peerj-cs.3796</t>
        </is>
      </c>
      <c r="I799" s="5" t="n"/>
      <c r="J799" s="3" t="n"/>
    </row>
    <row r="800" ht="327.75" customHeight="1" s="18">
      <c r="A800" s="5" t="inlineStr">
        <is>
          <t>S2-0794</t>
        </is>
      </c>
      <c r="B800" s="5" t="inlineStr">
        <is>
          <t>B-i</t>
        </is>
      </c>
      <c r="C800" s="3" t="inlineStr">
        <is>
          <t>Alotaibi, F.; Sathvik, M.; Younus, M.; Lee, M.</t>
        </is>
      </c>
      <c r="D800" s="6" t="n">
        <v>2026</v>
      </c>
      <c r="E800" s="3" t="inlineStr">
        <is>
          <t>CueSupport-MH: An Explainable Dataset and Interpretable Framework for Mental Health Risk Detection and Response Safety Evaluation</t>
        </is>
      </c>
      <c r="F800" s="3" t="inlineStr">
        <is>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is>
      </c>
      <c r="G800" s="5" t="inlineStr">
        <is>
          <t>Journal article</t>
        </is>
      </c>
      <c r="H800" s="5" t="inlineStr">
        <is>
          <t>10.1109/access.2026.3719595</t>
        </is>
      </c>
      <c r="I800" s="5" t="n"/>
      <c r="J800" s="3" t="n"/>
    </row>
    <row r="801" ht="242.25" customHeight="1" s="18">
      <c r="A801" s="5" t="inlineStr">
        <is>
          <t>S2-0795</t>
        </is>
      </c>
      <c r="B801" s="5" t="inlineStr">
        <is>
          <t>B-i</t>
        </is>
      </c>
      <c r="C801" s="3" t="inlineStr">
        <is>
          <t>de Paula, A.F.M.; Culpepper, J.S.; Moffat, A.; Cherumanal, S.P.; Scholer, F.; Trippas, J.</t>
        </is>
      </c>
      <c r="D801" s="6" t="n">
        <v>2025</v>
      </c>
      <c r="E801" s="3" t="inlineStr">
        <is>
          <t>The Effects of Demographic Instructions on LLM Personas</t>
        </is>
      </c>
      <c r="F801" s="3" t="inlineStr">
        <is>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is>
      </c>
      <c r="G801" s="5" t="inlineStr">
        <is>
          <t>Conference paper</t>
        </is>
      </c>
      <c r="H801" s="5" t="inlineStr">
        <is>
          <t>10.1145/3726302.3730255</t>
        </is>
      </c>
      <c r="I801" s="5" t="n"/>
      <c r="J801" s="3" t="n"/>
    </row>
    <row r="802" ht="228" customHeight="1" s="18">
      <c r="A802" s="5" t="inlineStr">
        <is>
          <t>S2-0796</t>
        </is>
      </c>
      <c r="B802" s="5" t="inlineStr">
        <is>
          <t>B-i</t>
        </is>
      </c>
      <c r="C802" s="3" t="inlineStr">
        <is>
          <t>Du, W.; Shen, X.; Zhou, S.; Ma, T.; Xu, C.</t>
        </is>
      </c>
      <c r="D802" s="6" t="n">
        <v>2026</v>
      </c>
      <c r="E802" s="3" t="inlineStr">
        <is>
          <t>Social image presentation of virtual sports in social media through the analysis of Twitter data</t>
        </is>
      </c>
      <c r="F802" s="3" t="inlineStr">
        <is>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is>
      </c>
      <c r="G802" s="5" t="inlineStr">
        <is>
          <t>Journal article</t>
        </is>
      </c>
      <c r="H802" s="5" t="inlineStr">
        <is>
          <t>10.1038/s41598-026-36725-6</t>
        </is>
      </c>
      <c r="I802" s="5" t="n"/>
      <c r="J802" s="3" t="n"/>
    </row>
    <row r="803" ht="384.75" customHeight="1" s="18">
      <c r="A803" s="5" t="inlineStr">
        <is>
          <t>S2-0797</t>
        </is>
      </c>
      <c r="B803" s="5" t="inlineStr">
        <is>
          <t>B-i</t>
        </is>
      </c>
      <c r="C803" s="3" t="inlineStr">
        <is>
          <t>Kim, H.; Cho, S.</t>
        </is>
      </c>
      <c r="D803" s="6" t="n">
        <v>2026</v>
      </c>
      <c r="E803" s="3" t="inlineStr">
        <is>
          <t>Sentiment lexicon integrated meta-training for sentiment analysis in data-scarce settings</t>
        </is>
      </c>
      <c r="F803" s="3" t="inlineStr">
        <is>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is>
      </c>
      <c r="G803" s="5" t="inlineStr">
        <is>
          <t>Journal article</t>
        </is>
      </c>
      <c r="H803" s="5" t="inlineStr">
        <is>
          <t>10.1007/s10844-025-00996-8</t>
        </is>
      </c>
      <c r="I803" s="5" t="n"/>
      <c r="J803" s="3" t="n"/>
    </row>
    <row r="804" ht="342" customHeight="1" s="18">
      <c r="A804" s="5" t="inlineStr">
        <is>
          <t>S2-0798</t>
        </is>
      </c>
      <c r="B804" s="5" t="inlineStr">
        <is>
          <t>B-i</t>
        </is>
      </c>
      <c r="C804" s="3" t="inlineStr">
        <is>
          <t>Masson, M.; Agerri, R.; Sallaberry, C.; Bessagnet, M.-N.; Le Parc Lacayrelle, A.; Roose, P.</t>
        </is>
      </c>
      <c r="D804" s="6" t="n">
        <v>2025</v>
      </c>
      <c r="E804" s="3" t="inlineStr">
        <is>
          <t>Optimal strategies to perform multilingual analysis of social content for a novel dataset in the tourism domain</t>
        </is>
      </c>
      <c r="F804" s="3" t="inlineStr">
        <is>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is>
      </c>
      <c r="G804" s="5" t="inlineStr">
        <is>
          <t>Journal article</t>
        </is>
      </c>
      <c r="H804" s="5" t="inlineStr">
        <is>
          <t>10.1016/j.knosys.2025.114001</t>
        </is>
      </c>
      <c r="I804" s="5" t="n"/>
      <c r="J804" s="3" t="n"/>
    </row>
    <row r="805" ht="384.75" customHeight="1" s="18">
      <c r="A805" s="5" t="inlineStr">
        <is>
          <t>S2-0799</t>
        </is>
      </c>
      <c r="B805" s="5" t="inlineStr">
        <is>
          <t>B-i</t>
        </is>
      </c>
      <c r="C805" s="3" t="inlineStr">
        <is>
          <t>Kallstenius, T.; Capusan, A.J.; Andersson, G.; Williamson, A.</t>
        </is>
      </c>
      <c r="D805" s="6" t="n">
        <v>2025</v>
      </c>
      <c r="E805" s="3" t="inlineStr">
        <is>
          <t>Comparing traditional natural language processing and large language models for mental health status classification: a multi-model evaluation</t>
        </is>
      </c>
      <c r="F805" s="3" t="inlineStr">
        <is>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is>
      </c>
      <c r="G805" s="5" t="inlineStr">
        <is>
          <t>Journal article</t>
        </is>
      </c>
      <c r="H805" s="5" t="inlineStr">
        <is>
          <t>10.1038/s41598-025-08031-0</t>
        </is>
      </c>
      <c r="I805" s="5" t="n"/>
      <c r="J805" s="3" t="n"/>
    </row>
    <row r="806" ht="313.5" customHeight="1" s="18">
      <c r="A806" s="5" t="inlineStr">
        <is>
          <t>S2-0800</t>
        </is>
      </c>
      <c r="B806" s="5" t="inlineStr">
        <is>
          <t>B-i</t>
        </is>
      </c>
      <c r="C806" s="3" t="inlineStr">
        <is>
          <t>Chausson, S.; Fourcade, M.; Harding, D.J.; Ross, B.; Renard, G.</t>
        </is>
      </c>
      <c r="D806" s="6" t="n">
        <v>2026</v>
      </c>
      <c r="E806" s="3" t="inlineStr">
        <is>
          <t>The Insight-Inference Loop: Efficient Text Classification via Natural Language Inference and Threshold-Tuning</t>
        </is>
      </c>
      <c r="F806" s="3" t="inlineStr">
        <is>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is>
      </c>
      <c r="G806" s="5" t="inlineStr">
        <is>
          <t>Journal article</t>
        </is>
      </c>
      <c r="H806" s="5" t="inlineStr">
        <is>
          <t>10.1177/00491241251326819</t>
        </is>
      </c>
      <c r="I806" s="5" t="n"/>
      <c r="J806" s="3" t="n"/>
    </row>
    <row r="807" ht="270.75" customHeight="1" s="18">
      <c r="A807" s="5" t="inlineStr">
        <is>
          <t>S2-0801</t>
        </is>
      </c>
      <c r="B807" s="5" t="inlineStr">
        <is>
          <t>B-i</t>
        </is>
      </c>
      <c r="C807" s="3" t="inlineStr">
        <is>
          <t>Bhattacharya, A.; Majumdar, A.; Kanjilal, S.; Bhowmick, S.S.</t>
        </is>
      </c>
      <c r="D807" s="6" t="n">
        <v>2026</v>
      </c>
      <c r="E807" s="3" t="inlineStr">
        <is>
          <t>Sentiment Analysis During Covid-19 Pandemic: A Comparative Study</t>
        </is>
      </c>
      <c r="F807" s="3" t="inlineStr">
        <is>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is>
      </c>
      <c r="G807" s="5" t="inlineStr">
        <is>
          <t>Conference paper</t>
        </is>
      </c>
      <c r="H807" s="5" t="inlineStr">
        <is>
          <t>10.1007/978-981-96-7742-9_8</t>
        </is>
      </c>
      <c r="I807" s="5" t="n"/>
      <c r="J807" s="3" t="n"/>
    </row>
    <row r="808" ht="313.5" customHeight="1" s="18">
      <c r="A808" s="5" t="inlineStr">
        <is>
          <t>S2-0802</t>
        </is>
      </c>
      <c r="B808" s="5" t="inlineStr">
        <is>
          <t>B-i</t>
        </is>
      </c>
      <c r="C808" s="3" t="inlineStr">
        <is>
          <t>Kahya Özyirmidokuz, E.; Molu Elmas, B.; Stoica, E.A.</t>
        </is>
      </c>
      <c r="D808" s="6" t="n">
        <v>2025</v>
      </c>
      <c r="E808" s="3" t="inlineStr">
        <is>
          <t>AI-Based Sentiment Analysis of E-Commerce Customer Feedback: A Bilingual Parallel Study on the Fast Food Industry in Turkish and English</t>
        </is>
      </c>
      <c r="F808" s="3" t="inlineStr">
        <is>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is>
      </c>
      <c r="G808" s="5" t="inlineStr">
        <is>
          <t>Journal article</t>
        </is>
      </c>
      <c r="H808" s="5" t="inlineStr">
        <is>
          <t>10.3390/jtaer20040294</t>
        </is>
      </c>
      <c r="I808" s="5" t="n"/>
      <c r="J808" s="3" t="n"/>
    </row>
    <row r="809" ht="313.5" customHeight="1" s="18">
      <c r="A809" s="5" t="inlineStr">
        <is>
          <t>S2-0803</t>
        </is>
      </c>
      <c r="B809" s="5" t="inlineStr">
        <is>
          <t>B-i</t>
        </is>
      </c>
      <c r="C809" s="3" t="inlineStr">
        <is>
          <t>Vanetik, N.; Litvak, M.; Liebeskind, C.</t>
        </is>
      </c>
      <c r="D809" s="6" t="n">
        <v>2026</v>
      </c>
      <c r="E809" s="3" t="inlineStr">
        <is>
          <t>Benchmarking Arabic Emotion Detection: Transformers Evaluation using a Unified Dataset</t>
        </is>
      </c>
      <c r="F809" s="3" t="inlineStr">
        <is>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is>
      </c>
      <c r="G809" s="5" t="inlineStr">
        <is>
          <t>Journal article</t>
        </is>
      </c>
      <c r="H809" s="5" t="inlineStr">
        <is>
          <t>10.1109/taffc.2026.3731363</t>
        </is>
      </c>
      <c r="I809" s="5" t="n"/>
      <c r="J809" s="3" t="n"/>
    </row>
    <row r="810" ht="342" customHeight="1" s="18">
      <c r="A810" s="5" t="inlineStr">
        <is>
          <t>S2-0804</t>
        </is>
      </c>
      <c r="B810" s="5" t="inlineStr">
        <is>
          <t>B-i</t>
        </is>
      </c>
      <c r="C810" s="3" t="inlineStr">
        <is>
          <t>Usman, M.; Ahmad, M.; Sidorov, G.; Gelbukh, I.; Tellez, R.Q.</t>
        </is>
      </c>
      <c r="D810" s="6" t="n">
        <v>2025</v>
      </c>
      <c r="E810" s="3" t="inlineStr">
        <is>
          <t>A Large Language Model-Based Approach for Multilingual Hate Speech Detection on Social Media</t>
        </is>
      </c>
      <c r="F810" s="3" t="inlineStr">
        <is>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is>
      </c>
      <c r="G810" s="5" t="inlineStr">
        <is>
          <t>Journal article</t>
        </is>
      </c>
      <c r="H810" s="5" t="inlineStr">
        <is>
          <t>10.3390/computers14070279</t>
        </is>
      </c>
      <c r="I810" s="5" t="n"/>
      <c r="J810" s="3" t="n"/>
    </row>
    <row r="811" ht="409.5" customHeight="1" s="18">
      <c r="A811" s="5" t="inlineStr">
        <is>
          <t>S2-0805</t>
        </is>
      </c>
      <c r="B811" s="5" t="inlineStr">
        <is>
          <t>B-i</t>
        </is>
      </c>
      <c r="C811" s="3" t="inlineStr">
        <is>
          <t>Sisodia, S.; Bansal, T.; Bansal, S.; Malik, K.</t>
        </is>
      </c>
      <c r="D811" s="6" t="n">
        <v>2026</v>
      </c>
      <c r="E811" s="3" t="inlineStr">
        <is>
          <t>Temporal-semantics: an era-aware Context-Gated framework for suicide risk detection on social media</t>
        </is>
      </c>
      <c r="F811" s="3" t="inlineStr">
        <is>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is>
      </c>
      <c r="G811" s="5" t="inlineStr">
        <is>
          <t>Journal article</t>
        </is>
      </c>
      <c r="H811" s="5" t="inlineStr">
        <is>
          <t>10.1007/s13721-026-00799-z</t>
        </is>
      </c>
      <c r="I811" s="5" t="n"/>
      <c r="J811" s="3" t="n"/>
    </row>
    <row r="812" ht="213.75" customHeight="1" s="18">
      <c r="A812" s="5" t="inlineStr">
        <is>
          <t>S2-0806</t>
        </is>
      </c>
      <c r="B812" s="5" t="inlineStr">
        <is>
          <t>B-i</t>
        </is>
      </c>
      <c r="C812" s="3" t="inlineStr">
        <is>
          <t>Wang, Y.; Li, H.; Teng, F.; Chen, L.</t>
        </is>
      </c>
      <c r="D812" s="6" t="n">
        <v>2026</v>
      </c>
      <c r="E812" s="3" t="inlineStr">
        <is>
          <t>GORAG: Graph-based Online Retrieval Augmented Generation for Dynamic Few-shot Social Media Text Classification</t>
        </is>
      </c>
      <c r="F812" s="3" t="inlineStr">
        <is>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is>
      </c>
      <c r="G812" s="5" t="inlineStr">
        <is>
          <t>Conference paper</t>
        </is>
      </c>
      <c r="H812" s="5" t="inlineStr">
        <is>
          <t>10.1145/3774904.3793011</t>
        </is>
      </c>
      <c r="I812" s="5" t="n"/>
      <c r="J812" s="3" t="n"/>
    </row>
    <row r="813" ht="327.75" customHeight="1" s="18">
      <c r="A813" s="5" t="inlineStr">
        <is>
          <t>S2-0807</t>
        </is>
      </c>
      <c r="B813" s="5" t="inlineStr">
        <is>
          <t>B-i</t>
        </is>
      </c>
      <c r="C813" s="3" t="inlineStr">
        <is>
          <t>Wu, F.; Sheng, Z.; Ji, Y.; Jing, X.-Y.; Jiang, G.-P.</t>
        </is>
      </c>
      <c r="D813" s="6" t="n">
        <v>2026</v>
      </c>
      <c r="E813" s="3" t="inlineStr">
        <is>
          <t>Internal and External Verification Assisted Deep Clustering Network for Unsupervised Multimodal Fake News Detection</t>
        </is>
      </c>
      <c r="F813" s="3" t="inlineStr">
        <is>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is>
      </c>
      <c r="G813" s="5" t="inlineStr">
        <is>
          <t>Journal article</t>
        </is>
      </c>
      <c r="H813" s="5" t="inlineStr">
        <is>
          <t>10.1109/tbdata.2026.3725875</t>
        </is>
      </c>
      <c r="I813" s="5" t="n"/>
      <c r="J813" s="3" t="n"/>
    </row>
    <row r="814" ht="384.75" customHeight="1" s="18">
      <c r="A814" s="5" t="inlineStr">
        <is>
          <t>S2-0808</t>
        </is>
      </c>
      <c r="B814" s="5" t="inlineStr">
        <is>
          <t>B-i</t>
        </is>
      </c>
      <c r="C814" s="3" t="inlineStr">
        <is>
          <t>Pérez, A.; Fernández-Pichel, M.; Parapar, J.; Losada, D.E.</t>
        </is>
      </c>
      <c r="D814" s="6" t="n">
        <v>2025</v>
      </c>
      <c r="E814" s="3" t="inlineStr">
        <is>
          <t>DepreSym: A Depression Symptom Annotated Corpus and the Role of Large Language Models as Assessors of Psychological Markers</t>
        </is>
      </c>
      <c r="F814" s="3" t="inlineStr">
        <is>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is>
      </c>
      <c r="G814" s="5" t="inlineStr">
        <is>
          <t>Journal article</t>
        </is>
      </c>
      <c r="H814" s="5" t="inlineStr">
        <is>
          <t>10.1007/s10579-025-09831-6</t>
        </is>
      </c>
      <c r="I814" s="5" t="n"/>
      <c r="J814" s="3" t="n"/>
    </row>
    <row r="815" ht="384.75" customHeight="1" s="18">
      <c r="A815" s="5" t="inlineStr">
        <is>
          <t>S2-0809</t>
        </is>
      </c>
      <c r="B815" s="5" t="inlineStr">
        <is>
          <t>B-i</t>
        </is>
      </c>
      <c r="C815" s="3" t="inlineStr">
        <is>
          <t>Kousa, I.M.</t>
        </is>
      </c>
      <c r="D815" s="6" t="n">
        <v>2025</v>
      </c>
      <c r="E815" s="3" t="inlineStr">
        <is>
          <t>Data-Driven Democracy? Using Social Media and AI for Knowledge Co-production in Energy Transition Research</t>
        </is>
      </c>
      <c r="F815" s="3" t="inlineStr">
        <is>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is>
      </c>
      <c r="G815" s="5" t="inlineStr">
        <is>
          <t>Conference paper</t>
        </is>
      </c>
      <c r="H815" s="5" t="inlineStr">
        <is>
          <t>10.1145/3701716.3715286</t>
        </is>
      </c>
      <c r="I815" s="5" t="n"/>
      <c r="J815" s="3" t="n"/>
    </row>
    <row r="816" ht="342" customHeight="1" s="18">
      <c r="A816" s="5" t="inlineStr">
        <is>
          <t>S2-0810</t>
        </is>
      </c>
      <c r="B816" s="5" t="inlineStr">
        <is>
          <t>B-i</t>
        </is>
      </c>
      <c r="C816" s="3" t="inlineStr">
        <is>
          <t>Dehkordi, A.F.; Rastegari, H.; Safi-Esfahani, F.</t>
        </is>
      </c>
      <c r="D816" s="6" t="n">
        <v>2026</v>
      </c>
      <c r="E816" s="3" t="inlineStr">
        <is>
          <t>Dynamic loss function in graph attention networks for sentiment analysis on imbalanced datasets</t>
        </is>
      </c>
      <c r="F816" s="3" t="inlineStr">
        <is>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is>
      </c>
      <c r="G816" s="5" t="inlineStr">
        <is>
          <t>Journal article</t>
        </is>
      </c>
      <c r="H816" s="5" t="inlineStr">
        <is>
          <t>10.1007/s11042-026-21624-9</t>
        </is>
      </c>
      <c r="I816" s="5" t="n"/>
      <c r="J816" s="3" t="n"/>
    </row>
    <row r="817" ht="256.5" customHeight="1" s="18">
      <c r="A817" s="5" t="inlineStr">
        <is>
          <t>S2-0811</t>
        </is>
      </c>
      <c r="B817" s="5" t="inlineStr">
        <is>
          <t>B-i</t>
        </is>
      </c>
      <c r="C817" s="3" t="inlineStr">
        <is>
          <t>Wang, Y.; Yang, Y.; Yao, N.; Zhu, J.; Chen, H.</t>
        </is>
      </c>
      <c r="D817" s="6" t="n">
        <v>2026</v>
      </c>
      <c r="E817" s="3" t="inlineStr">
        <is>
          <t>Stereotype-Strategy Interplay: Warmth and Competence as Moderators of Persuasion Effectiveness in Online Communities</t>
        </is>
      </c>
      <c r="F817" s="3" t="inlineStr">
        <is>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is>
      </c>
      <c r="G817" s="5" t="inlineStr">
        <is>
          <t>Conference paper</t>
        </is>
      </c>
      <c r="H817" s="5" t="inlineStr">
        <is>
          <t>10.1109/cscwd68734.2026.11581730</t>
        </is>
      </c>
      <c r="I817" s="5" t="n"/>
      <c r="J817" s="3" t="n"/>
    </row>
    <row r="818" ht="356.25" customHeight="1" s="18">
      <c r="A818" s="5" t="inlineStr">
        <is>
          <t>S2-0812</t>
        </is>
      </c>
      <c r="B818" s="5" t="inlineStr">
        <is>
          <t>B-i</t>
        </is>
      </c>
      <c r="C818" s="3" t="inlineStr">
        <is>
          <t>Becker, M.J.; Blatter, J.; Stanevich, O.</t>
        </is>
      </c>
      <c r="D818" s="6" t="n">
        <v>2026</v>
      </c>
      <c r="E818" s="3" t="inlineStr">
        <is>
          <t>Decoding antisemitism online: linguistic and multimodal challenges in the age of AI</t>
        </is>
      </c>
      <c r="F818" s="3" t="inlineStr">
        <is>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is>
      </c>
      <c r="G818" s="5" t="inlineStr">
        <is>
          <t>Journal article</t>
        </is>
      </c>
      <c r="H818" s="5" t="inlineStr">
        <is>
          <t>10.3389/fcomm.2025.1729279</t>
        </is>
      </c>
      <c r="I818" s="5" t="n"/>
      <c r="J818" s="3" t="n"/>
    </row>
    <row r="819" ht="285" customHeight="1" s="18">
      <c r="A819" s="5" t="inlineStr">
        <is>
          <t>S2-0813</t>
        </is>
      </c>
      <c r="B819" s="5" t="inlineStr">
        <is>
          <t>B-i</t>
        </is>
      </c>
      <c r="C819" s="3" t="inlineStr">
        <is>
          <t>Mirhosseini, S.; Rai, T.; Diaz-Santana, P.; La Ragione, R.; Bacon, N.; Wells, K.</t>
        </is>
      </c>
      <c r="D819" s="6" t="n">
        <v>2026</v>
      </c>
      <c r="E819" s="3" t="inlineStr">
        <is>
          <t>IPATH: A Large-Scale Pathology Image–Text Dataset from Instagram for Vision–Language Model Training</t>
        </is>
      </c>
      <c r="F819" s="3" t="inlineStr">
        <is>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is>
      </c>
      <c r="G819" s="5" t="inlineStr">
        <is>
          <t>Journal article</t>
        </is>
      </c>
      <c r="H819" s="5" t="inlineStr">
        <is>
          <t>10.1007/s10278-025-01820-z</t>
        </is>
      </c>
      <c r="I819" s="5" t="n"/>
      <c r="J819" s="3" t="n"/>
    </row>
    <row r="820" ht="313.5" customHeight="1" s="18">
      <c r="A820" s="5" t="inlineStr">
        <is>
          <t>S2-0814</t>
        </is>
      </c>
      <c r="B820" s="5" t="inlineStr">
        <is>
          <t>B-i</t>
        </is>
      </c>
      <c r="C820" s="3" t="inlineStr">
        <is>
          <t>Nekkouei Nasrabadi, H.; Moattar, M.H.</t>
        </is>
      </c>
      <c r="D820" s="6" t="n">
        <v>2026</v>
      </c>
      <c r="E820" s="3" t="inlineStr">
        <is>
          <t>Sentiment Analysis of Imbalanced Dataset Through Data Augmentation and Generative Annotation Using DistilBERT and Low-Rank Fine-Tuning</t>
        </is>
      </c>
      <c r="F820" s="3" t="inlineStr">
        <is>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is>
      </c>
      <c r="G820" s="5" t="inlineStr">
        <is>
          <t>Journal article</t>
        </is>
      </c>
      <c r="H820" s="5" t="inlineStr">
        <is>
          <t>10.1002/ail2.70043</t>
        </is>
      </c>
      <c r="I820" s="5" t="n"/>
      <c r="J820" s="3" t="n"/>
    </row>
    <row r="821" ht="327.75" customHeight="1" s="18">
      <c r="A821" s="5" t="inlineStr">
        <is>
          <t>S2-0815</t>
        </is>
      </c>
      <c r="B821" s="5" t="inlineStr">
        <is>
          <t>B-i</t>
        </is>
      </c>
      <c r="C821" s="3" t="inlineStr">
        <is>
          <t>Yu, S.</t>
        </is>
      </c>
      <c r="D821" s="6" t="n">
        <v>2026</v>
      </c>
      <c r="E821" s="3" t="inlineStr">
        <is>
          <t>Situation-Aware Public Opinion Analysis: A Multi-Platform Benchmark with Grounded LLM Reasoning</t>
        </is>
      </c>
      <c r="F821" s="3" t="inlineStr">
        <is>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is>
      </c>
      <c r="G821" s="5" t="inlineStr">
        <is>
          <t>Conference paper</t>
        </is>
      </c>
      <c r="H821" s="5" t="inlineStr">
        <is>
          <t>10.1145/3810280.3810409</t>
        </is>
      </c>
      <c r="I821" s="5" t="n"/>
      <c r="J821" s="3" t="n"/>
    </row>
    <row r="822" ht="285" customHeight="1" s="18">
      <c r="A822" s="5" t="inlineStr">
        <is>
          <t>S2-0816</t>
        </is>
      </c>
      <c r="B822" s="5" t="inlineStr">
        <is>
          <t>B-i</t>
        </is>
      </c>
      <c r="C822" s="3" t="inlineStr">
        <is>
          <t>Zhang, Y.; Liu, Z.; Ding, J.; Luo, M.</t>
        </is>
      </c>
      <c r="D822" s="6" t="n">
        <v>2026</v>
      </c>
      <c r="E822" s="3" t="inlineStr">
        <is>
          <t>Instruction Finetuning DeepSeek Based LLM Model for Financial Sentiment and Topic Classification</t>
        </is>
      </c>
      <c r="F822" s="3" t="inlineStr">
        <is>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is>
      </c>
      <c r="G822" s="5" t="inlineStr">
        <is>
          <t>Conference paper</t>
        </is>
      </c>
      <c r="H822" s="5" t="inlineStr">
        <is>
          <t>10.1145/3777730.3777735</t>
        </is>
      </c>
      <c r="I822" s="5" t="n"/>
      <c r="J822" s="3" t="n"/>
    </row>
    <row r="823" ht="342" customHeight="1" s="18">
      <c r="A823" s="5" t="inlineStr">
        <is>
          <t>S2-0817</t>
        </is>
      </c>
      <c r="B823" s="5" t="inlineStr">
        <is>
          <t>B-i</t>
        </is>
      </c>
      <c r="C823" s="3" t="inlineStr">
        <is>
          <t>Luo, H.; Zhang, Z.; Zhu, Q.; Houda Ben Ameur, N.E.; Liu, X.; Ding, F.; Cai, Y.</t>
        </is>
      </c>
      <c r="D823" s="6" t="n">
        <v>2025</v>
      </c>
      <c r="E823" s="3" t="inlineStr">
        <is>
          <t>Using large language models to investigate cultural ecosystem services perceptions: A few-shot and prompt method</t>
        </is>
      </c>
      <c r="F823" s="3" t="inlineStr">
        <is>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is>
      </c>
      <c r="G823" s="5" t="inlineStr">
        <is>
          <t>Journal article</t>
        </is>
      </c>
      <c r="H823" s="5" t="inlineStr">
        <is>
          <t>10.1016/j.landurbplan.2025.105323</t>
        </is>
      </c>
      <c r="I823" s="5" t="n"/>
      <c r="J823" s="3" t="n"/>
    </row>
    <row r="824" ht="313.5" customHeight="1" s="18">
      <c r="A824" s="5" t="inlineStr">
        <is>
          <t>S2-0818</t>
        </is>
      </c>
      <c r="B824" s="5" t="inlineStr">
        <is>
          <t>B-i</t>
        </is>
      </c>
      <c r="C824" s="3" t="inlineStr">
        <is>
          <t>Poddar, S.; Deepansh, A.; Poornalatha, G.</t>
        </is>
      </c>
      <c r="D824" s="6" t="n">
        <v>2026</v>
      </c>
      <c r="E824" s="3" t="inlineStr">
        <is>
          <t>Leveraging Sentiment Analysis of Consumer Feedback for Data-Driven CRM in Digital Game Ecosystems</t>
        </is>
      </c>
      <c r="F824" s="3" t="inlineStr">
        <is>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is>
      </c>
      <c r="G824" s="5" t="inlineStr">
        <is>
          <t>Journal article</t>
        </is>
      </c>
      <c r="H824" s="5" t="inlineStr">
        <is>
          <t>10.1109/access.2026.3668801</t>
        </is>
      </c>
      <c r="I824" s="5" t="n"/>
      <c r="J824" s="3" t="n"/>
    </row>
    <row r="825" ht="409.5" customHeight="1" s="18">
      <c r="A825" s="5" t="inlineStr">
        <is>
          <t>S2-0819</t>
        </is>
      </c>
      <c r="B825" s="5" t="inlineStr">
        <is>
          <t>B-i</t>
        </is>
      </c>
      <c r="C825" s="3" t="inlineStr">
        <is>
          <t>Park, K.; Baik, M.J.; Hwang, Y.; Shin, Y.; Lee, H.; Lee, R.; Lee, S.M.; Sun, J.Y.H.; Lee, A.R.; Yoon, S.Y.; Lee, D.-H.; Moon, J.; Bak, J.; Cho, K.; Paik, J.-W.; Park, S.</t>
        </is>
      </c>
      <c r="D825" s="6" t="n">
        <v>2026</v>
      </c>
      <c r="E825" s="3" t="inlineStr">
        <is>
          <t>Iterative Large Language Model–Guided Sampling and Expert-Annotated Benchmark Corpus for Harmful Suicide Content Detection: Development and Validation Study</t>
        </is>
      </c>
      <c r="F825" s="3" t="inlineStr">
        <is>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is>
      </c>
      <c r="G825" s="5" t="inlineStr">
        <is>
          <t>Journal article</t>
        </is>
      </c>
      <c r="H825" s="5" t="inlineStr">
        <is>
          <t>10.2196/73725</t>
        </is>
      </c>
      <c r="I825" s="5" t="n"/>
      <c r="J825" s="3" t="n"/>
    </row>
    <row r="826" ht="285" customHeight="1" s="18">
      <c r="A826" s="5" t="inlineStr">
        <is>
          <t>S2-0820</t>
        </is>
      </c>
      <c r="B826" s="5" t="inlineStr">
        <is>
          <t>B-i</t>
        </is>
      </c>
      <c r="C826" s="3" t="inlineStr">
        <is>
          <t>Jain, R.; Kesavan, M.; Jayaraman, V.K.</t>
        </is>
      </c>
      <c r="D826" s="6" t="n">
        <v>2026</v>
      </c>
      <c r="E826" s="3" t="inlineStr">
        <is>
          <t>Comparative Study of Zero-Shot and Supervised Learning for Tamil Tweet Sentiment Analysis</t>
        </is>
      </c>
      <c r="F826" s="3" t="inlineStr">
        <is>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is>
      </c>
      <c r="G826" s="5" t="inlineStr">
        <is>
          <t>Conference paper</t>
        </is>
      </c>
      <c r="H826" s="5" t="inlineStr">
        <is>
          <t>10.1007/978-3-032-10783-1_7</t>
        </is>
      </c>
      <c r="I826" s="5" t="n"/>
      <c r="J826" s="3" t="n"/>
    </row>
    <row r="827" ht="313.5" customHeight="1" s="18">
      <c r="A827" s="5" t="inlineStr">
        <is>
          <t>S2-0821</t>
        </is>
      </c>
      <c r="B827" s="5" t="inlineStr">
        <is>
          <t>B-i</t>
        </is>
      </c>
      <c r="C827" s="3" t="inlineStr">
        <is>
          <t>Vuruma, S.; Wu, D.; Gupta, S.S.; Aust, L.; Lookingbill, V.; Bellamy, W.; Ren, Y.; Kasson, E.; Chen, L.-S.; Cavazos-Rehg, P.; Hu, D.; Liu, H.; Huang, M.</t>
        </is>
      </c>
      <c r="D827" s="6" t="n">
        <v>2025</v>
      </c>
      <c r="E827" s="3" t="inlineStr">
        <is>
          <t>Automated Reddit Data Annotation with Large Language Models</t>
        </is>
      </c>
      <c r="F827" s="3" t="inlineStr">
        <is>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is>
      </c>
      <c r="G827" s="5" t="inlineStr">
        <is>
          <t>Conference paper</t>
        </is>
      </c>
      <c r="H827" s="5" t="inlineStr">
        <is>
          <t>10.1109/ichi64645.2025.00049</t>
        </is>
      </c>
      <c r="I827" s="5" t="n"/>
      <c r="J827" s="3" t="n"/>
    </row>
    <row r="828" ht="156.75" customHeight="1" s="18">
      <c r="A828" s="5" t="inlineStr">
        <is>
          <t>S2-0822</t>
        </is>
      </c>
      <c r="B828" s="5" t="inlineStr">
        <is>
          <t>B-i</t>
        </is>
      </c>
      <c r="C828" s="3" t="inlineStr">
        <is>
          <t>Hannani, M.; Soudi, A.; Van Laerhoven, K.</t>
        </is>
      </c>
      <c r="D828" s="6" t="n">
        <v>2024</v>
      </c>
      <c r="E828" s="3" t="inlineStr">
        <is>
          <t>Assessing the Performance of ChatGPT-4, Fine-tuned BERT and Traditional ML Models on Moroccan Arabic Sentiment Analysis</t>
        </is>
      </c>
      <c r="F828" s="3" t="inlineStr">
        <is>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is>
      </c>
      <c r="G828" s="5" t="inlineStr">
        <is>
          <t>Conference paper</t>
        </is>
      </c>
      <c r="H828" s="5" t="n"/>
      <c r="I828" s="5" t="n"/>
      <c r="J828" s="3" t="n"/>
    </row>
    <row r="829" ht="228" customHeight="1" s="18">
      <c r="A829" s="5" t="inlineStr">
        <is>
          <t>S2-0823</t>
        </is>
      </c>
      <c r="B829" s="5" t="inlineStr">
        <is>
          <t>B-i</t>
        </is>
      </c>
      <c r="C829" s="3" t="inlineStr">
        <is>
          <t>Água, M.; António, N.; Carrasco, P.; Rassal, C.</t>
        </is>
      </c>
      <c r="D829" s="6" t="n">
        <v>2025</v>
      </c>
      <c r="E829" s="3" t="inlineStr">
        <is>
          <t>Large Language Models Powered Aspect-Based Sentiment Analysis for Enhanced Customer Insights</t>
        </is>
      </c>
      <c r="F829" s="3" t="inlineStr">
        <is>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is>
      </c>
      <c r="G829" s="5" t="inlineStr">
        <is>
          <t>Journal article</t>
        </is>
      </c>
      <c r="H829" s="5" t="inlineStr">
        <is>
          <t>10.18089/tms.202501011</t>
        </is>
      </c>
      <c r="I829" s="5" t="n"/>
      <c r="J829" s="3" t="n"/>
    </row>
    <row r="830" ht="256.5" customHeight="1" s="18">
      <c r="A830" s="5" t="inlineStr">
        <is>
          <t>S2-0824</t>
        </is>
      </c>
      <c r="B830" s="5" t="inlineStr">
        <is>
          <t>B-i</t>
        </is>
      </c>
      <c r="C830" s="3" t="inlineStr">
        <is>
          <t>Shao, Z.; Cai, G.; Liu, Q.; Shang, Y.</t>
        </is>
      </c>
      <c r="D830" s="6" t="n">
        <v>2024</v>
      </c>
      <c r="E830" s="3" t="inlineStr">
        <is>
          <t>An Active Learning Framework for Continuous Rapid Rumor Detection in Evolving Social Media</t>
        </is>
      </c>
      <c r="F830" s="3" t="inlineStr">
        <is>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is>
      </c>
      <c r="G830" s="5" t="inlineStr">
        <is>
          <t>Conference paper</t>
        </is>
      </c>
      <c r="H830" s="5" t="inlineStr">
        <is>
          <t>10.1109/ijcnn60899.2024.10650445</t>
        </is>
      </c>
      <c r="I830" s="5" t="n"/>
      <c r="J830" s="3" t="n"/>
    </row>
    <row r="831" ht="242.25" customHeight="1" s="18">
      <c r="A831" s="5" t="inlineStr">
        <is>
          <t>S2-0825</t>
        </is>
      </c>
      <c r="B831" s="5" t="inlineStr">
        <is>
          <t>B-i</t>
        </is>
      </c>
      <c r="C831" s="3" t="inlineStr">
        <is>
          <t>Karmaker, C.L.; Aziz, R.A.; Thowai, K.Z.; Nath, N.</t>
        </is>
      </c>
      <c r="D831" s="6" t="n">
        <v>2025</v>
      </c>
      <c r="E831" s="3" t="inlineStr">
        <is>
          <t>Impact of Translation on Sentiment Analysis of Bengali Rumor Texts: A Multi-Criteria Approach</t>
        </is>
      </c>
      <c r="F831" s="3" t="inlineStr">
        <is>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is>
      </c>
      <c r="G831" s="5" t="inlineStr">
        <is>
          <t>Conference paper</t>
        </is>
      </c>
      <c r="H831" s="5" t="inlineStr">
        <is>
          <t>10.1109/iccit68739.2025.11491610</t>
        </is>
      </c>
      <c r="I831" s="5" t="n"/>
      <c r="J831" s="3" t="n"/>
    </row>
    <row r="832" ht="256.5" customHeight="1" s="18">
      <c r="A832" s="5" t="inlineStr">
        <is>
          <t>S2-0826</t>
        </is>
      </c>
      <c r="B832" s="5" t="inlineStr">
        <is>
          <t>B-i</t>
        </is>
      </c>
      <c r="C832" s="3" t="inlineStr">
        <is>
          <t>Lu, F.; Wang, W.; Luo, Y.; Zhu, Z.; Sun, Q.; Xu, B.; Shi, H.; Gao, S.; Li, Q.; Song, Y.; Li, J.</t>
        </is>
      </c>
      <c r="D832" s="6" t="n">
        <v>2024</v>
      </c>
      <c r="E832" s="3" t="inlineStr">
        <is>
          <t>Miko: Multimodal Intention Knowledge Distillation from Large Language Models for Social-Media Commonsense Discovery</t>
        </is>
      </c>
      <c r="F832" s="3" t="inlineStr">
        <is>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is>
      </c>
      <c r="G832" s="5" t="inlineStr">
        <is>
          <t>Conference paper</t>
        </is>
      </c>
      <c r="H832" s="5" t="inlineStr">
        <is>
          <t>10.1145/3664647.3681339</t>
        </is>
      </c>
      <c r="I832" s="5" t="n"/>
      <c r="J832" s="3" t="n"/>
    </row>
    <row r="833" ht="270.75" customHeight="1" s="18">
      <c r="A833" s="5" t="inlineStr">
        <is>
          <t>S2-0827</t>
        </is>
      </c>
      <c r="B833" s="5" t="inlineStr">
        <is>
          <t>B-i</t>
        </is>
      </c>
      <c r="C833" s="3" t="inlineStr">
        <is>
          <t>Ghosh, S.; Thajudeen, J.</t>
        </is>
      </c>
      <c r="D833" s="6" t="n">
        <v>2023</v>
      </c>
      <c r="E833" s="3" t="inlineStr">
        <is>
          <t>Voices of the Stacks: A Multifaceted Inquiry into Academic Librarians' Tweets</t>
        </is>
      </c>
      <c r="F833" s="3" t="inlineStr">
        <is>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is>
      </c>
      <c r="G833" s="5" t="inlineStr">
        <is>
          <t>Conference paper</t>
        </is>
      </c>
      <c r="H833" s="5" t="inlineStr">
        <is>
          <t>10.1002/pra2.778</t>
        </is>
      </c>
      <c r="I833" s="5" t="n"/>
      <c r="J833" s="3" t="n"/>
    </row>
    <row r="834" ht="242.25" customHeight="1" s="18">
      <c r="A834" s="5" t="inlineStr">
        <is>
          <t>S2-0828</t>
        </is>
      </c>
      <c r="B834" s="5" t="inlineStr">
        <is>
          <t>B-i</t>
        </is>
      </c>
      <c r="C834" s="3" t="inlineStr">
        <is>
          <t>Wu, C.; Wan, F.</t>
        </is>
      </c>
      <c r="D834" s="6" t="n">
        <v>2025</v>
      </c>
      <c r="E834" s="3" t="inlineStr">
        <is>
          <t>A Study of Large Model Sentiment Classification Based on LoRA Fine-Tuning</t>
        </is>
      </c>
      <c r="F834" s="3" t="inlineStr">
        <is>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is>
      </c>
      <c r="G834" s="5" t="inlineStr">
        <is>
          <t>Conference paper</t>
        </is>
      </c>
      <c r="H834" s="5" t="inlineStr">
        <is>
          <t>10.1109/ainit65432.2025.11035187</t>
        </is>
      </c>
      <c r="I834" s="5" t="n"/>
      <c r="J834" s="3" t="n"/>
    </row>
    <row r="835" ht="299.25" customHeight="1" s="18">
      <c r="A835" s="5" t="inlineStr">
        <is>
          <t>S2-0829</t>
        </is>
      </c>
      <c r="B835" s="5" t="inlineStr">
        <is>
          <t>B-i</t>
        </is>
      </c>
      <c r="C835" s="3" t="inlineStr">
        <is>
          <t>Espinosa, L.; Salathé, M.</t>
        </is>
      </c>
      <c r="D835" s="6" t="n">
        <v>2024</v>
      </c>
      <c r="E835" s="3" t="inlineStr">
        <is>
          <t>Use of large language models as a scalable approach to understanding public health discourse</t>
        </is>
      </c>
      <c r="F835" s="3" t="inlineStr">
        <is>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is>
      </c>
      <c r="G835" s="5" t="inlineStr">
        <is>
          <t>Journal article</t>
        </is>
      </c>
      <c r="H835" s="5" t="inlineStr">
        <is>
          <t>10.1371/journal.pdig.0000631</t>
        </is>
      </c>
      <c r="I835" s="5" t="n"/>
      <c r="J835" s="3" t="n"/>
    </row>
    <row r="836" ht="270.75" customHeight="1" s="18">
      <c r="A836" s="5" t="inlineStr">
        <is>
          <t>S2-0830</t>
        </is>
      </c>
      <c r="B836" s="5" t="inlineStr">
        <is>
          <t>B-i</t>
        </is>
      </c>
      <c r="C836" s="3" t="inlineStr">
        <is>
          <t>Khalip, K.I.; Khalif, K.M.N.K.; Aziz, M.K.B.M.; Gegov, A.</t>
        </is>
      </c>
      <c r="D836" s="6" t="n">
        <v>2025</v>
      </c>
      <c r="E836" s="3" t="inlineStr">
        <is>
          <t>Sentiment Analysis of Noisy Malay Text using a Large Language Model</t>
        </is>
      </c>
      <c r="F836" s="3" t="inlineStr">
        <is>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is>
      </c>
      <c r="G836" s="5" t="inlineStr">
        <is>
          <t>Conference paper</t>
        </is>
      </c>
      <c r="H836" s="5" t="inlineStr">
        <is>
          <t>10.5109/7395763</t>
        </is>
      </c>
      <c r="I836" s="5" t="n"/>
      <c r="J836" s="3" t="n"/>
    </row>
    <row r="837" ht="228" customHeight="1" s="18">
      <c r="A837" s="5" t="inlineStr">
        <is>
          <t>S2-0831</t>
        </is>
      </c>
      <c r="B837" s="5" t="inlineStr">
        <is>
          <t>B-i</t>
        </is>
      </c>
      <c r="C837" s="3" t="inlineStr">
        <is>
          <t>Gedhu, A.; Tao, S.; Patil, A.</t>
        </is>
      </c>
      <c r="D837" s="6" t="n">
        <v>2025</v>
      </c>
      <c r="E837" s="3" t="inlineStr">
        <is>
          <t>Evaluating Reasoning LLMs for Suicide Screening with the Columbia-Suicide Severity Rating Scale</t>
        </is>
      </c>
      <c r="F837" s="3" t="inlineStr">
        <is>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is>
      </c>
      <c r="G837" s="5" t="inlineStr">
        <is>
          <t>Conference paper</t>
        </is>
      </c>
      <c r="H837" s="5" t="inlineStr">
        <is>
          <t>10.1109/fmlds67896.2025.00067</t>
        </is>
      </c>
      <c r="I837" s="5" t="n"/>
      <c r="J837" s="3" t="n"/>
    </row>
    <row r="838" ht="270.75" customHeight="1" s="18">
      <c r="A838" s="5" t="inlineStr">
        <is>
          <t>S2-0832</t>
        </is>
      </c>
      <c r="B838" s="5" t="inlineStr">
        <is>
          <t>B-i</t>
        </is>
      </c>
      <c r="C838" s="3" t="inlineStr">
        <is>
          <t>Li, J.; Han, R.; Sun, C.; Sun, D.; Wang, R.; Zeng, J.; Yan, Y.; Tong, H.; Abdelzaher, T.</t>
        </is>
      </c>
      <c r="D838" s="6" t="n">
        <v>2024</v>
      </c>
      <c r="E838" s="3" t="inlineStr">
        <is>
          <t>Large Language Model-Guided Disentangled Belief Representation Learning on Polarized Social Graphs</t>
        </is>
      </c>
      <c r="F838" s="3" t="inlineStr">
        <is>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is>
      </c>
      <c r="G838" s="5" t="inlineStr">
        <is>
          <t>Conference paper</t>
        </is>
      </c>
      <c r="H838" s="5" t="inlineStr">
        <is>
          <t>10.1109/icccn61486.2024.10637650</t>
        </is>
      </c>
      <c r="I838" s="5" t="n"/>
      <c r="J838" s="3" t="n"/>
    </row>
    <row r="839" ht="256.5" customHeight="1" s="18">
      <c r="A839" s="5" t="inlineStr">
        <is>
          <t>S2-0833</t>
        </is>
      </c>
      <c r="B839" s="5" t="inlineStr">
        <is>
          <t>B-i</t>
        </is>
      </c>
      <c r="C839" s="3" t="inlineStr">
        <is>
          <t>Ding, D.; Dai, G.; Peng, C.; Peng, X.; Zhang, B.; Huang, H.</t>
        </is>
      </c>
      <c r="D839" s="6" t="n">
        <v>2024</v>
      </c>
      <c r="E839" s="3" t="inlineStr">
        <is>
          <t>Distantly Supervised Explainable Stance Detection via Chain-of-Thought Supervision</t>
        </is>
      </c>
      <c r="F839" s="3" t="inlineStr">
        <is>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is>
      </c>
      <c r="G839" s="5" t="inlineStr">
        <is>
          <t>Journal article</t>
        </is>
      </c>
      <c r="H839" s="5" t="inlineStr">
        <is>
          <t>10.3390/math12071119</t>
        </is>
      </c>
      <c r="I839" s="5" t="n"/>
      <c r="J839" s="3" t="n"/>
    </row>
    <row r="840" ht="342" customHeight="1" s="18">
      <c r="A840" s="5" t="inlineStr">
        <is>
          <t>S2-0834</t>
        </is>
      </c>
      <c r="B840" s="5" t="inlineStr">
        <is>
          <t>B-i</t>
        </is>
      </c>
      <c r="C840" s="3" t="inlineStr">
        <is>
          <t>Alderazi, F.; Algosaibi, A.; Alabdullatif, M.; Ahmad, H.F.; Qamar, A.M.; Albarrak, A.</t>
        </is>
      </c>
      <c r="D840" s="6" t="n">
        <v>2024</v>
      </c>
      <c r="E840" s="3" t="inlineStr">
        <is>
          <t>Generative artificial intelligence in topicsentiment classification for Arabic text: a comparative study with possible future directions</t>
        </is>
      </c>
      <c r="F840" s="3" t="inlineStr">
        <is>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is>
      </c>
      <c r="G840" s="5" t="inlineStr">
        <is>
          <t>Journal article</t>
        </is>
      </c>
      <c r="H840" s="5" t="inlineStr">
        <is>
          <t>10.7717/peerj-cs.2081</t>
        </is>
      </c>
      <c r="I840" s="5" t="n"/>
      <c r="J840" s="3" t="n"/>
    </row>
    <row r="841" ht="313.5" customHeight="1" s="18">
      <c r="A841" s="5" t="inlineStr">
        <is>
          <t>S2-0835</t>
        </is>
      </c>
      <c r="B841" s="5" t="inlineStr">
        <is>
          <t>B-i</t>
        </is>
      </c>
      <c r="C841" s="3" t="inlineStr">
        <is>
          <t>Zhang, B.; Ding, D.; Huang, Z.; Li, A.; Li, Y.; Zhang, B.; Huang, H.</t>
        </is>
      </c>
      <c r="D841" s="6" t="n">
        <v>2025</v>
      </c>
      <c r="E841" s="3" t="inlineStr">
        <is>
          <t>Knowledge-Augmented Interpretable Network for Zero-Shot Stance Detection on Social Media</t>
        </is>
      </c>
      <c r="F841" s="3" t="inlineStr">
        <is>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is>
      </c>
      <c r="G841" s="5" t="inlineStr">
        <is>
          <t>Journal article</t>
        </is>
      </c>
      <c r="H841" s="5" t="inlineStr">
        <is>
          <t>10.1109/tcss.2024.3388723</t>
        </is>
      </c>
      <c r="I841" s="5" t="n"/>
      <c r="J841" s="3" t="n"/>
    </row>
    <row r="842" ht="213.75" customHeight="1" s="18">
      <c r="A842" s="5" t="inlineStr">
        <is>
          <t>S2-0836</t>
        </is>
      </c>
      <c r="B842" s="5" t="inlineStr">
        <is>
          <t>B-i</t>
        </is>
      </c>
      <c r="C842" s="3" t="inlineStr">
        <is>
          <t>Caciulescu, A.R.; Baraitaru, A.; Radovici, A.</t>
        </is>
      </c>
      <c r="D842" s="6" t="n">
        <v>2025</v>
      </c>
      <c r="E842" s="3" t="inlineStr">
        <is>
          <t>AI in Cybersecurity: How Large Language Models Classify Risk and Opportunity</t>
        </is>
      </c>
      <c r="F842" s="3" t="inlineStr">
        <is>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is>
      </c>
      <c r="G842" s="5" t="inlineStr">
        <is>
          <t>Conference paper</t>
        </is>
      </c>
      <c r="H842" s="5" t="inlineStr">
        <is>
          <t>10.1109/cscs66924.2025.00098</t>
        </is>
      </c>
      <c r="I842" s="5" t="n"/>
      <c r="J842" s="3" t="n"/>
    </row>
    <row r="843" ht="199.5" customHeight="1" s="18">
      <c r="A843" s="5" t="inlineStr">
        <is>
          <t>S2-0837</t>
        </is>
      </c>
      <c r="B843" s="5" t="inlineStr">
        <is>
          <t>B-i</t>
        </is>
      </c>
      <c r="C843" s="3" t="inlineStr">
        <is>
          <t>Leas, E.C.; Ayers, J.W.; Desai, N.; Dredze, M.; Hogarth, M.; Smith, D.M.</t>
        </is>
      </c>
      <c r="D843" s="6" t="n">
        <v>2024</v>
      </c>
      <c r="E843" s="3" t="inlineStr">
        <is>
          <t>Using Large Language Models to Support Content Analysis: A Case Study of ChatGPT for Adverse Event Detection</t>
        </is>
      </c>
      <c r="F843" s="3" t="inlineStr">
        <is>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is>
      </c>
      <c r="G843" s="5" t="inlineStr">
        <is>
          <t>Journal article</t>
        </is>
      </c>
      <c r="H843" s="5" t="inlineStr">
        <is>
          <t>10.2196/52499</t>
        </is>
      </c>
      <c r="I843" s="5" t="n"/>
      <c r="J843" s="3" t="n"/>
    </row>
    <row r="844" ht="299.25" customHeight="1" s="18">
      <c r="A844" s="5" t="inlineStr">
        <is>
          <t>S2-0838</t>
        </is>
      </c>
      <c r="B844" s="5" t="inlineStr">
        <is>
          <t>B-i</t>
        </is>
      </c>
      <c r="C844" s="3" t="inlineStr">
        <is>
          <t>MacEda, L.L.</t>
        </is>
      </c>
      <c r="D844" s="6" t="n">
        <v>2024</v>
      </c>
      <c r="E844" s="3" t="inlineStr">
        <is>
          <t>Enhanced Sentiment Classification in Code-Mixed Texts Using Hybrid Embeddings and Synthetic Data Generation</t>
        </is>
      </c>
      <c r="F844" s="3" t="inlineStr">
        <is>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is>
      </c>
      <c r="G844" s="5" t="inlineStr">
        <is>
          <t>Conference paper</t>
        </is>
      </c>
      <c r="H844" s="5" t="inlineStr">
        <is>
          <t>10.1109/icca62237.2024.10928006</t>
        </is>
      </c>
      <c r="I844" s="5" t="n"/>
      <c r="J844" s="3" t="n"/>
    </row>
    <row r="845" ht="256.5" customHeight="1" s="18">
      <c r="A845" s="5" t="inlineStr">
        <is>
          <t>S2-0839</t>
        </is>
      </c>
      <c r="B845" s="5" t="inlineStr">
        <is>
          <t>B-i</t>
        </is>
      </c>
      <c r="C845" s="3" t="inlineStr">
        <is>
          <t>Ding, Y.; He, K.; Li, B.; Zheng, L.; He, H.; Li, F.; Teng, C.; Ji, D.</t>
        </is>
      </c>
      <c r="D845" s="6" t="n">
        <v>2025</v>
      </c>
      <c r="E845" s="3" t="inlineStr">
        <is>
          <t>Zero-Shot Conversational Stance Detection: Dataset and Approaches</t>
        </is>
      </c>
      <c r="F845" s="3" t="inlineStr">
        <is>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is>
      </c>
      <c r="G845" s="5" t="inlineStr">
        <is>
          <t>Conference paper</t>
        </is>
      </c>
      <c r="H845" s="5" t="inlineStr">
        <is>
          <t>10.18653/v1/2025.findings-acl.168</t>
        </is>
      </c>
      <c r="I845" s="5" t="n"/>
      <c r="J845" s="3" t="n"/>
    </row>
    <row r="846" ht="270.75" customHeight="1" s="18">
      <c r="A846" s="5" t="inlineStr">
        <is>
          <t>S2-0840</t>
        </is>
      </c>
      <c r="B846" s="5" t="inlineStr">
        <is>
          <t>B-i</t>
        </is>
      </c>
      <c r="C846" s="3" t="inlineStr">
        <is>
          <t>Senette, C.; Gambini, M.; Fagni, T.; Popa, V.; Tesconi, M.</t>
        </is>
      </c>
      <c r="D846" s="6" t="n">
        <v>2024</v>
      </c>
      <c r="E846" s="3" t="inlineStr">
        <is>
          <t>Inferring Political Leaning on X (Twitter): A Zero-Shot Approach in an Italian Scenario</t>
        </is>
      </c>
      <c r="F846" s="3" t="inlineStr">
        <is>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is>
      </c>
      <c r="G846" s="5" t="inlineStr">
        <is>
          <t>Conference paper</t>
        </is>
      </c>
      <c r="H846" s="5" t="n"/>
      <c r="I846" s="5" t="n"/>
      <c r="J846" s="3" t="n"/>
    </row>
    <row r="847" ht="285" customHeight="1" s="18">
      <c r="A847" s="5" t="inlineStr">
        <is>
          <t>S2-0841</t>
        </is>
      </c>
      <c r="B847" s="5" t="inlineStr">
        <is>
          <t>B-i</t>
        </is>
      </c>
      <c r="C847" s="3" t="inlineStr">
        <is>
          <t>Bozkurt, Z.; Karatas, A.</t>
        </is>
      </c>
      <c r="D847" s="6" t="n">
        <v>2025</v>
      </c>
      <c r="E847" s="3" t="inlineStr">
        <is>
          <t>Beyond Polarity: Unsupervised Sentiment Analysis in Turkish Social Media Texts</t>
        </is>
      </c>
      <c r="F847" s="3" t="inlineStr">
        <is>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is>
      </c>
      <c r="G847" s="5" t="inlineStr">
        <is>
          <t>Conference paper</t>
        </is>
      </c>
      <c r="H847" s="5" t="inlineStr">
        <is>
          <t>10.1109/ubmk67458.2025.11207009</t>
        </is>
      </c>
      <c r="I847" s="5" t="n"/>
      <c r="J847" s="3" t="n"/>
    </row>
    <row r="848" ht="199.5" customHeight="1" s="18">
      <c r="A848" s="5" t="inlineStr">
        <is>
          <t>S2-0842</t>
        </is>
      </c>
      <c r="B848" s="5" t="inlineStr">
        <is>
          <t>B-i</t>
        </is>
      </c>
      <c r="C848" s="3" t="inlineStr">
        <is>
          <t>Shayea, A.; Mangoud, M.A.</t>
        </is>
      </c>
      <c r="D848" s="6" t="n">
        <v>2025</v>
      </c>
      <c r="E848" s="3" t="inlineStr">
        <is>
          <t>Aspect-Based Sentiment Analysis for Arabic Business Insights with Generative Language Models</t>
        </is>
      </c>
      <c r="F848" s="3" t="inlineStr">
        <is>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is>
      </c>
      <c r="G848" s="5" t="inlineStr">
        <is>
          <t>Conference paper</t>
        </is>
      </c>
      <c r="H848" s="5" t="inlineStr">
        <is>
          <t>10.1109/3ict68299.2025.11442015</t>
        </is>
      </c>
      <c r="I848" s="5" t="n"/>
      <c r="J848" s="3" t="n"/>
    </row>
    <row r="849" ht="313.5" customHeight="1" s="18">
      <c r="A849" s="5" t="inlineStr">
        <is>
          <t>S2-0843</t>
        </is>
      </c>
      <c r="B849" s="5" t="inlineStr">
        <is>
          <t>B-i</t>
        </is>
      </c>
      <c r="C849" s="3" t="inlineStr">
        <is>
          <t>Tarrant, G.; Boyden, L.; Rai, T.; Wright, A.; Cook, A.J.C.; Wells, K.</t>
        </is>
      </c>
      <c r="D849" s="6" t="n">
        <v>2025</v>
      </c>
      <c r="E849" s="3" t="inlineStr">
        <is>
          <t>Gaining insights into pet owner understanding/lived experience of canine chronic kidney disease using survey and social media data</t>
        </is>
      </c>
      <c r="F849" s="3" t="inlineStr">
        <is>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is>
      </c>
      <c r="G849" s="5" t="inlineStr">
        <is>
          <t>Journal article</t>
        </is>
      </c>
      <c r="H849" s="5" t="inlineStr">
        <is>
          <t>10.3389/fvets.2025.1506272</t>
        </is>
      </c>
      <c r="I849" s="5" t="n"/>
      <c r="J849" s="3" t="n"/>
    </row>
    <row r="850" ht="270.75" customHeight="1" s="18">
      <c r="A850" s="5" t="inlineStr">
        <is>
          <t>S2-0844</t>
        </is>
      </c>
      <c r="B850" s="5" t="inlineStr">
        <is>
          <t>B-i</t>
        </is>
      </c>
      <c r="C850" s="3" t="inlineStr">
        <is>
          <t>Nguyen, T.H.; Rudra, K.</t>
        </is>
      </c>
      <c r="D850" s="6" t="n">
        <v>2023</v>
      </c>
      <c r="E850" s="3" t="inlineStr">
        <is>
          <t>Learning Faithful Attention for Interpretable Classification of Crisis-Related Microblogs under Constrained Human Budget</t>
        </is>
      </c>
      <c r="F850" s="3" t="inlineStr">
        <is>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is>
      </c>
      <c r="G850" s="5" t="inlineStr">
        <is>
          <t>Conference paper</t>
        </is>
      </c>
      <c r="H850" s="5" t="inlineStr">
        <is>
          <t>10.1145/3543507.3583861</t>
        </is>
      </c>
      <c r="I850" s="5" t="n"/>
      <c r="J850" s="3" t="n"/>
    </row>
    <row r="851" ht="327.75" customHeight="1" s="18">
      <c r="A851" s="5" t="inlineStr">
        <is>
          <t>S2-0845</t>
        </is>
      </c>
      <c r="B851" s="5" t="inlineStr">
        <is>
          <t>B-i</t>
        </is>
      </c>
      <c r="C851" s="3" t="inlineStr">
        <is>
          <t>Aliyu, Y.; Sarlan, A.; Usman Danyaro, K.; Rahman, A.S.B.A.; Abdullahi, M.</t>
        </is>
      </c>
      <c r="D851" s="6" t="n">
        <v>2024</v>
      </c>
      <c r="E851" s="3" t="inlineStr">
        <is>
          <t>Sentiment Analysis in Low-Resource Settings: A Comprehensive Review of Approaches, Languages, and Data Sources</t>
        </is>
      </c>
      <c r="F851" s="3" t="inlineStr">
        <is>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is>
      </c>
      <c r="G851" s="5" t="inlineStr">
        <is>
          <t>Journal article</t>
        </is>
      </c>
      <c r="H851" s="5" t="inlineStr">
        <is>
          <t>10.1109/access.2024.3398635</t>
        </is>
      </c>
      <c r="I851" s="5" t="n"/>
      <c r="J851" s="3" t="n"/>
    </row>
    <row r="852" ht="228" customHeight="1" s="18">
      <c r="A852" s="5" t="inlineStr">
        <is>
          <t>S2-0846</t>
        </is>
      </c>
      <c r="B852" s="5" t="inlineStr">
        <is>
          <t>B-i</t>
        </is>
      </c>
      <c r="C852" s="3" t="inlineStr">
        <is>
          <t>Morbidoni, C.; Sarra, A.</t>
        </is>
      </c>
      <c r="D852" s="6" t="n">
        <v>2023</v>
      </c>
      <c r="E852" s="3" t="inlineStr">
        <is>
          <t>Can LLMs assist humans in assessing online misogyny? Experiments with GPT-3.5</t>
        </is>
      </c>
      <c r="F852" s="3" t="inlineStr">
        <is>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is>
      </c>
      <c r="G852" s="5" t="inlineStr">
        <is>
          <t>Conference paper</t>
        </is>
      </c>
      <c r="H852" s="5" t="n"/>
      <c r="I852" s="5" t="n"/>
      <c r="J852" s="3" t="n"/>
    </row>
    <row r="853" ht="384.75" customHeight="1" s="18">
      <c r="A853" s="5" t="inlineStr">
        <is>
          <t>S2-0847</t>
        </is>
      </c>
      <c r="B853" s="5" t="inlineStr">
        <is>
          <t>B-i</t>
        </is>
      </c>
      <c r="C853" s="3" t="inlineStr">
        <is>
          <t>Malgaroli, M.; Hull, T.D.; Zech, J.M.; Althoff, T.</t>
        </is>
      </c>
      <c r="D853" s="6" t="n">
        <v>2023</v>
      </c>
      <c r="E853" s="3" t="inlineStr">
        <is>
          <t>Natural language processing for mental health interventions: a systematic review and research framework</t>
        </is>
      </c>
      <c r="F853" s="3" t="inlineStr">
        <is>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is>
      </c>
      <c r="G853" s="5" t="inlineStr">
        <is>
          <t>Journal article</t>
        </is>
      </c>
      <c r="H853" s="5" t="inlineStr">
        <is>
          <t>10.1038/s41398-023-02592-2</t>
        </is>
      </c>
      <c r="I853" s="5" t="n"/>
      <c r="J853" s="3" t="n"/>
    </row>
    <row r="854" ht="142.5" customHeight="1" s="18">
      <c r="A854" s="5" t="inlineStr">
        <is>
          <t>S2-0848</t>
        </is>
      </c>
      <c r="B854" s="5" t="inlineStr">
        <is>
          <t>B-i</t>
        </is>
      </c>
      <c r="C854" s="3" t="inlineStr">
        <is>
          <t>Hamza-Cherif, S.; Settouti, N.</t>
        </is>
      </c>
      <c r="D854" s="6" t="n">
        <v>2023</v>
      </c>
      <c r="E854" s="3" t="inlineStr">
        <is>
          <t>Exploring Sentiment Analysis in Health with CNN, GRU and Zero-Shot Learning on Imbalanced Textual Data.</t>
        </is>
      </c>
      <c r="F854" s="3" t="inlineStr">
        <is>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is>
      </c>
      <c r="G854" s="5" t="inlineStr">
        <is>
          <t>Conference paper</t>
        </is>
      </c>
      <c r="H854" s="5" t="n"/>
      <c r="I854" s="5" t="n"/>
      <c r="J854" s="3" t="n"/>
    </row>
    <row r="855" ht="242.25" customHeight="1" s="18">
      <c r="A855" s="5" t="inlineStr">
        <is>
          <t>S2-0849</t>
        </is>
      </c>
      <c r="B855" s="5" t="inlineStr">
        <is>
          <t>B-i</t>
        </is>
      </c>
      <c r="C855" s="3" t="inlineStr">
        <is>
          <t>Al Asad, M.A.; Imran, H.M.; Alamin, M.; Abdullah, T.A.; Chowdhury, S.I.</t>
        </is>
      </c>
      <c r="D855" s="6" t="n">
        <v>2023</v>
      </c>
      <c r="E855" s="3" t="inlineStr">
        <is>
          <t>Sentiment and Interest Detection in Social Media using GPT-based Large Language Models</t>
        </is>
      </c>
      <c r="F855" s="3" t="inlineStr">
        <is>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is>
      </c>
      <c r="G855" s="5" t="inlineStr">
        <is>
          <t>Conference paper</t>
        </is>
      </c>
      <c r="H855" s="5" t="inlineStr">
        <is>
          <t>10.1145/3639479.3639523</t>
        </is>
      </c>
      <c r="I855" s="5" t="n"/>
      <c r="J855" s="3" t="n"/>
    </row>
    <row r="856" ht="199.5" customHeight="1" s="18">
      <c r="A856" s="5" t="inlineStr">
        <is>
          <t>S2-0850</t>
        </is>
      </c>
      <c r="B856" s="5" t="inlineStr">
        <is>
          <t>B-i</t>
        </is>
      </c>
      <c r="C856" s="3" t="inlineStr">
        <is>
          <t>Antal, M.; Buza, K.; Nemes, S.</t>
        </is>
      </c>
      <c r="D856" s="6" t="n">
        <v>2024</v>
      </c>
      <c r="E856" s="3" t="inlineStr">
        <is>
          <t>Advancements in Text Subjectivity Analysis: From Simple Approaches to BERT-Based Models and Generalization Assessments</t>
        </is>
      </c>
      <c r="F856" s="3" t="inlineStr">
        <is>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is>
      </c>
      <c r="G856" s="5" t="inlineStr">
        <is>
          <t>Conference paper</t>
        </is>
      </c>
      <c r="H856" s="5" t="inlineStr">
        <is>
          <t>10.1007/978-3-031-70248-8_19</t>
        </is>
      </c>
      <c r="I856" s="5" t="n"/>
      <c r="J856" s="3" t="n"/>
    </row>
    <row r="857" ht="256.5" customHeight="1" s="18">
      <c r="A857" s="5" t="inlineStr">
        <is>
          <t>S2-0851</t>
        </is>
      </c>
      <c r="B857" s="5" t="inlineStr">
        <is>
          <t>B-i</t>
        </is>
      </c>
      <c r="C857" s="3" t="inlineStr">
        <is>
          <t>Alkaoud, M.</t>
        </is>
      </c>
      <c r="D857" s="6" t="n">
        <v>2025</v>
      </c>
      <c r="E857" s="3" t="inlineStr">
        <is>
          <t>Are LLMs Good Zero-Shot Classifiers? Re-Evaluating the Performance of LLMs on Arabic Sentiment Analysis</t>
        </is>
      </c>
      <c r="F857" s="3" t="inlineStr">
        <is>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is>
      </c>
      <c r="G857" s="5" t="inlineStr">
        <is>
          <t>Conference paper</t>
        </is>
      </c>
      <c r="H857" s="5" t="inlineStr">
        <is>
          <t>10.1109/cdma61895.2025.00036</t>
        </is>
      </c>
      <c r="I857" s="5" t="n"/>
      <c r="J857" s="3" t="n"/>
    </row>
    <row r="858" ht="409.5" customHeight="1" s="18">
      <c r="A858" s="5" t="inlineStr">
        <is>
          <t>S2-0852</t>
        </is>
      </c>
      <c r="B858" s="5" t="inlineStr">
        <is>
          <t>B-i</t>
        </is>
      </c>
      <c r="C858" s="3" t="inlineStr">
        <is>
          <t>Babinski, T.; Karley, S.; Cooper, M.; Shaik, S.; Ken Wang, Y.</t>
        </is>
      </c>
      <c r="D858" s="6" t="n">
        <v>2025</v>
      </c>
      <c r="E858" s="3" t="inlineStr">
        <is>
          <t>Exploring Inflammatory Bowel Disease Discourse on Reddit Throughout the COVID-19 Pandemic Using OpenAI's GPT-3.5 Turbo Model: Classification Model Validation and Case Study</t>
        </is>
      </c>
      <c r="F858" s="3" t="inlineStr">
        <is>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is>
      </c>
      <c r="G858" s="5" t="inlineStr">
        <is>
          <t>Journal article</t>
        </is>
      </c>
      <c r="H858" s="5" t="inlineStr">
        <is>
          <t>10.2196/53332</t>
        </is>
      </c>
      <c r="I858" s="5" t="n"/>
      <c r="J858" s="3" t="n"/>
    </row>
    <row r="859" ht="256.5" customHeight="1" s="18">
      <c r="A859" s="5" t="inlineStr">
        <is>
          <t>S2-0853</t>
        </is>
      </c>
      <c r="B859" s="5" t="inlineStr">
        <is>
          <t>B-i</t>
        </is>
      </c>
      <c r="C859" s="3" t="inlineStr">
        <is>
          <t>Sani, S.A.; Muhammad, S.H.; Jarvis, D.</t>
        </is>
      </c>
      <c r="D859" s="6" t="n">
        <v>2025</v>
      </c>
      <c r="E859" s="3" t="inlineStr">
        <is>
          <t>Investigating the Impact of Language-Adaptive Fine-Tuning on Sentiment Analysis in Hausa Language Using AfriBERTa</t>
        </is>
      </c>
      <c r="F859" s="3" t="inlineStr">
        <is>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is>
      </c>
      <c r="G859" s="5" t="inlineStr">
        <is>
          <t>Conference paper</t>
        </is>
      </c>
      <c r="H859" s="5" t="n"/>
      <c r="I859" s="5" t="n"/>
      <c r="J859" s="3" t="n"/>
    </row>
    <row r="860" ht="185.25" customHeight="1" s="18">
      <c r="A860" s="5" t="inlineStr">
        <is>
          <t>S2-0854</t>
        </is>
      </c>
      <c r="B860" s="5" t="inlineStr">
        <is>
          <t>B-i</t>
        </is>
      </c>
      <c r="C860" s="3" t="inlineStr">
        <is>
          <t>Qian, J.; Chen, Q.; Yue, Y.; Atkinson, K.; Li, G.</t>
        </is>
      </c>
      <c r="D860" s="6" t="n">
        <v>2023</v>
      </c>
      <c r="E860" s="3" t="inlineStr">
        <is>
          <t>Injecting Commonsense Knowledge into Prompt Learning for Zero-Shot Text Classification</t>
        </is>
      </c>
      <c r="F860" s="3" t="inlineStr">
        <is>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is>
      </c>
      <c r="G860" s="5" t="inlineStr">
        <is>
          <t>Conference paper</t>
        </is>
      </c>
      <c r="H860" s="5" t="inlineStr">
        <is>
          <t>10.1145/3587716.3587787</t>
        </is>
      </c>
      <c r="I860" s="5" t="n"/>
      <c r="J860" s="3" t="n"/>
    </row>
    <row r="861" ht="99.75" customHeight="1" s="18">
      <c r="A861" s="5" t="inlineStr">
        <is>
          <t>S2-0855</t>
        </is>
      </c>
      <c r="B861" s="5" t="inlineStr">
        <is>
          <t>B-i</t>
        </is>
      </c>
      <c r="C861" s="3" t="inlineStr">
        <is>
          <t>Nip, J.Y.M.; Berthelier, B.</t>
        </is>
      </c>
      <c r="D861" s="6" t="n">
        <v>2024</v>
      </c>
      <c r="E861" s="3" t="inlineStr">
        <is>
          <t>Social Media Sentiment Analysis</t>
        </is>
      </c>
      <c r="F861" s="3" t="inlineStr">
        <is>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is>
      </c>
      <c r="G861" s="5" t="inlineStr">
        <is>
          <t>Journal article</t>
        </is>
      </c>
      <c r="H861" s="5" t="inlineStr">
        <is>
          <t>10.3390/encyclopedia4040104</t>
        </is>
      </c>
      <c r="I861" s="5" t="n"/>
      <c r="J861" s="3" t="n"/>
    </row>
    <row r="862" ht="242.25" customHeight="1" s="18">
      <c r="A862" s="5" t="inlineStr">
        <is>
          <t>S2-0856</t>
        </is>
      </c>
      <c r="B862" s="5" t="inlineStr">
        <is>
          <t>B-i</t>
        </is>
      </c>
      <c r="C862" s="3" t="inlineStr">
        <is>
          <t>Stefanova, T.; Georgiev, S.</t>
        </is>
      </c>
      <c r="D862" s="6" t="n">
        <v>2025</v>
      </c>
      <c r="E862" s="3" t="inlineStr">
        <is>
          <t>Fuzzy Ensemble of Large Language Models for Financial Sentiment Analysis</t>
        </is>
      </c>
      <c r="F862" s="3" t="inlineStr">
        <is>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is>
      </c>
      <c r="G862" s="5" t="inlineStr">
        <is>
          <t>Conference paper</t>
        </is>
      </c>
      <c r="H862" s="5" t="inlineStr">
        <is>
          <t>10.1007/978-3-031-97992-7_62</t>
        </is>
      </c>
      <c r="I862" s="5" t="n"/>
      <c r="J862" s="3" t="n"/>
    </row>
    <row r="863" ht="270.75" customHeight="1" s="18">
      <c r="A863" s="5" t="inlineStr">
        <is>
          <t>S2-0857</t>
        </is>
      </c>
      <c r="B863" s="5" t="inlineStr">
        <is>
          <t>B-i</t>
        </is>
      </c>
      <c r="C863" s="3" t="inlineStr">
        <is>
          <t>Ihnaini, B.; Li, J.; Yu, Z.</t>
        </is>
      </c>
      <c r="D863" s="6" t="n">
        <v>2025</v>
      </c>
      <c r="E863" s="3" t="inlineStr">
        <is>
          <t>Evaluating Large Language Models for Depression Detection in Text: A Comparative Analysis</t>
        </is>
      </c>
      <c r="F863" s="3" t="inlineStr">
        <is>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is>
      </c>
      <c r="G863" s="5" t="inlineStr">
        <is>
          <t>Conference paper</t>
        </is>
      </c>
      <c r="H863" s="5" t="inlineStr">
        <is>
          <t>10.1007/978-981-96-7030-7_1</t>
        </is>
      </c>
      <c r="I863" s="5" t="n"/>
      <c r="J863" s="3" t="n"/>
    </row>
    <row r="864" ht="409.5" customHeight="1" s="18">
      <c r="A864" s="5" t="inlineStr">
        <is>
          <t>S2-0858</t>
        </is>
      </c>
      <c r="B864" s="5" t="inlineStr">
        <is>
          <t>B-i</t>
        </is>
      </c>
      <c r="C864" s="3" t="inlineStr">
        <is>
          <t>Zhao, Z.; Liu, W.; Wang, K.</t>
        </is>
      </c>
      <c r="D864" s="6" t="n">
        <v>2023</v>
      </c>
      <c r="E864" s="3" t="inlineStr">
        <is>
          <t>Research on sentiment analysis method of opinion mining based on multi-model fusion transfer learning</t>
        </is>
      </c>
      <c r="F864" s="3" t="inlineStr">
        <is>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is>
      </c>
      <c r="G864" s="5" t="inlineStr">
        <is>
          <t>Journal article</t>
        </is>
      </c>
      <c r="H864" s="5" t="inlineStr">
        <is>
          <t>10.1186/s40537-023-00837-x</t>
        </is>
      </c>
      <c r="I864" s="5" t="n"/>
      <c r="J864" s="3" t="n"/>
    </row>
    <row r="865" ht="185.25" customHeight="1" s="18">
      <c r="A865" s="5" t="inlineStr">
        <is>
          <t>S2-0859</t>
        </is>
      </c>
      <c r="B865" s="5" t="inlineStr">
        <is>
          <t>B-i</t>
        </is>
      </c>
      <c r="C865" s="3" t="inlineStr">
        <is>
          <t>Nadi, F.; Naghavipour, H.; Mehmood, T.; Azman, A.B.; Nagantheran, J.A.P.; Ting, K.S.K.; Adnan, N.M.I.B.N.; Sivarajan, R.A.P.; Veerah, S.A.P.; Rahmat, R.F.</t>
        </is>
      </c>
      <c r="D865" s="6" t="n">
        <v>2024</v>
      </c>
      <c r="E865" s="3" t="inlineStr">
        <is>
          <t>Sentiment Analysis Using Large Language Models: A Case Study of GPT-3.5</t>
        </is>
      </c>
      <c r="F865" s="3" t="inlineStr">
        <is>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is>
      </c>
      <c r="G865" s="5" t="inlineStr">
        <is>
          <t>Journal article</t>
        </is>
      </c>
      <c r="H865" s="5" t="inlineStr">
        <is>
          <t>10.1007/978-981-97-0293-0_12</t>
        </is>
      </c>
      <c r="I865" s="5" t="n"/>
      <c r="J865" s="3" t="n"/>
    </row>
    <row r="866" ht="199.5" customHeight="1" s="18">
      <c r="A866" s="5" t="inlineStr">
        <is>
          <t>S2-0860</t>
        </is>
      </c>
      <c r="B866" s="5" t="inlineStr">
        <is>
          <t>B-i</t>
        </is>
      </c>
      <c r="C866" s="3" t="inlineStr">
        <is>
          <t>Caceres-Wright, A.R.; Udhayasankar, N.; Bunn, G.; Shuster, S.M.; Joseph, K.</t>
        </is>
      </c>
      <c r="D866" s="6" t="n">
        <v>2024</v>
      </c>
      <c r="E866" s="3" t="inlineStr">
        <is>
          <t>Explicit Stance Detection in the Political Domain: A New Concept and Associated Dataset</t>
        </is>
      </c>
      <c r="F866" s="3" t="inlineStr">
        <is>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is>
      </c>
      <c r="G866" s="5" t="inlineStr">
        <is>
          <t>Conference paper</t>
        </is>
      </c>
      <c r="H866" s="5" t="inlineStr">
        <is>
          <t>10.1007/978-3-031-72241-7_1</t>
        </is>
      </c>
      <c r="I866" s="5" t="n"/>
      <c r="J866" s="3" t="n"/>
    </row>
    <row r="867" ht="327.75" customHeight="1" s="18">
      <c r="A867" s="5" t="inlineStr">
        <is>
          <t>S2-0861</t>
        </is>
      </c>
      <c r="B867" s="5" t="inlineStr">
        <is>
          <t>B-i</t>
        </is>
      </c>
      <c r="C867" s="3" t="inlineStr">
        <is>
          <t>Minutti-Martinez, C.; Escalante-Ramirez, B.; Olveres-Montiel, J.</t>
        </is>
      </c>
      <c r="D867" s="6" t="n">
        <v>2025</v>
      </c>
      <c r="E867" s="3" t="inlineStr">
        <is>
          <t>Multitask Analysis of Spanish Travel Reviews: Sentiment, Destination, and Topic Classification with RoBERTa and LLaMA Ensembles</t>
        </is>
      </c>
      <c r="F867" s="3" t="inlineStr">
        <is>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is>
      </c>
      <c r="G867" s="5" t="inlineStr">
        <is>
          <t>Conference paper</t>
        </is>
      </c>
      <c r="H867" s="5" t="n"/>
      <c r="I867" s="5" t="n"/>
      <c r="J867" s="3" t="n"/>
    </row>
    <row r="868" ht="228" customHeight="1" s="18">
      <c r="A868" s="5" t="inlineStr">
        <is>
          <t>S2-0862</t>
        </is>
      </c>
      <c r="B868" s="5" t="inlineStr">
        <is>
          <t>B-i</t>
        </is>
      </c>
      <c r="C868" s="3" t="inlineStr">
        <is>
          <t>Obinwanne, T.; Brandtner, P.</t>
        </is>
      </c>
      <c r="D868" s="6" t="n">
        <v>2024</v>
      </c>
      <c r="E868" s="3" t="inlineStr">
        <is>
          <t>Enhancing Sentiment Analysis with GPT—A Comparison of Large Language Models and Traditional Machine Learning Techniques</t>
        </is>
      </c>
      <c r="F868" s="3" t="inlineStr">
        <is>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is>
      </c>
      <c r="G868" s="5" t="inlineStr">
        <is>
          <t>Conference paper</t>
        </is>
      </c>
      <c r="H868" s="5" t="inlineStr">
        <is>
          <t>10.1007/978-981-99-7569-3_17</t>
        </is>
      </c>
      <c r="I868" s="5" t="n"/>
      <c r="J868" s="3" t="n"/>
    </row>
    <row r="869" ht="171" customHeight="1" s="18">
      <c r="A869" s="5" t="inlineStr">
        <is>
          <t>S2-0863</t>
        </is>
      </c>
      <c r="B869" s="5" t="inlineStr">
        <is>
          <t>B-i</t>
        </is>
      </c>
      <c r="C869" s="3" t="inlineStr">
        <is>
          <t>Islam, A.; Rafi, I.A.; Mondal, S.; Rahman, S.A.S.; Alam, G.R.</t>
        </is>
      </c>
      <c r="D869" s="6" t="n">
        <v>2025</v>
      </c>
      <c r="E869" s="3" t="inlineStr">
        <is>
          <t>Which Matters More: Model or Language? An Empirical Study in English-Bangla Mental Health Classification</t>
        </is>
      </c>
      <c r="F869" s="3" t="inlineStr">
        <is>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is>
      </c>
      <c r="G869" s="5" t="inlineStr">
        <is>
          <t>Conference paper</t>
        </is>
      </c>
      <c r="H869" s="5" t="inlineStr">
        <is>
          <t>10.1109/raai67517.2025.11423350</t>
        </is>
      </c>
      <c r="I869" s="5" t="n"/>
      <c r="J869" s="3" t="n"/>
    </row>
    <row r="870" ht="213.75" customHeight="1" s="18">
      <c r="A870" s="5" t="inlineStr">
        <is>
          <t>S2-0864</t>
        </is>
      </c>
      <c r="B870" s="5" t="inlineStr">
        <is>
          <t>B-i</t>
        </is>
      </c>
      <c r="C870" s="3" t="inlineStr">
        <is>
          <t>Pezzullo, G.J.; Venticinque, S.; Di Martino, B.; Amato, A.</t>
        </is>
      </c>
      <c r="D870" s="6" t="n">
        <v>2025</v>
      </c>
      <c r="E870" s="3" t="inlineStr">
        <is>
          <t>AI-Driven Analysis of Users' reactions to deep-fake imagery in Archaeological Misinformation</t>
        </is>
      </c>
      <c r="F870" s="3" t="inlineStr">
        <is>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is>
      </c>
      <c r="G870" s="5" t="inlineStr">
        <is>
          <t>Conference paper</t>
        </is>
      </c>
      <c r="H870" s="5" t="inlineStr">
        <is>
          <t>10.1109/ieee-ch65308.2025.11279313</t>
        </is>
      </c>
      <c r="I870" s="5" t="n"/>
      <c r="J870" s="3" t="n"/>
    </row>
    <row r="871" ht="285" customHeight="1" s="18">
      <c r="A871" s="5" t="inlineStr">
        <is>
          <t>S2-0865</t>
        </is>
      </c>
      <c r="B871" s="5" t="inlineStr">
        <is>
          <t>B-i</t>
        </is>
      </c>
      <c r="C871" s="3" t="inlineStr">
        <is>
          <t>Suravee, S.; Stoev, T.; Konow, S.; Yordanova, K.</t>
        </is>
      </c>
      <c r="D871" s="6" t="n">
        <v>2024</v>
      </c>
      <c r="E871" s="3" t="inlineStr">
        <is>
          <t>Assessing Large Language Models for annotating data in Dementia-Related texts: A Comparative Study with Human Annotators</t>
        </is>
      </c>
      <c r="F871" s="3" t="inlineStr">
        <is>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is>
      </c>
      <c r="G871" s="5" t="inlineStr">
        <is>
          <t>Conference paper</t>
        </is>
      </c>
      <c r="H871" s="5" t="inlineStr">
        <is>
          <t>10.18420/inf2024_36</t>
        </is>
      </c>
      <c r="I871" s="5" t="n"/>
      <c r="J871" s="3" t="n"/>
    </row>
    <row r="872" ht="409.5" customHeight="1" s="18">
      <c r="A872" s="5" t="inlineStr">
        <is>
          <t>S2-0866</t>
        </is>
      </c>
      <c r="B872" s="5" t="inlineStr">
        <is>
          <t>B-i</t>
        </is>
      </c>
      <c r="C872" s="3" t="inlineStr">
        <is>
          <t>Nielsen, J.; Chen, X.; Davis, L.; Waterman, A.; Gentili, M.</t>
        </is>
      </c>
      <c r="D872" s="6" t="n">
        <v>2025</v>
      </c>
      <c r="E872" s="3" t="inlineStr">
        <is>
          <t>Investigating the Classification of Living Kidney Donation Experiences on Reddit and Understanding the Sensitivity of ChatGPT to Prompt Engineering: Content Analysis</t>
        </is>
      </c>
      <c r="F872" s="3" t="inlineStr">
        <is>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is>
      </c>
      <c r="G872" s="5" t="inlineStr">
        <is>
          <t>Journal article</t>
        </is>
      </c>
      <c r="H872" s="5" t="inlineStr">
        <is>
          <t>10.2196/57319</t>
        </is>
      </c>
      <c r="I872" s="5" t="n"/>
      <c r="J872" s="3" t="n"/>
    </row>
    <row r="873" ht="313.5" customHeight="1" s="18">
      <c r="A873" s="5" t="inlineStr">
        <is>
          <t>S2-0867</t>
        </is>
      </c>
      <c r="B873" s="5" t="inlineStr">
        <is>
          <t>B-i</t>
        </is>
      </c>
      <c r="C873" s="3" t="inlineStr">
        <is>
          <t>Siddika, A.; Rayhan, T.; Sarkar, M.S.; Hassan, M.M.</t>
        </is>
      </c>
      <c r="D873" s="6" t="n">
        <v>2025</v>
      </c>
      <c r="E873" s="3" t="inlineStr">
        <is>
          <t>Emotion Recognition and Analysis System (ERAS): Leveraging Advanced AI for real-time Emotion Detection in Social Media Content</t>
        </is>
      </c>
      <c r="F873" s="3" t="inlineStr">
        <is>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is>
      </c>
      <c r="G873" s="5" t="inlineStr">
        <is>
          <t>Conference paper</t>
        </is>
      </c>
      <c r="H873" s="5" t="inlineStr">
        <is>
          <t>10.1109/ecce64574.2025.11013817</t>
        </is>
      </c>
      <c r="I873" s="5" t="n"/>
      <c r="J873" s="3" t="n"/>
    </row>
    <row r="874" ht="313.5" customHeight="1" s="18">
      <c r="A874" s="5" t="inlineStr">
        <is>
          <t>S2-0868</t>
        </is>
      </c>
      <c r="B874" s="5" t="inlineStr">
        <is>
          <t>B-i</t>
        </is>
      </c>
      <c r="C874" s="3" t="inlineStr">
        <is>
          <t>Srilakshmi, P.; Babu, D.R.; Chaganti, K.R.; Padma, P.; Reddy, S.R.; Qubeb, S.M.P.</t>
        </is>
      </c>
      <c r="D874" s="6" t="n">
        <v>2025</v>
      </c>
      <c r="E874" s="3" t="inlineStr">
        <is>
          <t>Cross-Lingual Sentiment Analysis Using Pre-Trained Transformer Models for Multilingual Social Media Data</t>
        </is>
      </c>
      <c r="F874" s="3" t="inlineStr">
        <is>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is>
      </c>
      <c r="G874" s="5" t="inlineStr">
        <is>
          <t>Conference paper</t>
        </is>
      </c>
      <c r="H874" s="5" t="inlineStr">
        <is>
          <t>10.1109/icisc65841.2025.11187703</t>
        </is>
      </c>
      <c r="I874" s="5" t="n"/>
      <c r="J874" s="3" t="n"/>
    </row>
    <row r="875" ht="409.5" customHeight="1" s="18">
      <c r="A875" s="5" t="inlineStr">
        <is>
          <t>S2-0869</t>
        </is>
      </c>
      <c r="B875" s="5" t="inlineStr">
        <is>
          <t>B-i</t>
        </is>
      </c>
      <c r="C875" s="3" t="inlineStr">
        <is>
          <t>Jerfy, A.; Selden, O.; Balkrishnan, R.</t>
        </is>
      </c>
      <c r="D875" s="6" t="n">
        <v>2024</v>
      </c>
      <c r="E875" s="3" t="inlineStr">
        <is>
          <t>The Growing Impact of Natural Language Processing in Healthcare and Public Health</t>
        </is>
      </c>
      <c r="F875" s="3" t="inlineStr">
        <is>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is>
      </c>
      <c r="G875" s="5" t="inlineStr">
        <is>
          <t>Journal article</t>
        </is>
      </c>
      <c r="H875" s="5" t="inlineStr">
        <is>
          <t>10.1177/00469580241290095</t>
        </is>
      </c>
      <c r="I875" s="5" t="n"/>
      <c r="J875" s="3" t="n"/>
    </row>
    <row r="876" ht="299.25" customHeight="1" s="18">
      <c r="A876" s="5" t="inlineStr">
        <is>
          <t>S2-0870</t>
        </is>
      </c>
      <c r="B876" s="5" t="inlineStr">
        <is>
          <t>B-i</t>
        </is>
      </c>
      <c r="C876" s="3" t="inlineStr">
        <is>
          <t>Prasad, B.; Manjunath, P.; Nukala, C.; Shalini, M.</t>
        </is>
      </c>
      <c r="D876" s="6" t="n">
        <v>2025</v>
      </c>
      <c r="E876" s="3" t="inlineStr">
        <is>
          <t>Challenges of Code-Switching and Code-Mixing for Sentiment Analysis in Low-Resource Languages</t>
        </is>
      </c>
      <c r="F876" s="3" t="inlineStr">
        <is>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is>
      </c>
      <c r="G876" s="5" t="inlineStr">
        <is>
          <t>Conference paper</t>
        </is>
      </c>
      <c r="H876" s="5" t="inlineStr">
        <is>
          <t>10.1109/iceamst67459.2025.11336084</t>
        </is>
      </c>
      <c r="I876" s="5" t="n"/>
      <c r="J876" s="3" t="n"/>
    </row>
    <row r="877" ht="199.5" customHeight="1" s="18">
      <c r="A877" s="5" t="inlineStr">
        <is>
          <t>S2-0871</t>
        </is>
      </c>
      <c r="B877" s="5" t="inlineStr">
        <is>
          <t>B-i</t>
        </is>
      </c>
      <c r="C877" s="3" t="inlineStr">
        <is>
          <t>Wang, H.; Gu, C.</t>
        </is>
      </c>
      <c r="D877" s="6" t="n">
        <v>2024</v>
      </c>
      <c r="E877" s="3" t="inlineStr">
        <is>
          <t>DCCL: Distance-coefficient guided Clustering with Contrastive Learning for Few-shot Text Classification</t>
        </is>
      </c>
      <c r="F877" s="3" t="inlineStr">
        <is>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is>
      </c>
      <c r="G877" s="5" t="inlineStr">
        <is>
          <t>Conference paper</t>
        </is>
      </c>
      <c r="H877" s="5" t="inlineStr">
        <is>
          <t>10.1109/cscwd61410.2024.10580706</t>
        </is>
      </c>
      <c r="I877" s="5" t="n"/>
      <c r="J877" s="3" t="n"/>
    </row>
    <row r="878" ht="313.5" customHeight="1" s="18">
      <c r="A878" s="5" t="inlineStr">
        <is>
          <t>S2-0872</t>
        </is>
      </c>
      <c r="B878" s="5" t="inlineStr">
        <is>
          <t>B-i</t>
        </is>
      </c>
      <c r="C878" s="3" t="inlineStr">
        <is>
          <t>Sabuncuoglu, A.; Maple, C.</t>
        </is>
      </c>
      <c r="D878" s="6" t="n">
        <v>2025</v>
      </c>
      <c r="E878" s="3" t="inlineStr">
        <is>
          <t>Identifying Representation Bias in Large Language Models Used in Financial Sentiment Analysis</t>
        </is>
      </c>
      <c r="F878" s="3" t="inlineStr">
        <is>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is>
      </c>
      <c r="G878" s="5" t="inlineStr">
        <is>
          <t>Conference paper</t>
        </is>
      </c>
      <c r="H878" s="5" t="inlineStr">
        <is>
          <t>10.1109/cifer64978.2025.10975731</t>
        </is>
      </c>
      <c r="I878" s="5" t="n"/>
      <c r="J878" s="3" t="n"/>
    </row>
    <row r="879" ht="299.25" customHeight="1" s="18">
      <c r="A879" s="5" t="inlineStr">
        <is>
          <t>S2-0873</t>
        </is>
      </c>
      <c r="B879" s="5" t="inlineStr">
        <is>
          <t>B-i</t>
        </is>
      </c>
      <c r="C879" s="3" t="inlineStr">
        <is>
          <t>Gharami, K.; Muhtaseem, Q.S.; Gupta, D.; Elluri, L.; Moni, S.S.</t>
        </is>
      </c>
      <c r="D879" s="6" t="n">
        <v>2025</v>
      </c>
      <c r="E879" s="3" t="inlineStr">
        <is>
          <t>Modeling Romanized Hindi and Bengali: Dataset Creation and Multilingual LLM Integration</t>
        </is>
      </c>
      <c r="F879" s="3" t="inlineStr">
        <is>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is>
      </c>
      <c r="G879" s="5" t="inlineStr">
        <is>
          <t>Conference paper</t>
        </is>
      </c>
      <c r="H879" s="5" t="inlineStr">
        <is>
          <t>10.1109/bigdata66926.2025.11401059</t>
        </is>
      </c>
      <c r="I879" s="5" t="n"/>
      <c r="J879" s="3" t="n"/>
    </row>
    <row r="880" ht="256.5" customHeight="1" s="18">
      <c r="A880" s="5" t="inlineStr">
        <is>
          <t>S2-0874</t>
        </is>
      </c>
      <c r="B880" s="5" t="inlineStr">
        <is>
          <t>B-i</t>
        </is>
      </c>
      <c r="C880" s="3" t="inlineStr">
        <is>
          <t>Jafari, A.R.; Farahbakhsh, R.; Salehi, M.; Crespi, N.</t>
        </is>
      </c>
      <c r="D880" s="6" t="n">
        <v>2024</v>
      </c>
      <c r="E880" s="3" t="inlineStr">
        <is>
          <t>Language-Agnostic Method for Sentiment Analysis of Twitter</t>
        </is>
      </c>
      <c r="F880" s="3" t="inlineStr">
        <is>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is>
      </c>
      <c r="G880" s="5" t="inlineStr">
        <is>
          <t>Conference paper</t>
        </is>
      </c>
      <c r="H880" s="5" t="inlineStr">
        <is>
          <t>10.1007/978-981-99-6547-2_46</t>
        </is>
      </c>
      <c r="I880" s="5" t="n"/>
      <c r="J880" s="3" t="n"/>
    </row>
    <row r="881" ht="256.5" customHeight="1" s="18">
      <c r="A881" s="5" t="inlineStr">
        <is>
          <t>S2-0875</t>
        </is>
      </c>
      <c r="B881" s="5" t="inlineStr">
        <is>
          <t>B-i</t>
        </is>
      </c>
      <c r="C881" s="3" t="inlineStr">
        <is>
          <t>Prasad, Y.; Cahay, M.</t>
        </is>
      </c>
      <c r="D881" s="6" t="n">
        <v>2025</v>
      </c>
      <c r="E881" s="3" t="inlineStr">
        <is>
          <t>SGPT: An Improved Sentiment Classifier Using Generative Pretrained Transformer</t>
        </is>
      </c>
      <c r="F881" s="3" t="inlineStr">
        <is>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is>
      </c>
      <c r="G881" s="5" t="inlineStr">
        <is>
          <t>Conference paper</t>
        </is>
      </c>
      <c r="H881" s="5" t="inlineStr">
        <is>
          <t>10.1007/978-981-97-5703-9_48</t>
        </is>
      </c>
      <c r="I881" s="5" t="n"/>
      <c r="J881" s="3" t="n"/>
    </row>
    <row r="882" ht="285" customHeight="1" s="18">
      <c r="A882" s="5" t="inlineStr">
        <is>
          <t>S2-0876</t>
        </is>
      </c>
      <c r="B882" s="5" t="inlineStr">
        <is>
          <t>B-i</t>
        </is>
      </c>
      <c r="C882" s="3" t="inlineStr">
        <is>
          <t>Sakti, E.D.; Purbolaksono, M.D.; Gozali, A.A.</t>
        </is>
      </c>
      <c r="D882" s="6" t="n">
        <v>2025</v>
      </c>
      <c r="E882" s="3" t="inlineStr">
        <is>
          <t>LLM-Based Sentiment Analysis of RPG Genre Game Reviews on Steam</t>
        </is>
      </c>
      <c r="F882" s="3" t="inlineStr">
        <is>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is>
      </c>
      <c r="G882" s="5" t="inlineStr">
        <is>
          <t>Conference paper</t>
        </is>
      </c>
      <c r="H882" s="5" t="inlineStr">
        <is>
          <t>10.1109/icodsa67155.2025.11157177</t>
        </is>
      </c>
      <c r="I882" s="5" t="n"/>
      <c r="J882" s="3" t="n"/>
    </row>
    <row r="883" ht="313.5" customHeight="1" s="18">
      <c r="A883" s="5" t="inlineStr">
        <is>
          <t>S2-0877</t>
        </is>
      </c>
      <c r="B883" s="5" t="inlineStr">
        <is>
          <t>B-i</t>
        </is>
      </c>
      <c r="C883" s="3" t="inlineStr">
        <is>
          <t>Kwon, O.H.; Vu, K.; Cooper, J.; Joynt, V.; Radaideh, M.I.</t>
        </is>
      </c>
      <c r="D883" s="6" t="n">
        <v>2024</v>
      </c>
      <c r="E883" s="3" t="inlineStr">
        <is>
          <t>Using Large Language Models to Classify Public Sentiment Toward Nuclear Power</t>
        </is>
      </c>
      <c r="F883" s="3" t="inlineStr">
        <is>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is>
      </c>
      <c r="G883" s="5" t="inlineStr">
        <is>
          <t>Conference paper</t>
        </is>
      </c>
      <c r="H883" s="5" t="inlineStr">
        <is>
          <t>10.13182/pbnc24-44984</t>
        </is>
      </c>
      <c r="I883" s="5" t="n"/>
      <c r="J883" s="3" t="n"/>
    </row>
    <row r="884" ht="327.75" customHeight="1" s="18">
      <c r="A884" s="5" t="inlineStr">
        <is>
          <t>S2-0878</t>
        </is>
      </c>
      <c r="B884" s="5" t="inlineStr">
        <is>
          <t>B-i</t>
        </is>
      </c>
      <c r="C884" s="3" t="inlineStr">
        <is>
          <t>Upadhyaya, A.; Fisichella, M.; Nejdl, W.</t>
        </is>
      </c>
      <c r="D884" s="6" t="n">
        <v>2023</v>
      </c>
      <c r="E884" s="3" t="inlineStr">
        <is>
          <t>Towards sentiment and Temporal Aided Stance Detection of climate change tweets</t>
        </is>
      </c>
      <c r="F884" s="3" t="inlineStr">
        <is>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is>
      </c>
      <c r="G884" s="5" t="inlineStr">
        <is>
          <t>Journal article</t>
        </is>
      </c>
      <c r="H884" s="5" t="inlineStr">
        <is>
          <t>10.1016/j.ipm.2023.103325</t>
        </is>
      </c>
      <c r="I884" s="5" t="n"/>
      <c r="J884" s="3" t="n"/>
    </row>
    <row r="885" ht="213.75" customHeight="1" s="18">
      <c r="A885" s="5" t="inlineStr">
        <is>
          <t>S2-0879</t>
        </is>
      </c>
      <c r="B885" s="5" t="inlineStr">
        <is>
          <t>B-i</t>
        </is>
      </c>
      <c r="C885" s="3" t="inlineStr">
        <is>
          <t>Ruiz, T.; Agustoslu, T.; Schwemmer, C.</t>
        </is>
      </c>
      <c r="D885" s="6" t="n">
        <v>2025</v>
      </c>
      <c r="E885" s="3" t="inlineStr">
        <is>
          <t>Rethinking Ground Truth: A Case Study on Human Label Variation in MLLM Benchmarking</t>
        </is>
      </c>
      <c r="F885" s="3" t="inlineStr">
        <is>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is>
      </c>
      <c r="G885" s="5" t="inlineStr">
        <is>
          <t>Conference paper</t>
        </is>
      </c>
      <c r="H885" s="5" t="inlineStr">
        <is>
          <t>10.1109/bigdata66926.2025.11401919</t>
        </is>
      </c>
      <c r="I885" s="5" t="n"/>
      <c r="J885" s="3" t="n"/>
    </row>
    <row r="886" ht="342" customHeight="1" s="18">
      <c r="A886" s="5" t="inlineStr">
        <is>
          <t>S2-0880</t>
        </is>
      </c>
      <c r="B886" s="5" t="inlineStr">
        <is>
          <t>B-i</t>
        </is>
      </c>
      <c r="C886" s="3" t="inlineStr">
        <is>
          <t>Ghatora, P.S.; Hosseini, S.E.; Pervez, S.; Iqbal, M.J.; Shaukat, N.</t>
        </is>
      </c>
      <c r="D886" s="6" t="n">
        <v>2024</v>
      </c>
      <c r="E886" s="3" t="inlineStr">
        <is>
          <t>Sentiment Analysis of Product Reviews Using Machine Learning and Pre-Trained LLM</t>
        </is>
      </c>
      <c r="F886" s="3" t="inlineStr">
        <is>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is>
      </c>
      <c r="G886" s="5" t="inlineStr">
        <is>
          <t>Journal article</t>
        </is>
      </c>
      <c r="H886" s="5" t="inlineStr">
        <is>
          <t>10.3390/bdcc8120199</t>
        </is>
      </c>
      <c r="I886" s="5" t="n"/>
      <c r="J886" s="3" t="n"/>
    </row>
    <row r="887" ht="384.75" customHeight="1" s="18">
      <c r="A887" s="5" t="inlineStr">
        <is>
          <t>S2-0881</t>
        </is>
      </c>
      <c r="B887" s="5" t="inlineStr">
        <is>
          <t>B-i</t>
        </is>
      </c>
      <c r="C887" s="3" t="inlineStr">
        <is>
          <t>Liyanage, C.R.; Gokani, R.; Mago, V.</t>
        </is>
      </c>
      <c r="D887" s="6" t="n">
        <v>2024</v>
      </c>
      <c r="E887" s="3" t="inlineStr">
        <is>
          <t>GPT-4 as an X data annotator: Unraveling its performance on a stance classification task</t>
        </is>
      </c>
      <c r="F887" s="3" t="inlineStr">
        <is>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is>
      </c>
      <c r="G887" s="5" t="inlineStr">
        <is>
          <t>Journal article</t>
        </is>
      </c>
      <c r="H887" s="5" t="inlineStr">
        <is>
          <t>10.1371/journal.pone.0307741</t>
        </is>
      </c>
      <c r="I887" s="5" t="n"/>
      <c r="J887" s="3" t="n"/>
    </row>
    <row r="888" ht="342" customHeight="1" s="18">
      <c r="A888" s="5" t="inlineStr">
        <is>
          <t>S2-0882</t>
        </is>
      </c>
      <c r="B888" s="5" t="inlineStr">
        <is>
          <t>B-i</t>
        </is>
      </c>
      <c r="C888" s="3" t="inlineStr">
        <is>
          <t>DeVito, P.; Vallala, A.; Mcmahon, S.; Hinda, Y.; Thaw, B.; Zhuang, H.; Kalva, H.</t>
        </is>
      </c>
      <c r="D888" s="6" t="n">
        <v>2025</v>
      </c>
      <c r="E888" s="3" t="inlineStr">
        <is>
          <t>Unpacking Generative AI in Education: Computational Modeling of Teacher and Student Perspectives in Social Media Discourse</t>
        </is>
      </c>
      <c r="F888" s="3" t="inlineStr">
        <is>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is>
      </c>
      <c r="G888" s="5" t="inlineStr">
        <is>
          <t>Journal article</t>
        </is>
      </c>
      <c r="H888" s="5" t="inlineStr">
        <is>
          <t>10.1109/tcss.2025.3630587</t>
        </is>
      </c>
      <c r="I888" s="5" t="n"/>
      <c r="J888" s="3" t="n"/>
    </row>
    <row r="889" ht="242.25" customHeight="1" s="18">
      <c r="A889" s="5" t="inlineStr">
        <is>
          <t>S2-0883</t>
        </is>
      </c>
      <c r="B889" s="5" t="inlineStr">
        <is>
          <t>B-i</t>
        </is>
      </c>
      <c r="C889" s="3" t="inlineStr">
        <is>
          <t>Bokolo, B.G.; Liu, Q.</t>
        </is>
      </c>
      <c r="D889" s="6" t="n">
        <v>2023</v>
      </c>
      <c r="E889" s="3" t="inlineStr">
        <is>
          <t>Deep Learning-Based Depression Detection from Social Media: Comparative Evaluation of ML and Transformer Techniques</t>
        </is>
      </c>
      <c r="F889" s="3" t="inlineStr">
        <is>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is>
      </c>
      <c r="G889" s="5" t="inlineStr">
        <is>
          <t>Journal article</t>
        </is>
      </c>
      <c r="H889" s="5" t="inlineStr">
        <is>
          <t>10.3390/electronics12214396</t>
        </is>
      </c>
      <c r="I889" s="5" t="n"/>
      <c r="J889" s="3" t="n"/>
    </row>
    <row r="890" ht="228" customHeight="1" s="18">
      <c r="A890" s="5" t="inlineStr">
        <is>
          <t>S2-0884</t>
        </is>
      </c>
      <c r="B890" s="5" t="inlineStr">
        <is>
          <t>B-i</t>
        </is>
      </c>
      <c r="C890" s="3" t="inlineStr">
        <is>
          <t>Alotaibi, A.; Nadeem, F.; Hamdy, M.</t>
        </is>
      </c>
      <c r="D890" s="6" t="n">
        <v>2025</v>
      </c>
      <c r="E890" s="3" t="inlineStr">
        <is>
          <t>Weakly Supervised Deep Learning for Arabic Tweet Sentiment Analysis on Education Reforms: Leveraging Pre-Trained Models and LLMs with Snorkel</t>
        </is>
      </c>
      <c r="F890" s="3" t="inlineStr">
        <is>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is>
      </c>
      <c r="G890" s="5" t="inlineStr">
        <is>
          <t>Journal article</t>
        </is>
      </c>
      <c r="H890" s="5" t="inlineStr">
        <is>
          <t>10.1109/access.2025.3541154</t>
        </is>
      </c>
      <c r="I890" s="5" t="n"/>
      <c r="J890" s="3" t="n"/>
    </row>
    <row r="891" ht="199.5" customHeight="1" s="18">
      <c r="A891" s="5" t="inlineStr">
        <is>
          <t>S2-0885</t>
        </is>
      </c>
      <c r="B891" s="5" t="inlineStr">
        <is>
          <t>B-i</t>
        </is>
      </c>
      <c r="C891" s="3" t="inlineStr">
        <is>
          <t>Suhartono, D.; Wongso, W.; Tri Handoyo, A.</t>
        </is>
      </c>
      <c r="D891" s="6" t="n">
        <v>2024</v>
      </c>
      <c r="E891" s="3" t="inlineStr">
        <is>
          <t>IdSarcasm: Benchmarking and Evaluating Language Models for Indonesian Sarcasm Detection</t>
        </is>
      </c>
      <c r="F891" s="3" t="inlineStr">
        <is>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is>
      </c>
      <c r="G891" s="5" t="inlineStr">
        <is>
          <t>Journal article</t>
        </is>
      </c>
      <c r="H891" s="5" t="inlineStr">
        <is>
          <t>10.1109/access.2024.3416955</t>
        </is>
      </c>
      <c r="I891" s="5" t="n"/>
      <c r="J891" s="3" t="n"/>
    </row>
    <row r="892" ht="299.25" customHeight="1" s="18">
      <c r="A892" s="5" t="inlineStr">
        <is>
          <t>S2-0886</t>
        </is>
      </c>
      <c r="B892" s="5" t="inlineStr">
        <is>
          <t>B-i</t>
        </is>
      </c>
      <c r="C892" s="3" t="inlineStr">
        <is>
          <t>Zhu, H.; Ji, Y.; Shi, L.; Bao, Z.; Ren, Q.-D.-E.-J.; Wu, N.; Liu, N.; Zhuang, X.; Sun, S.</t>
        </is>
      </c>
      <c r="D892" s="6" t="n">
        <v>2025</v>
      </c>
      <c r="E892" s="3" t="inlineStr">
        <is>
          <t>Morphology-Driven Meta-Adapter for Low-Resource Mongolian Sentiment Analysis</t>
        </is>
      </c>
      <c r="F892" s="3" t="inlineStr">
        <is>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is>
      </c>
      <c r="G892" s="5" t="inlineStr">
        <is>
          <t>Conference paper</t>
        </is>
      </c>
      <c r="H892" s="5" t="inlineStr">
        <is>
          <t>10.1007/978-981-95-0014-7_39</t>
        </is>
      </c>
      <c r="I892" s="5" t="n"/>
      <c r="J892" s="3" t="n"/>
    </row>
    <row r="893" ht="185.25" customHeight="1" s="18">
      <c r="A893" s="5" t="inlineStr">
        <is>
          <t>S2-0887</t>
        </is>
      </c>
      <c r="B893" s="5" t="inlineStr">
        <is>
          <t>B-i</t>
        </is>
      </c>
      <c r="C893" s="3" t="inlineStr">
        <is>
          <t>Thiyagarajan, K.</t>
        </is>
      </c>
      <c r="D893" s="6" t="n">
        <v>2025</v>
      </c>
      <c r="E893" s="3" t="inlineStr">
        <is>
          <t>Leveraging Large Language Models for Sentiment Analysis in E-Commerce Product Reviews</t>
        </is>
      </c>
      <c r="F893" s="3" t="inlineStr">
        <is>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is>
      </c>
      <c r="G893" s="5" t="inlineStr">
        <is>
          <t>Conference paper</t>
        </is>
      </c>
      <c r="H893" s="5" t="inlineStr">
        <is>
          <t>10.1109/airc64931.2025.11077508</t>
        </is>
      </c>
      <c r="I893" s="5" t="n"/>
      <c r="J893" s="3" t="n"/>
    </row>
    <row r="894" ht="199.5" customHeight="1" s="18">
      <c r="A894" s="5" t="inlineStr">
        <is>
          <t>S2-0888</t>
        </is>
      </c>
      <c r="B894" s="5" t="inlineStr">
        <is>
          <t>B-i</t>
        </is>
      </c>
      <c r="C894" s="3" t="inlineStr">
        <is>
          <t>Tian, K.; Chen, H.</t>
        </is>
      </c>
      <c r="D894" s="6" t="n">
        <v>2024</v>
      </c>
      <c r="E894" s="3" t="inlineStr">
        <is>
          <t>ESG-GPT:GPT4-based Few-Shot Prompt Learning for Multi-lingual ESG News Text Classification</t>
        </is>
      </c>
      <c r="F894" s="3" t="inlineStr">
        <is>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is>
      </c>
      <c r="G894" s="5" t="inlineStr">
        <is>
          <t>Conference paper</t>
        </is>
      </c>
      <c r="H894" s="5" t="n"/>
      <c r="I894" s="5" t="n"/>
      <c r="J894" s="3" t="n"/>
    </row>
    <row r="895" ht="327.75" customHeight="1" s="18">
      <c r="A895" s="5" t="inlineStr">
        <is>
          <t>S2-0889</t>
        </is>
      </c>
      <c r="B895" s="5" t="inlineStr">
        <is>
          <t>B-i</t>
        </is>
      </c>
      <c r="C895" s="3" t="inlineStr">
        <is>
          <t>Kamala Kanth, J.; Vidhya Saraswathi, P.; Radha, T.</t>
        </is>
      </c>
      <c r="D895" s="6" t="n">
        <v>2025</v>
      </c>
      <c r="E895" s="3" t="inlineStr">
        <is>
          <t>Advancing Sentiment Analysis with LLM: Comparative Study with Traditional ML on Social Media Reviews</t>
        </is>
      </c>
      <c r="F895" s="3" t="inlineStr">
        <is>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is>
      </c>
      <c r="G895" s="5" t="inlineStr">
        <is>
          <t>Conference paper</t>
        </is>
      </c>
      <c r="H895" s="5" t="inlineStr">
        <is>
          <t>10.1109/iccsp64183.2025.11088527</t>
        </is>
      </c>
      <c r="I895" s="5" t="n"/>
      <c r="J895" s="3" t="n"/>
    </row>
    <row r="896" ht="213.75" customHeight="1" s="18">
      <c r="A896" s="5" t="inlineStr">
        <is>
          <t>S2-0890</t>
        </is>
      </c>
      <c r="B896" s="5" t="inlineStr">
        <is>
          <t>B-i</t>
        </is>
      </c>
      <c r="C896" s="3" t="inlineStr">
        <is>
          <t>Teerakapibal, S.; Kusawat, P.</t>
        </is>
      </c>
      <c r="D896" s="6" t="n">
        <v>2025</v>
      </c>
      <c r="E896" s="3" t="inlineStr">
        <is>
          <t>Opportunities and challenges of integrating ChatGPT in education: Sentiment analysis and topic modeling</t>
        </is>
      </c>
      <c r="F896" s="3" t="inlineStr">
        <is>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is>
      </c>
      <c r="G896" s="5" t="inlineStr">
        <is>
          <t>Journal article</t>
        </is>
      </c>
      <c r="H896" s="5" t="inlineStr">
        <is>
          <t>10.1080/08832323.2025.2536255</t>
        </is>
      </c>
      <c r="I896" s="5" t="n"/>
      <c r="J896" s="3" t="n"/>
    </row>
    <row r="897" ht="199.5" customHeight="1" s="18">
      <c r="A897" s="5" t="inlineStr">
        <is>
          <t>S2-0891</t>
        </is>
      </c>
      <c r="B897" s="5" t="inlineStr">
        <is>
          <t>B-i</t>
        </is>
      </c>
      <c r="C897" s="3" t="inlineStr">
        <is>
          <t>Stern, W.; Goh, S.J.; Nur, N.; Aragon, P.J.; Mercer, T.; Bhattacharyya, S.; Sen, C.; Nguyen, V.M.</t>
        </is>
      </c>
      <c r="D897" s="6" t="n">
        <v>2024</v>
      </c>
      <c r="E897" s="3" t="inlineStr">
        <is>
          <t>Natural Language Explanations for Suicide Risk Classification Using Large Language Models</t>
        </is>
      </c>
      <c r="F897" s="3" t="inlineStr">
        <is>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is>
      </c>
      <c r="G897" s="5" t="inlineStr">
        <is>
          <t>Conference paper</t>
        </is>
      </c>
      <c r="H897" s="5" t="n"/>
      <c r="I897" s="5" t="n"/>
      <c r="J897" s="3" t="n"/>
    </row>
    <row r="898" ht="199.5" customHeight="1" s="18">
      <c r="A898" s="5" t="inlineStr">
        <is>
          <t>S2-0892</t>
        </is>
      </c>
      <c r="B898" s="5" t="inlineStr">
        <is>
          <t>B-i</t>
        </is>
      </c>
      <c r="C898" s="3" t="inlineStr">
        <is>
          <t>Zarharan, M.; Hashemi, M.; Behroozrazegh, M.; Eetemadi, S.; Pilehvar, M.T.; Foster, J.</t>
        </is>
      </c>
      <c r="D898" s="6" t="n">
        <v>2025</v>
      </c>
      <c r="E898" s="3" t="inlineStr">
        <is>
          <t>FarExStance: Explainable Stance Detection for Farsi</t>
        </is>
      </c>
      <c r="F898" s="3" t="inlineStr">
        <is>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is>
      </c>
      <c r="G898" s="5" t="inlineStr">
        <is>
          <t>Conference paper</t>
        </is>
      </c>
      <c r="H898" s="5" t="n"/>
      <c r="I898" s="5" t="n"/>
      <c r="J898" s="3" t="n"/>
    </row>
    <row r="899" ht="228" customHeight="1" s="18">
      <c r="A899" s="5" t="inlineStr">
        <is>
          <t>S2-0893</t>
        </is>
      </c>
      <c r="B899" s="5" t="inlineStr">
        <is>
          <t>B-i</t>
        </is>
      </c>
      <c r="C899" s="3" t="inlineStr">
        <is>
          <t>Raza, M.M.; Abudalfa, S.I.</t>
        </is>
      </c>
      <c r="D899" s="6" t="n">
        <v>2025</v>
      </c>
      <c r="E899" s="3" t="inlineStr">
        <is>
          <t>Entity Sentiment Classification using Arabic Lightweight LLMs</t>
        </is>
      </c>
      <c r="F899" s="3" t="inlineStr">
        <is>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is>
      </c>
      <c r="G899" s="5" t="inlineStr">
        <is>
          <t>Conference paper</t>
        </is>
      </c>
      <c r="H899" s="5" t="inlineStr">
        <is>
          <t>10.1109/engitek68245.2025.11567535</t>
        </is>
      </c>
      <c r="I899" s="5" t="n"/>
      <c r="J899" s="3" t="n"/>
    </row>
    <row r="900" ht="285" customHeight="1" s="18">
      <c r="A900" s="5" t="inlineStr">
        <is>
          <t>S2-0894</t>
        </is>
      </c>
      <c r="B900" s="5" t="inlineStr">
        <is>
          <t>B-i</t>
        </is>
      </c>
      <c r="C900" s="3" t="inlineStr">
        <is>
          <t>Belay, T.D.; Azime, I.A.; Ahmad, I.S.; Adelani, D.I.; Abdulmumin, I.; Ayele, A.A.; Muhammad, S.H.; Yimam, S.M.</t>
        </is>
      </c>
      <c r="D900" s="6" t="n">
        <v>2025</v>
      </c>
      <c r="E900" s="3" t="inlineStr">
        <is>
          <t>AfroXLMR-Social: Adapting Pre-trained Language Models for African Languages Social Media Text</t>
        </is>
      </c>
      <c r="F900" s="3" t="inlineStr">
        <is>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is>
      </c>
      <c r="G900" s="5" t="inlineStr">
        <is>
          <t>Conference paper</t>
        </is>
      </c>
      <c r="H900" s="5" t="inlineStr">
        <is>
          <t>10.18653/v1/2025.findings-emnlp.842</t>
        </is>
      </c>
      <c r="I900" s="5" t="n"/>
      <c r="J900" s="3" t="n"/>
    </row>
    <row r="901" ht="270.75" customHeight="1" s="18">
      <c r="A901" s="5" t="inlineStr">
        <is>
          <t>S2-0895</t>
        </is>
      </c>
      <c r="B901" s="5" t="inlineStr">
        <is>
          <t>B-i</t>
        </is>
      </c>
      <c r="C901" s="3" t="inlineStr">
        <is>
          <t>Alizadeh, M.; Shapiro, J.N.</t>
        </is>
      </c>
      <c r="D901" s="6" t="n">
        <v>2023</v>
      </c>
      <c r="E901" s="3" t="inlineStr">
        <is>
          <t>Few-Shot Information Operation Detection Using Active Learning Approach</t>
        </is>
      </c>
      <c r="F901" s="3" t="inlineStr">
        <is>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is>
      </c>
      <c r="G901" s="5" t="inlineStr">
        <is>
          <t>Conference paper</t>
        </is>
      </c>
      <c r="H901" s="5" t="inlineStr">
        <is>
          <t>10.1007/978-3-031-43129-6_25</t>
        </is>
      </c>
      <c r="I901" s="5" t="n"/>
      <c r="J901" s="3" t="n"/>
    </row>
    <row r="902" ht="185.25" customHeight="1" s="18">
      <c r="A902" s="5" t="inlineStr">
        <is>
          <t>S2-0896</t>
        </is>
      </c>
      <c r="B902" s="5" t="inlineStr">
        <is>
          <t>B-i</t>
        </is>
      </c>
      <c r="C902" s="3" t="inlineStr">
        <is>
          <t>Biswas, M.R.; Mohsen, F.; Shah, Z.; Zaghouani, W.</t>
        </is>
      </c>
      <c r="D902" s="6" t="n">
        <v>2023</v>
      </c>
      <c r="E902" s="3" t="inlineStr">
        <is>
          <t>Potentials of ChatGPT for Annotating Vaccine Related Tweets</t>
        </is>
      </c>
      <c r="F902" s="3" t="inlineStr">
        <is>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is>
      </c>
      <c r="G902" s="5" t="inlineStr">
        <is>
          <t>Conference paper</t>
        </is>
      </c>
      <c r="H902" s="5" t="inlineStr">
        <is>
          <t>10.1109/snams60348.2023.10375433</t>
        </is>
      </c>
      <c r="I902" s="5" t="n"/>
      <c r="J902" s="3" t="n"/>
    </row>
    <row r="903" ht="313.5" customHeight="1" s="18">
      <c r="A903" s="5" t="inlineStr">
        <is>
          <t>S2-0897</t>
        </is>
      </c>
      <c r="B903" s="5" t="inlineStr">
        <is>
          <t>B-i</t>
        </is>
      </c>
      <c r="C903" s="3" t="inlineStr">
        <is>
          <t>Alhamadani, A.; Althubiti, K.; He, J.; Sarkar, S.; Alkulaib, L.; Shaik, A.R.; Lee, S.; Khan, M.; Lu, C.-T.</t>
        </is>
      </c>
      <c r="D903" s="6" t="n">
        <v>2025</v>
      </c>
      <c r="E903" s="3" t="inlineStr">
        <is>
          <t>Empowering Airline Route Decisions with LLM-Generated Pseudo-labels and Zero-Shot Review Prediction</t>
        </is>
      </c>
      <c r="F903" s="3" t="inlineStr">
        <is>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is>
      </c>
      <c r="G903" s="5" t="inlineStr">
        <is>
          <t>Conference paper</t>
        </is>
      </c>
      <c r="H903" s="5" t="inlineStr">
        <is>
          <t>10.1007/978-3-031-78554-2_8</t>
        </is>
      </c>
      <c r="I903" s="5" t="n"/>
      <c r="J903" s="3" t="n"/>
    </row>
    <row r="904" ht="242.25" customHeight="1" s="18">
      <c r="A904" s="5" t="inlineStr">
        <is>
          <t>S2-0898</t>
        </is>
      </c>
      <c r="B904" s="5" t="inlineStr">
        <is>
          <t>B-i</t>
        </is>
      </c>
      <c r="C904" s="3" t="inlineStr">
        <is>
          <t>Roumeliotis, K.I.; Tselikas, N.D.; Nasiopoulos, D.K.</t>
        </is>
      </c>
      <c r="D904" s="6" t="n">
        <v>2024</v>
      </c>
      <c r="E904" s="3" t="inlineStr">
        <is>
          <t>Leveraging Large Language Models in Tourism: A Comparative Study of the Latest GPT Omni Models and BERT NLP for Customer Review Classification and Sentiment Analysis</t>
        </is>
      </c>
      <c r="F904" s="3" t="inlineStr">
        <is>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is>
      </c>
      <c r="G904" s="5" t="inlineStr">
        <is>
          <t>Journal article</t>
        </is>
      </c>
      <c r="H904" s="5" t="inlineStr">
        <is>
          <t>10.3390/info15120792</t>
        </is>
      </c>
      <c r="I904" s="5" t="n"/>
      <c r="J904" s="3" t="n"/>
    </row>
    <row r="905" ht="171" customHeight="1" s="18">
      <c r="A905" s="5" t="inlineStr">
        <is>
          <t>S2-0899</t>
        </is>
      </c>
      <c r="B905" s="5" t="inlineStr">
        <is>
          <t>B-i</t>
        </is>
      </c>
      <c r="C905" s="3" t="inlineStr">
        <is>
          <t>Voutsa, M.C.; Tsapatsoulis, N.; Djouvas, C.; Andreou, C.</t>
        </is>
      </c>
      <c r="D905" s="6" t="n">
        <v>2025</v>
      </c>
      <c r="E905" s="3" t="inlineStr">
        <is>
          <t>Bias in the Machine: Cross-Model Evaluation of ChatGPT-4 and Qwen in Hotel Booking Review Annotation</t>
        </is>
      </c>
      <c r="F905" s="3" t="inlineStr">
        <is>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is>
      </c>
      <c r="G905" s="5" t="inlineStr">
        <is>
          <t>Conference paper</t>
        </is>
      </c>
      <c r="H905" s="5" t="inlineStr">
        <is>
          <t>10.1109/smap66932.2025.00023</t>
        </is>
      </c>
      <c r="I905" s="5" t="n"/>
      <c r="J905" s="3" t="n"/>
    </row>
    <row r="906" ht="313.5" customHeight="1" s="18">
      <c r="A906" s="5" t="inlineStr">
        <is>
          <t>S2-0900</t>
        </is>
      </c>
      <c r="B906" s="5" t="inlineStr">
        <is>
          <t>B-i</t>
        </is>
      </c>
      <c r="C906" s="3" t="inlineStr">
        <is>
          <t>Kaur, B.; Chen, D.</t>
        </is>
      </c>
      <c r="D906" s="6" t="n">
        <v>2025</v>
      </c>
      <c r="E906" s="3" t="inlineStr">
        <is>
          <t>Classifying and Understanding Mental Health Discourse on Social Media: A Hybrid Topic Modelling Approach</t>
        </is>
      </c>
      <c r="F906" s="3" t="inlineStr">
        <is>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is>
      </c>
      <c r="G906" s="5" t="inlineStr">
        <is>
          <t>Conference paper</t>
        </is>
      </c>
      <c r="H906" s="5" t="inlineStr">
        <is>
          <t>10.1109/cpsi66656.2025.11343977</t>
        </is>
      </c>
      <c r="I906" s="5" t="n"/>
      <c r="J906" s="3" t="n"/>
    </row>
    <row r="907" ht="356.25" customHeight="1" s="18">
      <c r="A907" s="5" t="inlineStr">
        <is>
          <t>S2-0901</t>
        </is>
      </c>
      <c r="B907" s="5" t="inlineStr">
        <is>
          <t>B-i</t>
        </is>
      </c>
      <c r="C907" s="3" t="inlineStr">
        <is>
          <t>Alfiansyah, F.; Purbolaksono, M.D.; Gozali, A.A.</t>
        </is>
      </c>
      <c r="D907" s="6" t="n">
        <v>2025</v>
      </c>
      <c r="E907" s="3" t="inlineStr">
        <is>
          <t>LLM Based Sentiment Analysis in Private Social Media: Case Study of My Tel-U App</t>
        </is>
      </c>
      <c r="F907" s="3" t="inlineStr">
        <is>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is>
      </c>
      <c r="G907" s="5" t="inlineStr">
        <is>
          <t>Conference paper</t>
        </is>
      </c>
      <c r="H907" s="5" t="inlineStr">
        <is>
          <t>10.1109/icodsa67155.2025.11157236</t>
        </is>
      </c>
      <c r="I907" s="5" t="n"/>
      <c r="J907" s="3" t="n"/>
    </row>
    <row r="908" ht="185.25" customHeight="1" s="18">
      <c r="A908" s="5" t="inlineStr">
        <is>
          <t>S2-0902</t>
        </is>
      </c>
      <c r="B908" s="5" t="inlineStr">
        <is>
          <t>B-i</t>
        </is>
      </c>
      <c r="C908" s="3" t="inlineStr">
        <is>
          <t>Ali, S.; Naz, B.; Narejo, S.; Ali, S.; Pabani, J.K.</t>
        </is>
      </c>
      <c r="D908" s="6" t="n">
        <v>2024</v>
      </c>
      <c r="E908" s="3" t="inlineStr">
        <is>
          <t>Transformers Unveiled: A Comprehensive Evaluation of Emotion Detection in Text Transcription</t>
        </is>
      </c>
      <c r="F908" s="3" t="inlineStr">
        <is>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is>
      </c>
      <c r="G908" s="5" t="inlineStr">
        <is>
          <t>Conference paper</t>
        </is>
      </c>
      <c r="H908" s="5" t="inlineStr">
        <is>
          <t>10.1109/gcwot63882.2024.10805688</t>
        </is>
      </c>
      <c r="I908" s="5" t="n"/>
      <c r="J908" s="3" t="n"/>
    </row>
    <row r="909" ht="313.5" customHeight="1" s="18">
      <c r="A909" s="5" t="inlineStr">
        <is>
          <t>S2-0903</t>
        </is>
      </c>
      <c r="B909" s="5" t="inlineStr">
        <is>
          <t>B-i</t>
        </is>
      </c>
      <c r="C909" s="3" t="inlineStr">
        <is>
          <t>Sun, D.; Lyu, Y.; Li, J.; Chen, Y.; Wang, T.; Kimura, T.; Abdelzaher, T.</t>
        </is>
      </c>
      <c r="D909" s="6" t="n">
        <v>2025</v>
      </c>
      <c r="E909" s="3" t="inlineStr">
        <is>
          <t>SCRAG: Social Computing-Based Retrieval Augmented Generation for Community Response Forecasting in Social Media Environments</t>
        </is>
      </c>
      <c r="F909" s="3" t="inlineStr">
        <is>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is>
      </c>
      <c r="G909" s="5" t="inlineStr">
        <is>
          <t>Conference paper</t>
        </is>
      </c>
      <c r="H909" s="5" t="inlineStr">
        <is>
          <t>10.1109/smartcomp65954.2025.00062</t>
        </is>
      </c>
      <c r="I909" s="5" t="n"/>
      <c r="J909" s="3" t="n"/>
    </row>
    <row r="910" ht="270.75" customHeight="1" s="18">
      <c r="A910" s="5" t="inlineStr">
        <is>
          <t>S2-0904</t>
        </is>
      </c>
      <c r="B910" s="5" t="inlineStr">
        <is>
          <t>B-i</t>
        </is>
      </c>
      <c r="C910" s="3" t="inlineStr">
        <is>
          <t>Mastrokostas, C.; Giarelis, N.; Karacapilidis, N.</t>
        </is>
      </c>
      <c r="D910" s="6" t="n">
        <v>2024</v>
      </c>
      <c r="E910" s="3" t="inlineStr">
        <is>
          <t>Social Media Topic Classification on Greek Reddit</t>
        </is>
      </c>
      <c r="F910" s="3" t="inlineStr">
        <is>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is>
      </c>
      <c r="G910" s="5" t="inlineStr">
        <is>
          <t>Journal article</t>
        </is>
      </c>
      <c r="H910" s="5" t="inlineStr">
        <is>
          <t>10.3390/info15090521</t>
        </is>
      </c>
      <c r="I910" s="5" t="n"/>
      <c r="J910" s="3" t="n"/>
    </row>
    <row r="911" ht="285" customHeight="1" s="18">
      <c r="A911" s="5" t="inlineStr">
        <is>
          <t>S2-0905</t>
        </is>
      </c>
      <c r="B911" s="5" t="inlineStr">
        <is>
          <t>B-i</t>
        </is>
      </c>
      <c r="C911" s="3" t="inlineStr">
        <is>
          <t>Dehan, F.N.; Fahim, M.; Rahman, A.K.M.M.; Amin, M.A.; Ali, A.A.</t>
        </is>
      </c>
      <c r="D911" s="6" t="n">
        <v>2025</v>
      </c>
      <c r="E911" s="3" t="inlineStr">
        <is>
          <t>TinyLLM Efficacy in Low-Resource Language: An Experiment on Bangla Text Classification Task</t>
        </is>
      </c>
      <c r="F911" s="3" t="inlineStr">
        <is>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is>
      </c>
      <c r="G911" s="5" t="inlineStr">
        <is>
          <t>Conference paper</t>
        </is>
      </c>
      <c r="H911" s="5" t="inlineStr">
        <is>
          <t>10.1007/978-3-031-78495-8_30</t>
        </is>
      </c>
      <c r="I911" s="5" t="n"/>
      <c r="J911" s="3" t="n"/>
    </row>
    <row r="912" ht="270.75" customHeight="1" s="18">
      <c r="A912" s="5" t="inlineStr">
        <is>
          <t>S2-0906</t>
        </is>
      </c>
      <c r="B912" s="5" t="inlineStr">
        <is>
          <t>B-i</t>
        </is>
      </c>
      <c r="C912" s="3" t="inlineStr">
        <is>
          <t>Xie, F.; Zhang, Z.; Zhao, X.; Wang, H.; Zou, J.; Tian, L.; Zhou, B.; Tan, Y.</t>
        </is>
      </c>
      <c r="D912" s="6" t="n">
        <v>2023</v>
      </c>
      <c r="E912" s="3" t="inlineStr">
        <is>
          <t>Adversarial Learning-Based Stance Classifier for COVID-19-Related Health Policies</t>
        </is>
      </c>
      <c r="F912" s="3" t="inlineStr">
        <is>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is>
      </c>
      <c r="G912" s="5" t="inlineStr">
        <is>
          <t>Conference paper</t>
        </is>
      </c>
      <c r="H912" s="5" t="inlineStr">
        <is>
          <t>10.1007/978-3-031-30678-5_18</t>
        </is>
      </c>
      <c r="I912" s="5" t="n"/>
      <c r="J912" s="3" t="n"/>
    </row>
    <row r="913" ht="409.5" customHeight="1" s="18">
      <c r="A913" s="5" t="inlineStr">
        <is>
          <t>S2-0907</t>
        </is>
      </c>
      <c r="B913" s="5" t="inlineStr">
        <is>
          <t>B-i</t>
        </is>
      </c>
      <c r="C913" s="3" t="inlineStr">
        <is>
          <t>Islam, M.E.; Chowdhury, L.; Khan, F.A.; Hossain, S.; Hossain, M.S.; Rashid, M.M.O.; Mohammed, N.; Amin, M.R.</t>
        </is>
      </c>
      <c r="D913" s="6" t="n">
        <v>2023</v>
      </c>
      <c r="E913" s="3" t="inlineStr">
        <is>
          <t>SentiGOLD: A Large Bangla Gold Standard Multi-Domain Sentiment Analysis Dataset and Its Evaluation</t>
        </is>
      </c>
      <c r="F913" s="3" t="inlineStr">
        <is>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is>
      </c>
      <c r="G913" s="5" t="inlineStr">
        <is>
          <t>Conference paper</t>
        </is>
      </c>
      <c r="H913" s="5" t="inlineStr">
        <is>
          <t>10.1145/3580305.3599904</t>
        </is>
      </c>
      <c r="I913" s="5" t="n"/>
      <c r="J913" s="3" t="n"/>
    </row>
    <row r="914" ht="256.5" customHeight="1" s="18">
      <c r="A914" s="5" t="inlineStr">
        <is>
          <t>S2-0908</t>
        </is>
      </c>
      <c r="B914" s="5" t="inlineStr">
        <is>
          <t>B-i</t>
        </is>
      </c>
      <c r="C914" s="3" t="inlineStr">
        <is>
          <t>Li, A.; Liang, B.; Zhao, J.; Zhang, B.; Yang, M.; Xu, R.</t>
        </is>
      </c>
      <c r="D914" s="6" t="n">
        <v>2023</v>
      </c>
      <c r="E914" s="3" t="inlineStr">
        <is>
          <t>Stance Detection on Social Media with Background Knowledge</t>
        </is>
      </c>
      <c r="F914" s="3" t="inlineStr">
        <is>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is>
      </c>
      <c r="G914" s="5" t="inlineStr">
        <is>
          <t>Conference paper</t>
        </is>
      </c>
      <c r="H914" s="5" t="inlineStr">
        <is>
          <t>10.18653/v1/2023.emnlp-main.972</t>
        </is>
      </c>
      <c r="I914" s="5" t="n"/>
      <c r="J914" s="3" t="n"/>
    </row>
    <row r="915" ht="270.75" customHeight="1" s="18">
      <c r="A915" s="5" t="inlineStr">
        <is>
          <t>S2-0909</t>
        </is>
      </c>
      <c r="B915" s="5" t="inlineStr">
        <is>
          <t>B-i</t>
        </is>
      </c>
      <c r="C915" s="3" t="inlineStr">
        <is>
          <t>Suen, S.; Satapathy, R.; Kwok, K.; Cambria, E.</t>
        </is>
      </c>
      <c r="D915" s="6" t="n">
        <v>2025</v>
      </c>
      <c r="E915" s="3" t="inlineStr">
        <is>
          <t>Multi-Layered Prompting of Small Language Models for Twitter Sentiment Analysis</t>
        </is>
      </c>
      <c r="F915" s="3" t="inlineStr">
        <is>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is>
      </c>
      <c r="G915" s="5" t="inlineStr">
        <is>
          <t>Conference paper</t>
        </is>
      </c>
      <c r="H915" s="5" t="inlineStr">
        <is>
          <t>10.1109/icdmw69685.2025.00255</t>
        </is>
      </c>
      <c r="I915" s="5" t="n"/>
      <c r="J915" s="3" t="n"/>
    </row>
    <row r="916" ht="299.25" customHeight="1" s="18">
      <c r="A916" s="5" t="inlineStr">
        <is>
          <t>S2-0910</t>
        </is>
      </c>
      <c r="B916" s="5" t="inlineStr">
        <is>
          <t>B-i</t>
        </is>
      </c>
      <c r="C916" s="3" t="inlineStr">
        <is>
          <t>Devi, Y.R.; Bharthepudi, A.; Govindarajula, A.</t>
        </is>
      </c>
      <c r="D916" s="6" t="n">
        <v>2025</v>
      </c>
      <c r="E916" s="3" t="inlineStr">
        <is>
          <t>A Review on Sentiment Analysis Using Transformers and Ensemble methods</t>
        </is>
      </c>
      <c r="F916" s="3" t="inlineStr">
        <is>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is>
      </c>
      <c r="G916" s="5" t="inlineStr">
        <is>
          <t>Conference paper</t>
        </is>
      </c>
      <c r="H916" s="5" t="inlineStr">
        <is>
          <t>10.1109/rait65068.2025.11089332</t>
        </is>
      </c>
      <c r="I916" s="5" t="n"/>
      <c r="J916" s="3" t="n"/>
    </row>
    <row r="917" ht="370.5" customHeight="1" s="18">
      <c r="A917" s="5" t="inlineStr">
        <is>
          <t>S2-0911</t>
        </is>
      </c>
      <c r="B917" s="5" t="inlineStr">
        <is>
          <t>B-i</t>
        </is>
      </c>
      <c r="C917" s="3" t="inlineStr">
        <is>
          <t>Lossio-Ventura, J.A.; Weger, R.; Lee, A.Y.; Guinee, E.P.; Chung, J.; Atlas, L.; Linos, E.; Pereira, F.</t>
        </is>
      </c>
      <c r="D917" s="6" t="n">
        <v>2024</v>
      </c>
      <c r="E917" s="3" t="inlineStr">
        <is>
          <t>A Comparison of ChatGPT and Fine-Tuned Open Pre-Trained Transformers (OPT) Against Widely Used Sentiment Analysis Tools: Sentiment Analysis of COVID-19 Survey Data</t>
        </is>
      </c>
      <c r="F917" s="3" t="inlineStr">
        <is>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is>
      </c>
      <c r="G917" s="5" t="inlineStr">
        <is>
          <t>Journal article</t>
        </is>
      </c>
      <c r="H917" s="5" t="inlineStr">
        <is>
          <t>10.2196/50150</t>
        </is>
      </c>
      <c r="I917" s="5" t="n"/>
      <c r="J917" s="3" t="n"/>
    </row>
    <row r="918" ht="370.5" customHeight="1" s="18">
      <c r="A918" s="5" t="inlineStr">
        <is>
          <t>S2-0912</t>
        </is>
      </c>
      <c r="B918" s="5" t="inlineStr">
        <is>
          <t>B-i</t>
        </is>
      </c>
      <c r="C918" s="3" t="inlineStr">
        <is>
          <t>Ye, M.; Friginal, E.</t>
        </is>
      </c>
      <c r="D918" s="6" t="n">
        <v>2024</v>
      </c>
      <c r="E918" s="3" t="inlineStr">
        <is>
          <t>Portrayals of Chinese companies in American and British economic news tweets during China’s macroeconomic transitions 2007–2023</t>
        </is>
      </c>
      <c r="F918" s="3" t="inlineStr">
        <is>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is>
      </c>
      <c r="G918" s="5" t="inlineStr">
        <is>
          <t>Journal article</t>
        </is>
      </c>
      <c r="H918" s="5" t="inlineStr">
        <is>
          <t>10.1057/s41599-024-03958-7</t>
        </is>
      </c>
      <c r="I918" s="5" t="n"/>
      <c r="J918" s="3" t="n"/>
    </row>
    <row r="919" ht="299.25" customHeight="1" s="18">
      <c r="A919" s="5" t="inlineStr">
        <is>
          <t>S2-0913</t>
        </is>
      </c>
      <c r="B919" s="5" t="inlineStr">
        <is>
          <t>B-i</t>
        </is>
      </c>
      <c r="C919" s="3" t="inlineStr">
        <is>
          <t>Abdou Mohamed, N.; Benelallam, I.; Rahmani, Y.</t>
        </is>
      </c>
      <c r="D919" s="6" t="n">
        <v>2025</v>
      </c>
      <c r="E919" s="3" t="inlineStr">
        <is>
          <t>Monitoring african geopolitics: a multilingual sentiment and public attention framework: Monitoring african geopolitics: a..: A. M. Naira et al.</t>
        </is>
      </c>
      <c r="F919" s="3" t="inlineStr">
        <is>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is>
      </c>
      <c r="G919" s="5" t="inlineStr">
        <is>
          <t>Journal article</t>
        </is>
      </c>
      <c r="H919" s="5" t="inlineStr">
        <is>
          <t>10.1007/s10489-024-05905-0</t>
        </is>
      </c>
      <c r="I919" s="5" t="n"/>
      <c r="J919" s="3" t="n"/>
    </row>
    <row r="920" ht="409.5" customHeight="1" s="18">
      <c r="A920" s="5" t="inlineStr">
        <is>
          <t>S2-0914</t>
        </is>
      </c>
      <c r="B920" s="5" t="inlineStr">
        <is>
          <t>B-i</t>
        </is>
      </c>
      <c r="C920" s="3" t="inlineStr">
        <is>
          <t>Gandy, L.M.; Ivanitskaya, L.V.; Bacon, L.L.; Bizri-Baryak, R.</t>
        </is>
      </c>
      <c r="D920" s="6" t="n">
        <v>2025</v>
      </c>
      <c r="E920" s="3" t="inlineStr">
        <is>
          <t>Public Health Discussions on Social Media: Evaluating Automated Sentiment Analysis Methods</t>
        </is>
      </c>
      <c r="F920" s="3" t="inlineStr">
        <is>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is>
      </c>
      <c r="G920" s="5" t="inlineStr">
        <is>
          <t>Journal article</t>
        </is>
      </c>
      <c r="H920" s="5" t="inlineStr">
        <is>
          <t>10.2196/57395</t>
        </is>
      </c>
      <c r="I920" s="5" t="n"/>
      <c r="J920" s="3" t="n"/>
    </row>
    <row r="921" ht="327.75" customHeight="1" s="18">
      <c r="A921" s="5" t="inlineStr">
        <is>
          <t>S2-0915</t>
        </is>
      </c>
      <c r="B921" s="5" t="inlineStr">
        <is>
          <t>B-i</t>
        </is>
      </c>
      <c r="C921" s="3" t="inlineStr">
        <is>
          <t>Mardiah, Z.; Wicaksono, H.R.; Hadiprakoso, R.B.</t>
        </is>
      </c>
      <c r="D921" s="6" t="n">
        <v>2024</v>
      </c>
      <c r="E921" s="3" t="inlineStr">
        <is>
          <t>Sentiment Analysis Through Prompt Engineering with GPT-4 on the SmSA IndoNLU Dataset</t>
        </is>
      </c>
      <c r="F921" s="3" t="inlineStr">
        <is>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is>
      </c>
      <c r="G921" s="5" t="inlineStr">
        <is>
          <t>Conference paper</t>
        </is>
      </c>
      <c r="H921" s="5" t="inlineStr">
        <is>
          <t>10.1109/icimcis63449.2024.10957095</t>
        </is>
      </c>
      <c r="I921" s="5" t="n"/>
      <c r="J921" s="3" t="n"/>
    </row>
    <row r="922" ht="156.75" customHeight="1" s="18">
      <c r="A922" s="5" t="inlineStr">
        <is>
          <t>S2-0916</t>
        </is>
      </c>
      <c r="B922" s="5" t="inlineStr">
        <is>
          <t>B-i</t>
        </is>
      </c>
      <c r="C922" s="3" t="inlineStr">
        <is>
          <t>Parsa, A.; Dubey, A.</t>
        </is>
      </c>
      <c r="D922" s="6" t="n">
        <v>2024</v>
      </c>
      <c r="E922" s="3" t="inlineStr">
        <is>
          <t>Evaluation of LLMs, BERT, and Ensemble Techniques for Analyzing Online Vaccine Sentiment</t>
        </is>
      </c>
      <c r="F922" s="3" t="inlineStr">
        <is>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is>
      </c>
      <c r="G922" s="5" t="inlineStr">
        <is>
          <t>Conference paper</t>
        </is>
      </c>
      <c r="H922" s="5" t="inlineStr">
        <is>
          <t>10.1109/aixset62544.2024.00029</t>
        </is>
      </c>
      <c r="I922" s="5" t="n"/>
      <c r="J922" s="3" t="n"/>
    </row>
    <row r="923" ht="384.75" customHeight="1" s="18">
      <c r="A923" s="5" t="inlineStr">
        <is>
          <t>S2-0917</t>
        </is>
      </c>
      <c r="B923" s="5" t="inlineStr">
        <is>
          <t>B-i</t>
        </is>
      </c>
      <c r="C923" s="3" t="inlineStr">
        <is>
          <t>Wu, X.; Li, H.; Yoshioka, N.; Washizaki, H.; Khomh, F.</t>
        </is>
      </c>
      <c r="D923" s="6" t="n">
        <v>2024</v>
      </c>
      <c r="E923" s="3" t="inlineStr">
        <is>
          <t>Refining GPT-3 Embeddings with a Siamese Structure for Technical Post Duplicate Detection</t>
        </is>
      </c>
      <c r="F923" s="3" t="inlineStr">
        <is>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is>
      </c>
      <c r="G923" s="5" t="inlineStr">
        <is>
          <t>Conference paper</t>
        </is>
      </c>
      <c r="H923" s="5" t="inlineStr">
        <is>
          <t>10.1109/saner60148.2024.00019</t>
        </is>
      </c>
      <c r="I923" s="5" t="n"/>
      <c r="J923" s="3" t="n"/>
    </row>
    <row r="924" ht="313.5" customHeight="1" s="18">
      <c r="A924" s="5" t="inlineStr">
        <is>
          <t>S2-0918</t>
        </is>
      </c>
      <c r="B924" s="5" t="inlineStr">
        <is>
          <t>B-i</t>
        </is>
      </c>
      <c r="C924" s="3" t="inlineStr">
        <is>
          <t>Srirag, D.; Joshi, A.; Painter, J.; Kanojia, D.</t>
        </is>
      </c>
      <c r="D924" s="6" t="n">
        <v>2025</v>
      </c>
      <c r="E924" s="3" t="inlineStr">
        <is>
          <t>BESSTIE: A Benchmark for Sentiment and Sarcasm Classification for Varieties of English</t>
        </is>
      </c>
      <c r="F924" s="3" t="inlineStr">
        <is>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is>
      </c>
      <c r="G924" s="5" t="inlineStr">
        <is>
          <t>Conference paper</t>
        </is>
      </c>
      <c r="H924" s="5" t="inlineStr">
        <is>
          <t>10.18653/v1/2025.findings-acl.441</t>
        </is>
      </c>
      <c r="I924" s="5" t="n"/>
      <c r="J924" s="3" t="n"/>
    </row>
    <row r="925" ht="409.5" customHeight="1" s="18">
      <c r="A925" s="5" t="inlineStr">
        <is>
          <t>S2-0919</t>
        </is>
      </c>
      <c r="B925" s="5" t="inlineStr">
        <is>
          <t>B-i</t>
        </is>
      </c>
      <c r="C925" s="3" t="inlineStr">
        <is>
          <t>Tori, F.; Tori, S.; Keseru, I.; Ginis, V.</t>
        </is>
      </c>
      <c r="D925" s="6" t="n">
        <v>2024</v>
      </c>
      <c r="E925" s="3" t="inlineStr">
        <is>
          <t>Performing Sentiment Analysis Using Natural Language Models for Urban Policymaking: An analysis of Twitter Data in Brussels</t>
        </is>
      </c>
      <c r="F925" s="3" t="inlineStr">
        <is>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is>
      </c>
      <c r="G925" s="5" t="inlineStr">
        <is>
          <t>Journal article</t>
        </is>
      </c>
      <c r="H925" s="5" t="inlineStr">
        <is>
          <t>10.1007/s42421-024-00090-5</t>
        </is>
      </c>
      <c r="I925" s="5" t="n"/>
      <c r="J925" s="3" t="n"/>
    </row>
    <row r="926" ht="409.5" customHeight="1" s="18">
      <c r="A926" s="5" t="inlineStr">
        <is>
          <t>S2-0920</t>
        </is>
      </c>
      <c r="B926" s="5" t="inlineStr">
        <is>
          <t>B-i</t>
        </is>
      </c>
      <c r="C926" s="3" t="inlineStr">
        <is>
          <t>Taghian Dinani, S.; Caragea, D.; Gyawali, N.</t>
        </is>
      </c>
      <c r="D926" s="6" t="n">
        <v>2024</v>
      </c>
      <c r="E926" s="3" t="inlineStr">
        <is>
          <t>Disaster Tweet Classification Using Fine-Tuned Deep Learning Models Versus Zero and Few-Shot Large Language Models</t>
        </is>
      </c>
      <c r="F926" s="3" t="inlineStr">
        <is>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is>
      </c>
      <c r="G926" s="5" t="inlineStr">
        <is>
          <t>Conference paper</t>
        </is>
      </c>
      <c r="H926" s="5" t="inlineStr">
        <is>
          <t>10.1007/978-3-031-68919-2_4</t>
        </is>
      </c>
      <c r="I926" s="5" t="n"/>
      <c r="J926" s="3" t="n"/>
    </row>
    <row r="927" ht="213.75" customHeight="1" s="18">
      <c r="A927" s="5" t="inlineStr">
        <is>
          <t>S2-0921</t>
        </is>
      </c>
      <c r="B927" s="5" t="inlineStr">
        <is>
          <t>B-i</t>
        </is>
      </c>
      <c r="C927" s="3" t="inlineStr">
        <is>
          <t>Zou, C.; Cai, J.; Chen, L.; Nah, F.F.-H.</t>
        </is>
      </c>
      <c r="D927" s="6" t="n">
        <v>2024</v>
      </c>
      <c r="E927" s="3" t="inlineStr">
        <is>
          <t>An Exploratory Study of Conventional Machine Learning and Large Language Models for Sentiment Analysis</t>
        </is>
      </c>
      <c r="F927" s="3" t="inlineStr">
        <is>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is>
      </c>
      <c r="G927" s="5" t="inlineStr">
        <is>
          <t>Conference paper</t>
        </is>
      </c>
      <c r="H927" s="5" t="inlineStr">
        <is>
          <t>10.1007/978-3-031-76827-9_17</t>
        </is>
      </c>
      <c r="I927" s="5" t="n"/>
      <c r="J927" s="3" t="n"/>
    </row>
    <row r="928" ht="213.75" customHeight="1" s="18">
      <c r="A928" s="5" t="inlineStr">
        <is>
          <t>S2-0922</t>
        </is>
      </c>
      <c r="B928" s="5" t="inlineStr">
        <is>
          <t>B-i</t>
        </is>
      </c>
      <c r="C928" s="3" t="inlineStr">
        <is>
          <t>Li, W.; Zhu, Y.; Lin, X.; Li, M.; Jiang, Z.; Zeng, Z.</t>
        </is>
      </c>
      <c r="D928" s="6" t="n">
        <v>2024</v>
      </c>
      <c r="E928" s="3" t="inlineStr">
        <is>
          <t>Zero-shot Explainable Mental Health Analysis on Social Media by Incorporating Mental Scales</t>
        </is>
      </c>
      <c r="F928" s="3" t="inlineStr">
        <is>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is>
      </c>
      <c r="G928" s="5" t="inlineStr">
        <is>
          <t>Conference paper</t>
        </is>
      </c>
      <c r="H928" s="5" t="inlineStr">
        <is>
          <t>10.1145/3589335.3651584</t>
        </is>
      </c>
      <c r="I928" s="5" t="n"/>
      <c r="J928" s="3" t="n"/>
    </row>
    <row r="929" ht="342" customHeight="1" s="18">
      <c r="A929" s="5" t="inlineStr">
        <is>
          <t>S2-0923</t>
        </is>
      </c>
      <c r="B929" s="5" t="inlineStr">
        <is>
          <t>B-i</t>
        </is>
      </c>
      <c r="C929" s="3" t="inlineStr">
        <is>
          <t>Utthirakumari, R.; Harini, R.; Deepika, S.</t>
        </is>
      </c>
      <c r="D929" s="6" t="n">
        <v>2025</v>
      </c>
      <c r="E929" s="3" t="inlineStr">
        <is>
          <t>EmotionPrompt: Prompt-Tuned Large Language Models for Multilingual Sentiment Analysis on MELD and SemEval</t>
        </is>
      </c>
      <c r="F929" s="3" t="inlineStr">
        <is>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is>
      </c>
      <c r="G929" s="5" t="inlineStr">
        <is>
          <t>Conference paper</t>
        </is>
      </c>
      <c r="H929" s="5" t="inlineStr">
        <is>
          <t>10.1109/icecmsn68058.2025.11382945</t>
        </is>
      </c>
      <c r="I929" s="5" t="n"/>
      <c r="J929" s="3" t="n"/>
    </row>
    <row r="930" ht="242.25" customHeight="1" s="18">
      <c r="A930" s="5" t="inlineStr">
        <is>
          <t>S2-0924</t>
        </is>
      </c>
      <c r="B930" s="5" t="inlineStr">
        <is>
          <t>B-i</t>
        </is>
      </c>
      <c r="C930" s="3" t="inlineStr">
        <is>
          <t>Gaikwad, H.; Kiwelekar, A.; Laddha, M.; Shahare, S.</t>
        </is>
      </c>
      <c r="D930" s="6" t="n">
        <v>2024</v>
      </c>
      <c r="E930" s="3" t="inlineStr">
        <is>
          <t>Adopting Pre-trained Large Language Models for Regional Language Tasks: A Case Study</t>
        </is>
      </c>
      <c r="F930" s="3" t="inlineStr">
        <is>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is>
      </c>
      <c r="G930" s="5" t="inlineStr">
        <is>
          <t>Conference paper</t>
        </is>
      </c>
      <c r="H930" s="5" t="inlineStr">
        <is>
          <t>10.1007/978-3-031-53827-8_2</t>
        </is>
      </c>
      <c r="I930" s="5" t="n"/>
      <c r="J930" s="3" t="n"/>
    </row>
    <row r="931" ht="185.25" customHeight="1" s="18">
      <c r="A931" s="5" t="inlineStr">
        <is>
          <t>S2-0925</t>
        </is>
      </c>
      <c r="B931" s="5" t="inlineStr">
        <is>
          <t>B-i</t>
        </is>
      </c>
      <c r="C931" s="3" t="inlineStr">
        <is>
          <t>Tekumalla, R.; Banda, J.M.</t>
        </is>
      </c>
      <c r="D931" s="6" t="n">
        <v>2023</v>
      </c>
      <c r="E931" s="3" t="inlineStr">
        <is>
          <t>Leveraging Large Language Models and Weak Supervision for Social Media Data Annotation: An Evaluation Using COVID-19 Self-reported Vaccination Tweets</t>
        </is>
      </c>
      <c r="F931" s="3" t="inlineStr">
        <is>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is>
      </c>
      <c r="G931" s="5" t="inlineStr">
        <is>
          <t>Conference paper</t>
        </is>
      </c>
      <c r="H931" s="5" t="inlineStr">
        <is>
          <t>10.1007/978-3-031-48044-7_26</t>
        </is>
      </c>
      <c r="I931" s="5" t="n"/>
      <c r="J931" s="3" t="n"/>
    </row>
    <row r="932" ht="242.25" customHeight="1" s="18">
      <c r="A932" s="5" t="inlineStr">
        <is>
          <t>S2-0926</t>
        </is>
      </c>
      <c r="B932" s="5" t="inlineStr">
        <is>
          <t>B-i</t>
        </is>
      </c>
      <c r="C932" s="3" t="inlineStr">
        <is>
          <t>Giglietto, F.; Marino, G.</t>
        </is>
      </c>
      <c r="D932" s="6" t="n">
        <v>2024</v>
      </c>
      <c r="E932" s="3" t="inlineStr">
        <is>
          <t>Integrating Large Language Models in Political Discourse Studies on Social Media: Challenges of Validating an LLMs-in-the-loop Pipeline</t>
        </is>
      </c>
      <c r="F932" s="3" t="inlineStr">
        <is>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is>
      </c>
      <c r="G932" s="5" t="inlineStr">
        <is>
          <t>Journal article</t>
        </is>
      </c>
      <c r="H932" s="5" t="inlineStr">
        <is>
          <t>10.6092/issn.1971-8853/19524</t>
        </is>
      </c>
      <c r="I932" s="5" t="n"/>
      <c r="J932" s="3" t="n"/>
    </row>
    <row r="933" ht="285" customHeight="1" s="18">
      <c r="A933" s="5" t="inlineStr">
        <is>
          <t>S2-0927</t>
        </is>
      </c>
      <c r="B933" s="5" t="inlineStr">
        <is>
          <t>B-i</t>
        </is>
      </c>
      <c r="C933" s="3" t="inlineStr">
        <is>
          <t>Tewari, K.; Chanda, S.; Namdeo, A.; Pal, S.</t>
        </is>
      </c>
      <c r="D933" s="6" t="n">
        <v>2025</v>
      </c>
      <c r="E933" s="3" t="inlineStr">
        <is>
          <t>SAViOR: Sentiment, Sarcasm, Abuse, and Vulgarity in Online Realities (Memes)</t>
        </is>
      </c>
      <c r="F933" s="3" t="inlineStr">
        <is>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is>
      </c>
      <c r="G933" s="5" t="inlineStr">
        <is>
          <t>Conference paper</t>
        </is>
      </c>
      <c r="H933" s="5" t="n"/>
      <c r="I933" s="5" t="n"/>
      <c r="J933" s="3" t="n"/>
    </row>
    <row r="934" ht="270.75" customHeight="1" s="18">
      <c r="A934" s="5" t="inlineStr">
        <is>
          <t>S2-0928</t>
        </is>
      </c>
      <c r="B934" s="5" t="inlineStr">
        <is>
          <t>B-i</t>
        </is>
      </c>
      <c r="C934" s="3" t="inlineStr">
        <is>
          <t>Abusaqer, M.; Saquer, J.</t>
        </is>
      </c>
      <c r="D934" s="6" t="n">
        <v>2025</v>
      </c>
      <c r="E934" s="3" t="inlineStr">
        <is>
          <t>Parameter-Efficient Hate Speech Detection: A Comprehensive Evaluation of LoRA-Adapted LLMs Across 18 Architectures</t>
        </is>
      </c>
      <c r="F934" s="3" t="inlineStr">
        <is>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is>
      </c>
      <c r="G934" s="5" t="inlineStr">
        <is>
          <t>Conference paper</t>
        </is>
      </c>
      <c r="H934" s="5" t="inlineStr">
        <is>
          <t>10.18293/seke2025-036</t>
        </is>
      </c>
      <c r="I934" s="5" t="n"/>
      <c r="J934" s="3" t="n"/>
    </row>
    <row r="935" ht="299.25" customHeight="1" s="18">
      <c r="A935" s="5" t="inlineStr">
        <is>
          <t>S2-0929</t>
        </is>
      </c>
      <c r="B935" s="5" t="inlineStr">
        <is>
          <t>B-i</t>
        </is>
      </c>
      <c r="C935" s="3" t="inlineStr">
        <is>
          <t>Singh, G.V.; Kori, D.R.; Ekbal, A.</t>
        </is>
      </c>
      <c r="D935" s="6" t="n">
        <v>2024</v>
      </c>
      <c r="E935" s="3" t="inlineStr">
        <is>
          <t>Aspect-Based Multimodal Mining: Unveiling Sentiments, Complaints, and Beyond in User-Generated Content</t>
        </is>
      </c>
      <c r="F935" s="3" t="inlineStr">
        <is>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is>
      </c>
      <c r="G935" s="5" t="inlineStr">
        <is>
          <t>Conference paper</t>
        </is>
      </c>
      <c r="H935" s="5" t="inlineStr">
        <is>
          <t>10.1145/3664647.3681703</t>
        </is>
      </c>
      <c r="I935" s="5" t="n"/>
      <c r="J935" s="3" t="n"/>
    </row>
    <row r="936" ht="285" customHeight="1" s="18">
      <c r="A936" s="5" t="inlineStr">
        <is>
          <t>S2-0930</t>
        </is>
      </c>
      <c r="B936" s="5" t="inlineStr">
        <is>
          <t>B-i</t>
        </is>
      </c>
      <c r="C936" s="3" t="inlineStr">
        <is>
          <t>Santos, G.L.; dos Santos, V.G.; Kearns, C.; Sinclair, G.; Black, J.; Doidge, M.; Fletcher, T.; Kilvington, D.; Liston, K.; Endo, P.T.; Lynn, T.</t>
        </is>
      </c>
      <c r="D936" s="6" t="n">
        <v>2025</v>
      </c>
      <c r="E936" s="3" t="inlineStr">
        <is>
          <t>Detecting Homophobic Speech in Soccer Tweets Using Large Language Models and Explainable AI</t>
        </is>
      </c>
      <c r="F936" s="3" t="inlineStr">
        <is>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is>
      </c>
      <c r="G936" s="5" t="inlineStr">
        <is>
          <t>Conference paper</t>
        </is>
      </c>
      <c r="H936" s="5" t="inlineStr">
        <is>
          <t>10.1007/978-3-031-78541-2_30</t>
        </is>
      </c>
      <c r="I936" s="5" t="n"/>
      <c r="J936" s="3" t="n"/>
    </row>
    <row r="937" ht="242.25" customHeight="1" s="18">
      <c r="A937" s="5" t="inlineStr">
        <is>
          <t>S2-0931</t>
        </is>
      </c>
      <c r="B937" s="5" t="inlineStr">
        <is>
          <t>B-i</t>
        </is>
      </c>
      <c r="C937" s="3" t="inlineStr">
        <is>
          <t>Kheiri, K.; Karimi, H.</t>
        </is>
      </c>
      <c r="D937" s="6" t="n">
        <v>2024</v>
      </c>
      <c r="E937" s="3" t="inlineStr">
        <is>
          <t>SentimentGPT: Leveraging GPT for Advancing Sentiment Analysis</t>
        </is>
      </c>
      <c r="F937" s="3" t="inlineStr">
        <is>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is>
      </c>
      <c r="G937" s="5" t="inlineStr">
        <is>
          <t>Conference paper</t>
        </is>
      </c>
      <c r="H937" s="5" t="inlineStr">
        <is>
          <t>10.1109/bigdata62323.2024.10825350</t>
        </is>
      </c>
      <c r="I937" s="5" t="n"/>
      <c r="J937" s="3" t="n"/>
    </row>
    <row r="938" ht="171" customHeight="1" s="18">
      <c r="A938" s="5" t="inlineStr">
        <is>
          <t>S2-0932</t>
        </is>
      </c>
      <c r="B938" s="5" t="inlineStr">
        <is>
          <t>B-i</t>
        </is>
      </c>
      <c r="C938" s="3" t="inlineStr">
        <is>
          <t>Luca, M.; Lopez, G.; Longa, A.; Kaul, J.</t>
        </is>
      </c>
      <c r="D938" s="6" t="n">
        <v>2024</v>
      </c>
      <c r="E938" s="3" t="inlineStr">
        <is>
          <t>How are You Really Doing? Dig into the Wheel of Emotions with Large Language Models</t>
        </is>
      </c>
      <c r="F938" s="3" t="inlineStr">
        <is>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is>
      </c>
      <c r="G938" s="5" t="inlineStr">
        <is>
          <t>Conference paper</t>
        </is>
      </c>
      <c r="H938" s="5" t="inlineStr">
        <is>
          <t>10.1109/aixb62249.2024.00020</t>
        </is>
      </c>
      <c r="I938" s="5" t="n"/>
      <c r="J938" s="3" t="n"/>
    </row>
    <row r="939" ht="242.25" customHeight="1" s="18">
      <c r="A939" s="5" t="inlineStr">
        <is>
          <t>S2-0933</t>
        </is>
      </c>
      <c r="B939" s="5" t="inlineStr">
        <is>
          <t>B-i</t>
        </is>
      </c>
      <c r="C939" s="3" t="inlineStr">
        <is>
          <t>Zhang, M.; Adachi, Y.; Zhu, J.; Uehara, M.</t>
        </is>
      </c>
      <c r="D939" s="6" t="n">
        <v>2025</v>
      </c>
      <c r="E939" s="3" t="inlineStr">
        <is>
          <t>Emotion Analysis for Chinese Text Using an OpenAI Embedding Model</t>
        </is>
      </c>
      <c r="F939" s="3" t="inlineStr">
        <is>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is>
      </c>
      <c r="G939" s="5" t="inlineStr">
        <is>
          <t>Conference paper</t>
        </is>
      </c>
      <c r="H939" s="5" t="inlineStr">
        <is>
          <t>10.1109/candarw68385.2025.00028</t>
        </is>
      </c>
      <c r="I939" s="5" t="n"/>
      <c r="J939" s="3" t="n"/>
    </row>
    <row r="940" ht="327.75" customHeight="1" s="18">
      <c r="A940" s="5" t="inlineStr">
        <is>
          <t>S2-0934</t>
        </is>
      </c>
      <c r="B940" s="5" t="inlineStr">
        <is>
          <t>B-i</t>
        </is>
      </c>
      <c r="C940" s="3" t="inlineStr">
        <is>
          <t>Hassan, A.Q.A.; Alotaibi, S.D.; Subait, W.B.; Al-Dobaian, A.S.; Sultan, H.A.; Almanea, M.; Allafi, R.; Alshammeri, M.</t>
        </is>
      </c>
      <c r="D940" s="6" t="n">
        <v>2024</v>
      </c>
      <c r="E940" s="3" t="inlineStr">
        <is>
          <t>AUTOMATED SARCASM RECOGNITION USING APPLIED LINGUISTICS DRIVEN DEEP LEARNING with LARGE LANGUAGE MODEL</t>
        </is>
      </c>
      <c r="F940" s="3" t="inlineStr">
        <is>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is>
      </c>
      <c r="G940" s="5" t="inlineStr">
        <is>
          <t>Journal article</t>
        </is>
      </c>
      <c r="H940" s="5" t="inlineStr">
        <is>
          <t>10.1142/s0218348x25400316</t>
        </is>
      </c>
      <c r="I940" s="5" t="n"/>
      <c r="J940" s="3" t="n"/>
    </row>
    <row r="941" ht="409.5" customHeight="1" s="18">
      <c r="A941" s="5" t="inlineStr">
        <is>
          <t>S2-0935</t>
        </is>
      </c>
      <c r="B941" s="5" t="inlineStr">
        <is>
          <t>B-i</t>
        </is>
      </c>
      <c r="C941" s="3" t="inlineStr">
        <is>
          <t>Sidorov, G.; Ahmad, M.; Basile, P.; Waqas, M.; Orji, R.; Batyrshin, I.</t>
        </is>
      </c>
      <c r="D941" s="6" t="n">
        <v>2025</v>
      </c>
      <c r="E941" s="3" t="inlineStr">
        <is>
          <t>Monitoring Opioid-Related Social Media Chatter Using Natural Language Processing and Large Language Models: Temporal Analysis</t>
        </is>
      </c>
      <c r="F941" s="3" t="inlineStr">
        <is>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is>
      </c>
      <c r="G941" s="5" t="inlineStr">
        <is>
          <t>Journal article</t>
        </is>
      </c>
      <c r="H941" s="5" t="inlineStr">
        <is>
          <t>10.2196/77279</t>
        </is>
      </c>
      <c r="I941" s="5" t="n"/>
      <c r="J941" s="3" t="n"/>
    </row>
    <row r="942" ht="242.25" customHeight="1" s="18">
      <c r="A942" s="5" t="inlineStr">
        <is>
          <t>S2-0936</t>
        </is>
      </c>
      <c r="B942" s="5" t="inlineStr">
        <is>
          <t>B-i</t>
        </is>
      </c>
      <c r="C942" s="3" t="inlineStr">
        <is>
          <t>Abdelsamie, M.; Wang, H.</t>
        </is>
      </c>
      <c r="D942" s="6" t="n">
        <v>2024</v>
      </c>
      <c r="E942" s="3" t="inlineStr">
        <is>
          <t>Comparative Analysis of LLM-based Market Prediction and Human Expertise with Sentiment Analysis and Machine Learning Integration</t>
        </is>
      </c>
      <c r="F942" s="3" t="inlineStr">
        <is>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is>
      </c>
      <c r="G942" s="5" t="inlineStr">
        <is>
          <t>Conference paper</t>
        </is>
      </c>
      <c r="H942" s="5" t="inlineStr">
        <is>
          <t>10.1109/dsit61374.2024.10881868</t>
        </is>
      </c>
      <c r="I942" s="5" t="n"/>
      <c r="J942" s="3" t="n"/>
    </row>
    <row r="943" ht="356.25" customHeight="1" s="18">
      <c r="A943" s="5" t="inlineStr">
        <is>
          <t>S2-0937</t>
        </is>
      </c>
      <c r="B943" s="5" t="inlineStr">
        <is>
          <t>B-i</t>
        </is>
      </c>
      <c r="C943" s="3" t="inlineStr">
        <is>
          <t>Ding, D.; Fu, X.; Peng, X.; Fan, X.; Huang, H.; Zhang, B.</t>
        </is>
      </c>
      <c r="D943" s="6" t="n">
        <v>2024</v>
      </c>
      <c r="E943" s="3" t="inlineStr">
        <is>
          <t>Leveraging Chain-of-Thought to Enhance Stance Detection with Prompt-Tuning</t>
        </is>
      </c>
      <c r="F943" s="3" t="inlineStr">
        <is>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is>
      </c>
      <c r="G943" s="5" t="inlineStr">
        <is>
          <t>Journal article</t>
        </is>
      </c>
      <c r="H943" s="5" t="inlineStr">
        <is>
          <t>10.3390/math12040568</t>
        </is>
      </c>
      <c r="I943" s="5" t="n"/>
      <c r="J943" s="3" t="n"/>
    </row>
    <row r="944" ht="185.25" customHeight="1" s="18">
      <c r="A944" s="5" t="inlineStr">
        <is>
          <t>S2-0938</t>
        </is>
      </c>
      <c r="B944" s="5" t="inlineStr">
        <is>
          <t>B-i</t>
        </is>
      </c>
      <c r="C944" s="3" t="inlineStr">
        <is>
          <t>Alghaslan, M.; Almutairy, K.</t>
        </is>
      </c>
      <c r="D944" s="6" t="n">
        <v>2024</v>
      </c>
      <c r="E944" s="3" t="inlineStr">
        <is>
          <t>MGKM at StanceEval2024: Fine-Tuning Large Language Models for Arabic Stance Detection</t>
        </is>
      </c>
      <c r="F944" s="3" t="inlineStr">
        <is>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is>
      </c>
      <c r="G944" s="5" t="inlineStr">
        <is>
          <t>Conference paper</t>
        </is>
      </c>
      <c r="H944" s="5" t="n"/>
      <c r="I944" s="5" t="n"/>
      <c r="J944" s="3" t="n"/>
    </row>
    <row r="945" ht="242.25" customHeight="1" s="18">
      <c r="A945" s="5" t="inlineStr">
        <is>
          <t>S2-0939</t>
        </is>
      </c>
      <c r="B945" s="5" t="inlineStr">
        <is>
          <t>B-i</t>
        </is>
      </c>
      <c r="C945" s="3" t="inlineStr">
        <is>
          <t>Giannaris, P.S.; Doukas, N.; Borges, J.</t>
        </is>
      </c>
      <c r="D945" s="6" t="n">
        <v>2024</v>
      </c>
      <c r="E945" s="3" t="inlineStr">
        <is>
          <t>Pilot Testing Transformers-based Models for Multi-class Classification of Greek Text</t>
        </is>
      </c>
      <c r="F945" s="3" t="inlineStr">
        <is>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is>
      </c>
      <c r="G945" s="5" t="inlineStr">
        <is>
          <t>Conference paper</t>
        </is>
      </c>
      <c r="H945" s="5" t="inlineStr">
        <is>
          <t>10.1109/dessert65323.2024.11122141</t>
        </is>
      </c>
      <c r="I945" s="5" t="n"/>
      <c r="J945" s="3" t="n"/>
    </row>
    <row r="946" ht="409.5" customHeight="1" s="18">
      <c r="A946" s="5" t="inlineStr">
        <is>
          <t>S2-0940</t>
        </is>
      </c>
      <c r="B946" s="5" t="inlineStr">
        <is>
          <t>B-i</t>
        </is>
      </c>
      <c r="C946" s="3" t="inlineStr">
        <is>
          <t>Snell, Q.; Westhoff, C.; Westhoff, J.; Low, E.; Hanson, C.L.; Tass, E.S.N.</t>
        </is>
      </c>
      <c r="D946" s="6" t="n">
        <v>2025</v>
      </c>
      <c r="E946" s="3" t="inlineStr">
        <is>
          <t>Assessing Large Language Models in Building a Structured Dataset From AskDocs Subreddit Data: Methodological Study</t>
        </is>
      </c>
      <c r="F946" s="3" t="inlineStr">
        <is>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is>
      </c>
      <c r="G946" s="5" t="inlineStr">
        <is>
          <t>Journal article</t>
        </is>
      </c>
      <c r="H946" s="5" t="inlineStr">
        <is>
          <t>10.2196/74094</t>
        </is>
      </c>
      <c r="I946" s="5" t="n"/>
      <c r="J946" s="3" t="n"/>
    </row>
    <row r="947" ht="409.5" customHeight="1" s="18">
      <c r="A947" s="5" t="inlineStr">
        <is>
          <t>S2-0941</t>
        </is>
      </c>
      <c r="B947" s="5" t="inlineStr">
        <is>
          <t>B-i</t>
        </is>
      </c>
      <c r="C947" s="3" t="inlineStr">
        <is>
          <t>AbuRaed, A.G.T.; Prikryl, E.A.; Carenini, G.; Janjua, N.Z.</t>
        </is>
      </c>
      <c r="D947" s="6" t="n">
        <v>2024</v>
      </c>
      <c r="E947" s="3" t="inlineStr">
        <is>
          <t>Long COVID Discourse in Canada, the United States, and Europe: Topic Modeling and Sentiment Analysis of Twitter Data</t>
        </is>
      </c>
      <c r="F947" s="3" t="inlineStr">
        <is>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is>
      </c>
      <c r="G947" s="5" t="inlineStr">
        <is>
          <t>Journal article</t>
        </is>
      </c>
      <c r="H947" s="5" t="inlineStr">
        <is>
          <t>10.2196/59425</t>
        </is>
      </c>
      <c r="I947" s="5" t="n"/>
      <c r="J947" s="3" t="n"/>
    </row>
    <row r="948" ht="285" customHeight="1" s="18">
      <c r="A948" s="5" t="inlineStr">
        <is>
          <t>S2-0942</t>
        </is>
      </c>
      <c r="B948" s="5" t="inlineStr">
        <is>
          <t>B-i</t>
        </is>
      </c>
      <c r="C948" s="3" t="inlineStr">
        <is>
          <t>Yue, Z.; Zeng, H.; Zhang, Y.; Shang, L.; Wang, D.</t>
        </is>
      </c>
      <c r="D948" s="6" t="n">
        <v>2023</v>
      </c>
      <c r="E948" s="3" t="inlineStr">
        <is>
          <t>MetaAdapt: Domain Adaptive Few-Shot Misinformation Detection via Meta Learning</t>
        </is>
      </c>
      <c r="F948" s="3" t="inlineStr">
        <is>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is>
      </c>
      <c r="G948" s="5" t="inlineStr">
        <is>
          <t>Conference paper</t>
        </is>
      </c>
      <c r="H948" s="5" t="inlineStr">
        <is>
          <t>10.18653/v1/2023.acl-long.286</t>
        </is>
      </c>
      <c r="I948" s="5" t="n"/>
      <c r="J948" s="3" t="n"/>
    </row>
    <row r="949" ht="242.25" customHeight="1" s="18">
      <c r="A949" s="5" t="inlineStr">
        <is>
          <t>S2-0943</t>
        </is>
      </c>
      <c r="B949" s="5" t="inlineStr">
        <is>
          <t>B-i</t>
        </is>
      </c>
      <c r="C949" s="3" t="inlineStr">
        <is>
          <t>Lee, J.; Lu, X.; Hessel, J.; Brahman, F.; Yu, Y.; Bisk, Y.; Choi, Y.; Gabriel, S.</t>
        </is>
      </c>
      <c r="D949" s="6" t="n">
        <v>2024</v>
      </c>
      <c r="E949" s="3" t="inlineStr">
        <is>
          <t>How to Train Your Fact Verifier: Knowledge Transfer with Multimodal Open Models</t>
        </is>
      </c>
      <c r="F949" s="3" t="inlineStr">
        <is>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is>
      </c>
      <c r="G949" s="5" t="inlineStr">
        <is>
          <t>Conference paper</t>
        </is>
      </c>
      <c r="H949" s="5" t="inlineStr">
        <is>
          <t>10.18653/v1/2024.findings-emnlp.764</t>
        </is>
      </c>
      <c r="I949" s="5" t="n"/>
      <c r="J949" s="3" t="n"/>
    </row>
    <row r="950" ht="299.25" customHeight="1" s="18">
      <c r="A950" s="5" t="inlineStr">
        <is>
          <t>S2-0944</t>
        </is>
      </c>
      <c r="B950" s="5" t="inlineStr">
        <is>
          <t>B-i</t>
        </is>
      </c>
      <c r="C950" s="3" t="inlineStr">
        <is>
          <t>Chen, J.-Y.; Yao, X.-W.; Xu, T.-Y.</t>
        </is>
      </c>
      <c r="D950" s="6" t="n">
        <v>2025</v>
      </c>
      <c r="E950" s="3" t="inlineStr">
        <is>
          <t>Detecting Semantic Cues from Short-Form Content: A Data-Driven Approach for Neutral Trigger Identification</t>
        </is>
      </c>
      <c r="F950" s="3" t="inlineStr">
        <is>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is>
      </c>
      <c r="G950" s="5" t="inlineStr">
        <is>
          <t>Conference paper</t>
        </is>
      </c>
      <c r="H950" s="5" t="inlineStr">
        <is>
          <t>10.1109/icbdse65491.2025.11220117</t>
        </is>
      </c>
      <c r="I950" s="5" t="n"/>
      <c r="J950" s="3" t="n"/>
    </row>
    <row r="951" ht="299.25" customHeight="1" s="18">
      <c r="A951" s="5" t="inlineStr">
        <is>
          <t>S2-0945</t>
        </is>
      </c>
      <c r="B951" s="5" t="inlineStr">
        <is>
          <t>B-i</t>
        </is>
      </c>
      <c r="C951" s="3" t="inlineStr">
        <is>
          <t>Sowe, S.; Mou, Y.; Cheng, D.; Kong, L.; Neumann, A.T.; Decker, S.</t>
        </is>
      </c>
      <c r="D951" s="6" t="n">
        <v>2024</v>
      </c>
      <c r="E951" s="3" t="inlineStr">
        <is>
          <t>Understanding Open Source Large Language Models: An Exploratory Study</t>
        </is>
      </c>
      <c r="F951" s="3" t="inlineStr">
        <is>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is>
      </c>
      <c r="G951" s="5" t="inlineStr">
        <is>
          <t>Conference paper</t>
        </is>
      </c>
      <c r="H951" s="5" t="inlineStr">
        <is>
          <t>10.1109/fllm63129.2024.10852438</t>
        </is>
      </c>
      <c r="I951" s="5" t="n"/>
      <c r="J951" s="3" t="n"/>
    </row>
    <row r="952" ht="256.5" customHeight="1" s="18">
      <c r="A952" s="5" t="inlineStr">
        <is>
          <t>S2-0946</t>
        </is>
      </c>
      <c r="B952" s="5" t="inlineStr">
        <is>
          <t>B-i</t>
        </is>
      </c>
      <c r="C952" s="3" t="inlineStr">
        <is>
          <t>Rawal, J.; Nagale, P.; Edke, P.</t>
        </is>
      </c>
      <c r="D952" s="6" t="n">
        <v>2025</v>
      </c>
      <c r="E952" s="3" t="inlineStr">
        <is>
          <t>Decoding Emotions in Text: A Comprehensive Review and a Novel Framework for Context-Aware Analysis</t>
        </is>
      </c>
      <c r="F952" s="3" t="inlineStr">
        <is>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is>
      </c>
      <c r="G952" s="5" t="inlineStr">
        <is>
          <t>Conference paper</t>
        </is>
      </c>
      <c r="H952" s="5" t="inlineStr">
        <is>
          <t>10.1109/iconat66879.2025.11362821</t>
        </is>
      </c>
      <c r="I952" s="5" t="n"/>
      <c r="J952" s="3" t="n"/>
    </row>
    <row r="953" ht="228" customHeight="1" s="18">
      <c r="A953" s="5" t="inlineStr">
        <is>
          <t>S2-0947</t>
        </is>
      </c>
      <c r="B953" s="5" t="inlineStr">
        <is>
          <t>B-i</t>
        </is>
      </c>
      <c r="C953" s="3" t="inlineStr">
        <is>
          <t>Shen, L.; Long, Y.; Cai, X.; Chen, G.; Razzak, I.; Jameel, S.</t>
        </is>
      </c>
      <c r="D953" s="6" t="n">
        <v>2025</v>
      </c>
      <c r="E953" s="3" t="inlineStr">
        <is>
          <t>Less but Better: Parameter-Efficient Fine-Tuning of Large Language Models for Personality Detection</t>
        </is>
      </c>
      <c r="F953" s="3" t="inlineStr">
        <is>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is>
      </c>
      <c r="G953" s="5" t="inlineStr">
        <is>
          <t>Conference paper</t>
        </is>
      </c>
      <c r="H953" s="5" t="inlineStr">
        <is>
          <t>10.1109/ijcnn64981.2025.11228339</t>
        </is>
      </c>
      <c r="I953" s="5" t="n"/>
      <c r="J953" s="3" t="n"/>
    </row>
    <row r="954" ht="213.75" customHeight="1" s="18">
      <c r="A954" s="5" t="inlineStr">
        <is>
          <t>S2-0948</t>
        </is>
      </c>
      <c r="B954" s="5" t="inlineStr">
        <is>
          <t>B-i</t>
        </is>
      </c>
      <c r="C954" s="3" t="inlineStr">
        <is>
          <t>Zhu, Z.; Zhang, Z.; Zhang, H.; Li, C.</t>
        </is>
      </c>
      <c r="D954" s="6" t="n">
        <v>2025</v>
      </c>
      <c r="E954" s="3" t="inlineStr">
        <is>
          <t>RATSD: Retrieval Augmented Truthfulness Stance Detection from Social Media Posts Toward Factual Claims</t>
        </is>
      </c>
      <c r="F954" s="3" t="inlineStr">
        <is>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is>
      </c>
      <c r="G954" s="5" t="inlineStr">
        <is>
          <t>Conference paper</t>
        </is>
      </c>
      <c r="H954" s="5" t="inlineStr">
        <is>
          <t>10.18653/v1/2025.findings-naacl.187</t>
        </is>
      </c>
      <c r="I954" s="5" t="n"/>
      <c r="J954" s="3" t="n"/>
    </row>
    <row r="955" ht="409.5" customHeight="1" s="18">
      <c r="A955" s="5" t="inlineStr">
        <is>
          <t>S2-0949</t>
        </is>
      </c>
      <c r="B955" s="5" t="inlineStr">
        <is>
          <t>B-i</t>
        </is>
      </c>
      <c r="C955" s="3" t="inlineStr">
        <is>
          <t>Elmitwalli, S.; Mehegan, J.; Gallagher, A.; Alebshehy, R.</t>
        </is>
      </c>
      <c r="D955" s="6" t="n">
        <v>2024</v>
      </c>
      <c r="E955" s="3" t="inlineStr">
        <is>
          <t>Enhancing sentiment and intent analysis in public health via fine-tuned Large Language Models on tobacco and e-cigarette-related tweets</t>
        </is>
      </c>
      <c r="F955" s="3" t="inlineStr">
        <is>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is>
      </c>
      <c r="G955" s="5" t="inlineStr">
        <is>
          <t>Journal article</t>
        </is>
      </c>
      <c r="H955" s="5" t="inlineStr">
        <is>
          <t>10.3389/fdata.2024.1501154</t>
        </is>
      </c>
      <c r="I955" s="5" t="n"/>
      <c r="J955" s="3" t="n"/>
    </row>
    <row r="956" ht="199.5" customHeight="1" s="18">
      <c r="A956" s="5" t="inlineStr">
        <is>
          <t>S2-0950</t>
        </is>
      </c>
      <c r="B956" s="5" t="inlineStr">
        <is>
          <t>B-i</t>
        </is>
      </c>
      <c r="C956" s="3" t="inlineStr">
        <is>
          <t>Ray, J.K.; Mim, S.S.; Logofatu, D.</t>
        </is>
      </c>
      <c r="D956" s="6" t="n">
        <v>2025</v>
      </c>
      <c r="E956" s="3" t="inlineStr">
        <is>
          <t>Enhancing Cryptocurrency Sentiment Analysis with GPT-4: A Comparative Study</t>
        </is>
      </c>
      <c r="F956" s="3" t="inlineStr">
        <is>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is>
      </c>
      <c r="G956" s="5" t="inlineStr">
        <is>
          <t>Conference paper</t>
        </is>
      </c>
      <c r="H956" s="5" t="inlineStr">
        <is>
          <t>10.1007/978-3-031-96235-6_23</t>
        </is>
      </c>
      <c r="I956" s="5" t="n"/>
      <c r="J956" s="3" t="n"/>
    </row>
    <row r="957" ht="256.5" customHeight="1" s="18">
      <c r="A957" s="5" t="inlineStr">
        <is>
          <t>S2-0951</t>
        </is>
      </c>
      <c r="B957" s="5" t="inlineStr">
        <is>
          <t>B-i</t>
        </is>
      </c>
      <c r="C957" s="3" t="inlineStr">
        <is>
          <t>Yueqi, L.; Xiwei, W.; Qiuyue, W.</t>
        </is>
      </c>
      <c r="D957" s="6" t="n">
        <v>2025</v>
      </c>
      <c r="E957" s="3" t="inlineStr">
        <is>
          <t>Research on Multimodal Sentiment Analysis Models for Social Media Based on Multimodal Large Language Models</t>
        </is>
      </c>
      <c r="F957" s="3" t="inlineStr">
        <is>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is>
      </c>
      <c r="G957" s="5" t="inlineStr">
        <is>
          <t>Journal article</t>
        </is>
      </c>
      <c r="H957" s="5" t="inlineStr">
        <is>
          <t>10.16353/j.cnki.1000-7490.2025.11.022</t>
        </is>
      </c>
      <c r="I957" s="5" t="n"/>
      <c r="J957" s="3" t="n"/>
    </row>
    <row r="958" ht="228" customHeight="1" s="18">
      <c r="A958" s="5" t="inlineStr">
        <is>
          <t>S2-0952</t>
        </is>
      </c>
      <c r="B958" s="5" t="inlineStr">
        <is>
          <t>B-i</t>
        </is>
      </c>
      <c r="C958" s="3" t="inlineStr">
        <is>
          <t>Mohammadi, F.; Maghool, S.; Ceravolo, P.</t>
        </is>
      </c>
      <c r="D958" s="6" t="n">
        <v>2025</v>
      </c>
      <c r="E958" s="3" t="inlineStr">
        <is>
          <t>From Annotation to Detection: Evaluating LLMs for Hate Speech and Stereotype Identification in Italian</t>
        </is>
      </c>
      <c r="F958" s="3" t="inlineStr">
        <is>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is>
      </c>
      <c r="G958" s="5" t="inlineStr">
        <is>
          <t>Conference paper</t>
        </is>
      </c>
      <c r="H958" s="5" t="inlineStr">
        <is>
          <t>10.1109/aiccsa66935.2025.11315321</t>
        </is>
      </c>
      <c r="I958" s="5" t="n"/>
      <c r="J958" s="3" t="n"/>
    </row>
    <row r="959" ht="213.75" customHeight="1" s="18">
      <c r="A959" s="5" t="inlineStr">
        <is>
          <t>S2-0953</t>
        </is>
      </c>
      <c r="B959" s="5" t="inlineStr">
        <is>
          <t>B-i</t>
        </is>
      </c>
      <c r="C959" s="3" t="inlineStr">
        <is>
          <t>Casola, S.; Frenda, S.; Lo, S.M.; Sezerer, E.; Uva, A.; Basile, V.; Bosco, C.; Pedrani, A.; Rubagotti, C.; Patti, V.; Bernardi, D.</t>
        </is>
      </c>
      <c r="D959" s="6" t="n">
        <v>2024</v>
      </c>
      <c r="E959" s="3" t="inlineStr">
        <is>
          <t>MultiPICo: Multilingual Perspectivist Irony Corpus</t>
        </is>
      </c>
      <c r="F959" s="3" t="inlineStr">
        <is>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is>
      </c>
      <c r="G959" s="5" t="inlineStr">
        <is>
          <t>Conference paper</t>
        </is>
      </c>
      <c r="H959" s="5" t="inlineStr">
        <is>
          <t>10.18653/v1/2024.acl-long.849</t>
        </is>
      </c>
      <c r="I959" s="5" t="n"/>
      <c r="J959" s="3" t="n"/>
    </row>
    <row r="960" ht="171" customHeight="1" s="18">
      <c r="A960" s="5" t="inlineStr">
        <is>
          <t>S2-0954</t>
        </is>
      </c>
      <c r="B960" s="5" t="inlineStr">
        <is>
          <t>B-i</t>
        </is>
      </c>
      <c r="C960" s="3" t="inlineStr">
        <is>
          <t>Hua, Y.; Utsuro, T.</t>
        </is>
      </c>
      <c r="D960" s="6" t="n">
        <v>2024</v>
      </c>
      <c r="E960" s="3" t="inlineStr">
        <is>
          <t>Emoji Prediction of Japanese X Posts by LLMs</t>
        </is>
      </c>
      <c r="F960" s="3" t="inlineStr">
        <is>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is>
      </c>
      <c r="G960" s="5" t="inlineStr">
        <is>
          <t>Conference paper</t>
        </is>
      </c>
      <c r="H960" s="5" t="n"/>
      <c r="I960" s="5" t="n"/>
      <c r="J960" s="3" t="n"/>
    </row>
    <row r="961" ht="242.25" customHeight="1" s="18">
      <c r="A961" s="5" t="inlineStr">
        <is>
          <t>S2-0955</t>
        </is>
      </c>
      <c r="B961" s="5" t="inlineStr">
        <is>
          <t>B-i</t>
        </is>
      </c>
      <c r="C961" s="3" t="inlineStr">
        <is>
          <t>Liu, J.L.; Wang, Y.; Lyu, Y.; Su, Y.; Niu, S.; Xu, X.O.; Zhang, Y.</t>
        </is>
      </c>
      <c r="D961" s="6" t="n">
        <v>2024</v>
      </c>
      <c r="E961" s="3" t="inlineStr">
        <is>
          <t>Harnessing LLMs for Automated Video Content Analysis: An Exploratory Workflow of Short Videos on Depression</t>
        </is>
      </c>
      <c r="F961" s="3" t="inlineStr">
        <is>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is>
      </c>
      <c r="G961" s="5" t="inlineStr">
        <is>
          <t>Conference paper</t>
        </is>
      </c>
      <c r="H961" s="5" t="inlineStr">
        <is>
          <t>10.1145/3678884.3681850</t>
        </is>
      </c>
      <c r="I961" s="5" t="n"/>
      <c r="J961" s="3" t="n"/>
    </row>
    <row r="962" ht="256.5" customHeight="1" s="18">
      <c r="A962" s="5" t="inlineStr">
        <is>
          <t>S2-0956</t>
        </is>
      </c>
      <c r="B962" s="5" t="inlineStr">
        <is>
          <t>B-i</t>
        </is>
      </c>
      <c r="C962" s="3" t="inlineStr">
        <is>
          <t>Al-Thubaity, A.; Alkhereyf, S.; Murayshid, H.; Alshalawi, N.; Omirah, M.B.; Alateeq, R.; Almutairi, R.; Alsuwailem, R.; Alhassoun, M.; Alkhanen, I.</t>
        </is>
      </c>
      <c r="D962" s="6" t="n">
        <v>2023</v>
      </c>
      <c r="E962" s="3" t="inlineStr">
        <is>
          <t>Evaluating ChatGPT and Bard AI on Arabic Sentiment Analysis</t>
        </is>
      </c>
      <c r="F962" s="3" t="inlineStr">
        <is>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is>
      </c>
      <c r="G962" s="5" t="inlineStr">
        <is>
          <t>Conference paper</t>
        </is>
      </c>
      <c r="H962" s="5" t="n"/>
      <c r="I962" s="5" t="n"/>
      <c r="J962" s="3" t="n"/>
    </row>
    <row r="963" ht="356.25" customHeight="1" s="18">
      <c r="A963" s="5" t="inlineStr">
        <is>
          <t>S2-0957</t>
        </is>
      </c>
      <c r="B963" s="5" t="inlineStr">
        <is>
          <t>B-i</t>
        </is>
      </c>
      <c r="C963" s="3" t="inlineStr">
        <is>
          <t>Baxter, P.; Li, M.-H.; Wei, J.; Koizumi, N.</t>
        </is>
      </c>
      <c r="D963" s="6" t="n">
        <v>2025</v>
      </c>
      <c r="E963" s="3" t="inlineStr">
        <is>
          <t>Public Versus Academic Discourse on ChatGPT in Health Care: Mixed Methods Study</t>
        </is>
      </c>
      <c r="F963" s="3" t="inlineStr">
        <is>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is>
      </c>
      <c r="G963" s="5" t="inlineStr">
        <is>
          <t>Journal article</t>
        </is>
      </c>
      <c r="H963" s="5" t="inlineStr">
        <is>
          <t>10.2196/64509</t>
        </is>
      </c>
      <c r="I963" s="5" t="n"/>
      <c r="J963" s="3" t="n"/>
    </row>
    <row r="964" ht="228" customHeight="1" s="18">
      <c r="A964" s="5" t="inlineStr">
        <is>
          <t>S2-0958</t>
        </is>
      </c>
      <c r="B964" s="5" t="inlineStr">
        <is>
          <t>B-i</t>
        </is>
      </c>
      <c r="C964" s="3" t="inlineStr">
        <is>
          <t>Sucu, A.E.; Zhou, Y.; Nascimento, M.A.; Mullen, T.</t>
        </is>
      </c>
      <c r="D964" s="6" t="n">
        <v>2025</v>
      </c>
      <c r="E964" s="3" t="inlineStr">
        <is>
          <t>Exploiting contextual information to improve stance detection in informal political discourse with LLMs</t>
        </is>
      </c>
      <c r="F964" s="3" t="inlineStr">
        <is>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is>
      </c>
      <c r="G964" s="5" t="inlineStr">
        <is>
          <t>Conference paper</t>
        </is>
      </c>
      <c r="H964" s="5" t="inlineStr">
        <is>
          <t>10.18653/v1/2025.acl-srw.86</t>
        </is>
      </c>
      <c r="I964" s="5" t="n"/>
      <c r="J964" s="3" t="n"/>
    </row>
    <row r="965" ht="114" customHeight="1" s="18">
      <c r="A965" s="5" t="inlineStr">
        <is>
          <t>S2-0959</t>
        </is>
      </c>
      <c r="B965" s="5" t="inlineStr">
        <is>
          <t>B-i</t>
        </is>
      </c>
      <c r="C965" s="3" t="inlineStr">
        <is>
          <t>Pasch, S.; Cutura, J.</t>
        </is>
      </c>
      <c r="D965" s="6" t="n">
        <v>2024</v>
      </c>
      <c r="E965" s="3" t="inlineStr">
        <is>
          <t>Text Classification with Limited Training Data: Suicide Risk Detection on Social Media</t>
        </is>
      </c>
      <c r="F965" s="3" t="inlineStr">
        <is>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is>
      </c>
      <c r="G965" s="5" t="inlineStr">
        <is>
          <t>Conference paper</t>
        </is>
      </c>
      <c r="H965" s="5" t="inlineStr">
        <is>
          <t>10.1109/bigdata62323.2024.10825333</t>
        </is>
      </c>
      <c r="I965" s="5" t="n"/>
      <c r="J965" s="3" t="n"/>
    </row>
    <row r="966" ht="242.25" customHeight="1" s="18">
      <c r="A966" s="5" t="inlineStr">
        <is>
          <t>S2-0960</t>
        </is>
      </c>
      <c r="B966" s="5" t="inlineStr">
        <is>
          <t>B-i</t>
        </is>
      </c>
      <c r="C966" s="3" t="inlineStr">
        <is>
          <t>Santosa, F.; Utami, E.; Wibowo, F.W.</t>
        </is>
      </c>
      <c r="D966" s="6" t="n">
        <v>2025</v>
      </c>
      <c r="E966" s="3" t="inlineStr">
        <is>
          <t>Sarcasm Detection in the Era of AI: A Systematic Review of Techniques, Datasets, Performance, and Future Outlook</t>
        </is>
      </c>
      <c r="F966" s="3" t="inlineStr">
        <is>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is>
      </c>
      <c r="G966" s="5" t="inlineStr">
        <is>
          <t>Conference paper</t>
        </is>
      </c>
      <c r="H966" s="5" t="inlineStr">
        <is>
          <t>10.1109/ic3ina68387.2025.11325282</t>
        </is>
      </c>
      <c r="I966" s="5" t="n"/>
      <c r="J966" s="3" t="n"/>
    </row>
    <row r="967" ht="327.75" customHeight="1" s="18">
      <c r="A967" s="5" t="inlineStr">
        <is>
          <t>S2-0961</t>
        </is>
      </c>
      <c r="B967" s="5" t="inlineStr">
        <is>
          <t>B-i</t>
        </is>
      </c>
      <c r="C967" s="3" t="inlineStr">
        <is>
          <t>Qi, W.; Pan, J.; Lyu, H.; Luo, J.</t>
        </is>
      </c>
      <c r="D967" s="6" t="n">
        <v>2024</v>
      </c>
      <c r="E967" s="3" t="inlineStr">
        <is>
          <t>Excitements and concerns in the post-ChatGPT era: Deciphering public perception of AI through social media analysis</t>
        </is>
      </c>
      <c r="F967" s="3" t="inlineStr">
        <is>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is>
      </c>
      <c r="G967" s="5" t="inlineStr">
        <is>
          <t>Journal article</t>
        </is>
      </c>
      <c r="H967" s="5" t="inlineStr">
        <is>
          <t>10.1016/j.tele.2024.102158</t>
        </is>
      </c>
      <c r="I967" s="5" t="n"/>
      <c r="J967" s="3" t="n"/>
    </row>
    <row r="968" ht="242.25" customHeight="1" s="18">
      <c r="A968" s="5" t="inlineStr">
        <is>
          <t>S2-0962</t>
        </is>
      </c>
      <c r="B968" s="5" t="inlineStr">
        <is>
          <t>B-i</t>
        </is>
      </c>
      <c r="C968" s="3" t="inlineStr">
        <is>
          <t>Moin, M.B.; Debnath, P.; Rifa, U.A.; Anis, R.B.</t>
        </is>
      </c>
      <c r="D968" s="6" t="n">
        <v>2025</v>
      </c>
      <c r="E968" s="3" t="inlineStr">
        <is>
          <t>Assessing the Level of Toxicity Against Distinct Groups in Bangla Social Media Comments: A Comprehensive Investigation</t>
        </is>
      </c>
      <c r="F968" s="3" t="inlineStr">
        <is>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is>
      </c>
      <c r="G968" s="5" t="inlineStr">
        <is>
          <t>Conference paper</t>
        </is>
      </c>
      <c r="H968" s="5" t="inlineStr">
        <is>
          <t>10.1007/978-981-96-1758-6_46</t>
        </is>
      </c>
      <c r="I968" s="5" t="n"/>
      <c r="J968" s="3" t="n"/>
    </row>
    <row r="969" ht="299.25" customHeight="1" s="18">
      <c r="A969" s="5" t="inlineStr">
        <is>
          <t>S2-0963</t>
        </is>
      </c>
      <c r="B969" s="5" t="inlineStr">
        <is>
          <t>B-i</t>
        </is>
      </c>
      <c r="C969" s="3" t="inlineStr">
        <is>
          <t>Rachman, B.</t>
        </is>
      </c>
      <c r="D969" s="6" t="n">
        <v>2025</v>
      </c>
      <c r="E969" s="3" t="inlineStr">
        <is>
          <t>Benchmarking Lightweight Transformers and Small Language Models for Climate Change Sentiment Analysis</t>
        </is>
      </c>
      <c r="F969" s="3" t="inlineStr">
        <is>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is>
      </c>
      <c r="G969" s="5" t="inlineStr">
        <is>
          <t>Conference paper</t>
        </is>
      </c>
      <c r="H969" s="5" t="inlineStr">
        <is>
          <t>10.1109/icitisee68184.2025.11355013</t>
        </is>
      </c>
      <c r="I969" s="5" t="n"/>
      <c r="J969" s="3" t="n"/>
    </row>
    <row r="970" ht="342" customHeight="1" s="18">
      <c r="A970" s="5" t="inlineStr">
        <is>
          <t>S2-0964</t>
        </is>
      </c>
      <c r="B970" s="5" t="inlineStr">
        <is>
          <t>B-i</t>
        </is>
      </c>
      <c r="C970" s="3" t="inlineStr">
        <is>
          <t>Struß, J.M.; Ruggeri, F.; Barrón-Cedeno, A.; Alam, F.; Dimitrov, D.; Galassi, A.; Pachov, G.; Koychev, I.; Nakov, P.; Siegel, M.; Wiegand, M.; Hasanain, M.; Suwaileh, R.; Zaghouani, W.</t>
        </is>
      </c>
      <c r="D970" s="6" t="n">
        <v>2024</v>
      </c>
      <c r="E970" s="3" t="inlineStr">
        <is>
          <t>Overview of the CLEF-2024 CheckThat! Lab Task 2 on Subjectivity in News Articles</t>
        </is>
      </c>
      <c r="F970" s="3" t="inlineStr">
        <is>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is>
      </c>
      <c r="G970" s="5" t="inlineStr">
        <is>
          <t>Conference paper</t>
        </is>
      </c>
      <c r="H970" s="5" t="n"/>
      <c r="I970" s="5" t="n"/>
      <c r="J970" s="3" t="n"/>
    </row>
    <row r="971" ht="299.25" customHeight="1" s="18">
      <c r="A971" s="5" t="inlineStr">
        <is>
          <t>S2-0965</t>
        </is>
      </c>
      <c r="B971" s="5" t="inlineStr">
        <is>
          <t>B-i</t>
        </is>
      </c>
      <c r="C971" s="3" t="inlineStr">
        <is>
          <t>Upadhyaya, A.; Nejdl, W.; Fisichella, M.</t>
        </is>
      </c>
      <c r="D971" s="6" t="n">
        <v>2024</v>
      </c>
      <c r="E971" s="3" t="inlineStr">
        <is>
          <t>Harnessing Empathy and Ethics for Relevance Detection and Information Categorization in Climate and COVID-19 Tweets</t>
        </is>
      </c>
      <c r="F971" s="3" t="inlineStr">
        <is>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is>
      </c>
      <c r="G971" s="5" t="inlineStr">
        <is>
          <t>Conference paper</t>
        </is>
      </c>
      <c r="H971" s="5" t="inlineStr">
        <is>
          <t>10.1145/3627673.3679937</t>
        </is>
      </c>
      <c r="I971" s="5" t="n"/>
      <c r="J971" s="3" t="n"/>
    </row>
    <row r="972" ht="285" customHeight="1" s="18">
      <c r="A972" s="5" t="inlineStr">
        <is>
          <t>S2-0966</t>
        </is>
      </c>
      <c r="B972" s="5" t="inlineStr">
        <is>
          <t>B-i</t>
        </is>
      </c>
      <c r="C972" s="3" t="inlineStr">
        <is>
          <t>Dhiman, P.; Kaur, A.; Gupta, D.; Juneja, S.; Nauman, A.; Muhammad, G.</t>
        </is>
      </c>
      <c r="D972" s="6" t="n">
        <v>2024</v>
      </c>
      <c r="E972" s="3" t="inlineStr">
        <is>
          <t>GBERT: A hybrid deep learning model based on GPT-BERT for fake news detection</t>
        </is>
      </c>
      <c r="F972" s="3" t="inlineStr">
        <is>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is>
      </c>
      <c r="G972" s="5" t="inlineStr">
        <is>
          <t>Journal article</t>
        </is>
      </c>
      <c r="H972" s="5" t="inlineStr">
        <is>
          <t>10.1016/j.heliyon.2024.e35865</t>
        </is>
      </c>
      <c r="I972" s="5" t="n"/>
      <c r="J972" s="3" t="n"/>
    </row>
    <row r="973" ht="256.5" customHeight="1" s="18">
      <c r="A973" s="5" t="inlineStr">
        <is>
          <t>S2-0967</t>
        </is>
      </c>
      <c r="B973" s="5" t="inlineStr">
        <is>
          <t>B-i</t>
        </is>
      </c>
      <c r="C973" s="3" t="inlineStr">
        <is>
          <t>Zhang, R.; Tian, Y.; Wei, P.; Zeng, D.; Mao, W.</t>
        </is>
      </c>
      <c r="D973" s="6" t="n">
        <v>2024</v>
      </c>
      <c r="E973" s="3" t="inlineStr">
        <is>
          <t>An LLM-Enabled Knowledge Elicitation and Retrieval Framework for Zero-Shot Cross-Lingual Stance Identification</t>
        </is>
      </c>
      <c r="F973" s="3" t="inlineStr">
        <is>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is>
      </c>
      <c r="G973" s="5" t="inlineStr">
        <is>
          <t>Conference paper</t>
        </is>
      </c>
      <c r="H973" s="5" t="inlineStr">
        <is>
          <t>10.18653/v1/2024.findings-emnlp.714</t>
        </is>
      </c>
      <c r="I973" s="5" t="n"/>
      <c r="J973" s="3" t="n"/>
    </row>
    <row r="974" ht="242.25" customHeight="1" s="18">
      <c r="A974" s="5" t="inlineStr">
        <is>
          <t>S2-0968</t>
        </is>
      </c>
      <c r="B974" s="5" t="inlineStr">
        <is>
          <t>B-i</t>
        </is>
      </c>
      <c r="C974" s="3" t="inlineStr">
        <is>
          <t>Abdelgaber, N.; Jahan, L.; Doshi, A.V.; Suri, R.; Pavel, H.R.; Zhang, J.</t>
        </is>
      </c>
      <c r="D974" s="6" t="n">
        <v>2025</v>
      </c>
      <c r="E974" s="3" t="inlineStr">
        <is>
          <t>Bridging the Socioeconomic Gap in Education: A Hybrid AI and Human Annotation Approach</t>
        </is>
      </c>
      <c r="F974" s="3" t="inlineStr">
        <is>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is>
      </c>
      <c r="G974" s="5" t="inlineStr">
        <is>
          <t>Conference paper</t>
        </is>
      </c>
      <c r="H974" s="5" t="inlineStr">
        <is>
          <t>10.18653/v1/2025.conll-1.23</t>
        </is>
      </c>
      <c r="I974" s="5" t="n"/>
      <c r="J974" s="3" t="n"/>
    </row>
    <row r="975" ht="270.75" customHeight="1" s="18">
      <c r="A975" s="5" t="inlineStr">
        <is>
          <t>S2-0969</t>
        </is>
      </c>
      <c r="B975" s="5" t="inlineStr">
        <is>
          <t>B-i</t>
        </is>
      </c>
      <c r="C975" s="3" t="inlineStr">
        <is>
          <t>Li, Y.; Garg, K.; Caragea, C.</t>
        </is>
      </c>
      <c r="D975" s="6" t="n">
        <v>2023</v>
      </c>
      <c r="E975" s="3" t="inlineStr">
        <is>
          <t>A New Direction in Stance Detection: Target-Stance Extraction in the Wild</t>
        </is>
      </c>
      <c r="F975" s="3" t="inlineStr">
        <is>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is>
      </c>
      <c r="G975" s="5" t="inlineStr">
        <is>
          <t>Conference paper</t>
        </is>
      </c>
      <c r="H975" s="5" t="inlineStr">
        <is>
          <t>10.18653/v1/2023.acl-long.560</t>
        </is>
      </c>
      <c r="I975" s="5" t="n"/>
      <c r="J975" s="3" t="n"/>
    </row>
    <row r="976" ht="285" customHeight="1" s="18">
      <c r="A976" s="5" t="inlineStr">
        <is>
          <t>S2-0970</t>
        </is>
      </c>
      <c r="B976" s="5" t="inlineStr">
        <is>
          <t>B-i</t>
        </is>
      </c>
      <c r="C976" s="3" t="inlineStr">
        <is>
          <t>Zhang, D.; Hu, R.; Tao, D.; Feng, H.; Rundensteiner, E.</t>
        </is>
      </c>
      <c r="D976" s="6" t="n">
        <v>2024</v>
      </c>
      <c r="E976" s="3" t="inlineStr">
        <is>
          <t>LLM-based Hierarchical Label Annotation for Foodborne Illness Detection on Social Media</t>
        </is>
      </c>
      <c r="F976" s="3" t="inlineStr">
        <is>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is>
      </c>
      <c r="G976" s="5" t="inlineStr">
        <is>
          <t>Conference paper</t>
        </is>
      </c>
      <c r="H976" s="5" t="inlineStr">
        <is>
          <t>10.1109/bigdata62323.2024.10825369</t>
        </is>
      </c>
      <c r="I976" s="5" t="n"/>
      <c r="J976" s="3" t="n"/>
    </row>
    <row r="977" ht="199.5" customHeight="1" s="18">
      <c r="A977" s="5" t="inlineStr">
        <is>
          <t>S2-0971</t>
        </is>
      </c>
      <c r="B977" s="5" t="inlineStr">
        <is>
          <t>B-i</t>
        </is>
      </c>
      <c r="C977" s="3" t="inlineStr">
        <is>
          <t>Pihulski, D.; Kocoń, J.</t>
        </is>
      </c>
      <c r="D977" s="6" t="n">
        <v>2025</v>
      </c>
      <c r="E977" s="3" t="inlineStr">
        <is>
          <t>Language, Culture, and Ideology: Personalizing Offensiveness Detection in Political Tweets with Reasoning LLMs</t>
        </is>
      </c>
      <c r="F977" s="3" t="inlineStr">
        <is>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is>
      </c>
      <c r="G977" s="5" t="inlineStr">
        <is>
          <t>Conference paper</t>
        </is>
      </c>
      <c r="H977" s="5" t="inlineStr">
        <is>
          <t>10.1109/icdmw69685.2025.00261</t>
        </is>
      </c>
      <c r="I977" s="5" t="n"/>
      <c r="J977" s="3" t="n"/>
    </row>
    <row r="978" ht="228" customHeight="1" s="18">
      <c r="A978" s="5" t="inlineStr">
        <is>
          <t>S2-0972</t>
        </is>
      </c>
      <c r="B978" s="5" t="inlineStr">
        <is>
          <t>B-i</t>
        </is>
      </c>
      <c r="C978" s="3" t="inlineStr">
        <is>
          <t>Mozes, M.; Hoffmann, J.; Tomanek, K.; Kouate, M.; Thain, N.; Yuan, A.; Bolukbasi, T.; Dixon, L.</t>
        </is>
      </c>
      <c r="D978" s="6" t="n">
        <v>2023</v>
      </c>
      <c r="E978" s="3" t="inlineStr">
        <is>
          <t>Towards Agile Text Classifiers for Everyone</t>
        </is>
      </c>
      <c r="F978" s="3" t="inlineStr">
        <is>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is>
      </c>
      <c r="G978" s="5" t="inlineStr">
        <is>
          <t>Conference paper</t>
        </is>
      </c>
      <c r="H978" s="5" t="inlineStr">
        <is>
          <t>10.18653/v1/2023.findings-emnlp.30</t>
        </is>
      </c>
      <c r="I978" s="5" t="n"/>
      <c r="J978" s="3" t="n"/>
    </row>
    <row r="979" ht="242.25" customHeight="1" s="18">
      <c r="A979" s="5" t="inlineStr">
        <is>
          <t>S2-0973</t>
        </is>
      </c>
      <c r="B979" s="5" t="inlineStr">
        <is>
          <t>B-i</t>
        </is>
      </c>
      <c r="C979" s="3" t="inlineStr">
        <is>
          <t>Muliawati, T.H.; Humaira, F.M.; Asmara, R.; Fariza, A.</t>
        </is>
      </c>
      <c r="D979" s="6" t="n">
        <v>2025</v>
      </c>
      <c r="E979" s="3" t="inlineStr">
        <is>
          <t>Merchant Review Analysis in Food Delivery Apps: LSTM-Based Sentiment and Dual-Model Topic Classification with LLM and Logistic Regression</t>
        </is>
      </c>
      <c r="F979" s="3" t="inlineStr">
        <is>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is>
      </c>
      <c r="G979" s="5" t="inlineStr">
        <is>
          <t>Conference paper</t>
        </is>
      </c>
      <c r="H979" s="5" t="inlineStr">
        <is>
          <t>10.1109/ies67184.2025.11160887</t>
        </is>
      </c>
      <c r="I979" s="5" t="n"/>
      <c r="J979" s="3" t="n"/>
    </row>
    <row r="980" ht="213.75" customHeight="1" s="18">
      <c r="A980" s="5" t="inlineStr">
        <is>
          <t>S2-0974</t>
        </is>
      </c>
      <c r="B980" s="5" t="inlineStr">
        <is>
          <t>B-i</t>
        </is>
      </c>
      <c r="C980" s="3" t="inlineStr">
        <is>
          <t>Mohamed, M.; Emad, R.; Hamdi, A.</t>
        </is>
      </c>
      <c r="D980" s="6" t="n">
        <v>2025</v>
      </c>
      <c r="E980" s="3" t="inlineStr">
        <is>
          <t>A Multi-layered Large Language Model Framework for Disease Prediction</t>
        </is>
      </c>
      <c r="F980" s="3" t="inlineStr">
        <is>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is>
      </c>
      <c r="G980" s="5" t="inlineStr">
        <is>
          <t>Conference paper</t>
        </is>
      </c>
      <c r="H980" s="5" t="inlineStr">
        <is>
          <t>10.1007/978-981-96-6441-2_23</t>
        </is>
      </c>
      <c r="I980" s="5" t="n"/>
      <c r="J980" s="3" t="n"/>
    </row>
    <row r="981" ht="285" customHeight="1" s="18">
      <c r="A981" s="5" t="inlineStr">
        <is>
          <t>S2-0975</t>
        </is>
      </c>
      <c r="B981" s="5" t="inlineStr">
        <is>
          <t>B-i</t>
        </is>
      </c>
      <c r="C981" s="3" t="inlineStr">
        <is>
          <t>Singh, A.; Verma, A.; Jain, R.; Saha, S.</t>
        </is>
      </c>
      <c r="D981" s="6" t="n">
        <v>2023</v>
      </c>
      <c r="E981" s="3" t="inlineStr">
        <is>
          <t>Investigating the Impact of Multimodality and External Knowledge in Aspect-level Complaint and Sentiment Analysis</t>
        </is>
      </c>
      <c r="F981" s="3" t="inlineStr">
        <is>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is>
      </c>
      <c r="G981" s="5" t="inlineStr">
        <is>
          <t>Conference paper</t>
        </is>
      </c>
      <c r="H981" s="5" t="inlineStr">
        <is>
          <t>10.1145/3583780.3614937</t>
        </is>
      </c>
      <c r="I981" s="5" t="n"/>
      <c r="J981" s="3" t="n"/>
    </row>
    <row r="982" ht="256.5" customHeight="1" s="18">
      <c r="A982" s="5" t="inlineStr">
        <is>
          <t>S2-0976</t>
        </is>
      </c>
      <c r="B982" s="5" t="inlineStr">
        <is>
          <t>B-i</t>
        </is>
      </c>
      <c r="C982" s="3" t="inlineStr">
        <is>
          <t>Ding, Y.; Lei, Y.; Wang, A.; Liu, X.; Zhu, T.; Li, Y.</t>
        </is>
      </c>
      <c r="D982" s="6" t="n">
        <v>2025</v>
      </c>
      <c r="E982" s="3" t="inlineStr">
        <is>
          <t>Adversarial contrastive representation training with external knowledge injection for zero-shot stance detection</t>
        </is>
      </c>
      <c r="F982" s="3" t="inlineStr">
        <is>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is>
      </c>
      <c r="G982" s="5" t="inlineStr">
        <is>
          <t>Journal article</t>
        </is>
      </c>
      <c r="H982" s="5" t="inlineStr">
        <is>
          <t>10.1016/j.neucom.2024.128849</t>
        </is>
      </c>
      <c r="I982" s="5" t="n"/>
      <c r="J982" s="3" t="n"/>
    </row>
    <row r="983" ht="199.5" customHeight="1" s="18">
      <c r="A983" s="5" t="inlineStr">
        <is>
          <t>S2-0977</t>
        </is>
      </c>
      <c r="B983" s="5" t="inlineStr">
        <is>
          <t>B-i</t>
        </is>
      </c>
      <c r="C983" s="3" t="inlineStr">
        <is>
          <t>Kaya, A.K.; Ozcelik, O.; Toraman, C.</t>
        </is>
      </c>
      <c r="D983" s="6" t="n">
        <v>2024</v>
      </c>
      <c r="E983" s="3" t="inlineStr">
        <is>
          <t>ARC-NLP at ClimateActivism 2024: Stance and Hate Speech Detection by Generative and Encoder Models Optimized with Tweet-Specific Elements</t>
        </is>
      </c>
      <c r="F983" s="3" t="inlineStr">
        <is>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is>
      </c>
      <c r="G983" s="5" t="inlineStr">
        <is>
          <t>Conference paper</t>
        </is>
      </c>
      <c r="H983" s="5" t="n"/>
      <c r="I983" s="5" t="n"/>
      <c r="J983" s="3" t="n"/>
    </row>
    <row r="984" ht="270.75" customHeight="1" s="18">
      <c r="A984" s="5" t="inlineStr">
        <is>
          <t>S2-0978</t>
        </is>
      </c>
      <c r="B984" s="5" t="inlineStr">
        <is>
          <t>B-i</t>
        </is>
      </c>
      <c r="C984" s="3" t="inlineStr">
        <is>
          <t>Nguyen, T.H.; Rudra, K.</t>
        </is>
      </c>
      <c r="D984" s="6" t="n">
        <v>2024</v>
      </c>
      <c r="E984" s="3" t="inlineStr">
        <is>
          <t>Human vs ChatGPT: Effect of Data Annotation in Interpretable Crisis-Related Microblog Classification</t>
        </is>
      </c>
      <c r="F984" s="3" t="inlineStr">
        <is>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is>
      </c>
      <c r="G984" s="5" t="inlineStr">
        <is>
          <t>Conference paper</t>
        </is>
      </c>
      <c r="H984" s="5" t="inlineStr">
        <is>
          <t>10.1145/3589334.3648141</t>
        </is>
      </c>
      <c r="I984" s="5" t="n"/>
      <c r="J984" s="3" t="n"/>
    </row>
    <row r="985" ht="299.25" customHeight="1" s="18">
      <c r="A985" s="5" t="inlineStr">
        <is>
          <t>S2-0979</t>
        </is>
      </c>
      <c r="B985" s="5" t="inlineStr">
        <is>
          <t>B-i</t>
        </is>
      </c>
      <c r="C985" s="3" t="inlineStr">
        <is>
          <t>Molero, J.M.; Perez-Martin, J.; Rodrigo, A.; Penas, A.</t>
        </is>
      </c>
      <c r="D985" s="6" t="n">
        <v>2023</v>
      </c>
      <c r="E985" s="3" t="inlineStr">
        <is>
          <t>Offensive Language Detection in Spanish Social Media: Testing from Bag-of-Words to Transformers Models</t>
        </is>
      </c>
      <c r="F985" s="3" t="inlineStr">
        <is>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is>
      </c>
      <c r="G985" s="5" t="inlineStr">
        <is>
          <t>Journal article</t>
        </is>
      </c>
      <c r="H985" s="5" t="inlineStr">
        <is>
          <t>10.1109/access.2023.3310244</t>
        </is>
      </c>
      <c r="I985" s="5" t="n"/>
      <c r="J985" s="3" t="n"/>
    </row>
    <row r="986" ht="256.5" customHeight="1" s="18">
      <c r="A986" s="5" t="inlineStr">
        <is>
          <t>S2-0980</t>
        </is>
      </c>
      <c r="B986" s="5" t="inlineStr">
        <is>
          <t>B-i</t>
        </is>
      </c>
      <c r="C986" s="3" t="inlineStr">
        <is>
          <t>Wu, H.; Yang, D.; Liu, P.; Li, X.</t>
        </is>
      </c>
      <c r="D986" s="6" t="n">
        <v>2025</v>
      </c>
      <c r="E986" s="3" t="inlineStr">
        <is>
          <t>Chain of Thought Guided Few-Shot Fine-Tuning of LLMs for Multimodal Aspect-Based Sentiment Classification</t>
        </is>
      </c>
      <c r="F986" s="3" t="inlineStr">
        <is>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is>
      </c>
      <c r="G986" s="5" t="inlineStr">
        <is>
          <t>Conference paper</t>
        </is>
      </c>
      <c r="H986" s="5" t="inlineStr">
        <is>
          <t>10.1007/978-981-96-2054-8_14</t>
        </is>
      </c>
      <c r="I986" s="5" t="n"/>
      <c r="J986" s="3" t="n"/>
    </row>
    <row r="987" ht="409.5" customHeight="1" s="18">
      <c r="A987" s="5" t="inlineStr">
        <is>
          <t>S2-0981</t>
        </is>
      </c>
      <c r="B987" s="5" t="inlineStr">
        <is>
          <t>B-i</t>
        </is>
      </c>
      <c r="C987" s="3" t="inlineStr">
        <is>
          <t>Ye, C.; Shi, X.</t>
        </is>
      </c>
      <c r="D987" s="6" t="n">
        <v>2024</v>
      </c>
      <c r="E987" s="3" t="inlineStr">
        <is>
          <t>Optimizing News Topic Classification with Instructional Fine-Tuning of Chatglm3</t>
        </is>
      </c>
      <c r="F987" s="3" t="inlineStr">
        <is>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is>
      </c>
      <c r="G987" s="5" t="inlineStr">
        <is>
          <t>Conference paper</t>
        </is>
      </c>
      <c r="H987" s="5" t="inlineStr">
        <is>
          <t>10.1145/3672758.3672851</t>
        </is>
      </c>
      <c r="I987" s="5" t="n"/>
      <c r="J987" s="3" t="n"/>
    </row>
    <row r="988" ht="356.25" customHeight="1" s="18">
      <c r="A988" s="5" t="inlineStr">
        <is>
          <t>S2-0982</t>
        </is>
      </c>
      <c r="B988" s="5" t="inlineStr">
        <is>
          <t>B-i</t>
        </is>
      </c>
      <c r="C988" s="3" t="inlineStr">
        <is>
          <t>Kim, N.; Mosallanezhad, D.; Cheng, L.; Mancenido, M.V.; Liu, H.</t>
        </is>
      </c>
      <c r="D988" s="6" t="n">
        <v>2025</v>
      </c>
      <c r="E988" s="3" t="inlineStr">
        <is>
          <t>Robust Stance Detection: Understanding Public Perceptions in Social Media</t>
        </is>
      </c>
      <c r="F988" s="3" t="inlineStr">
        <is>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is>
      </c>
      <c r="G988" s="5" t="inlineStr">
        <is>
          <t>Conference paper</t>
        </is>
      </c>
      <c r="H988" s="5" t="inlineStr">
        <is>
          <t>10.1007/978-3-031-78538-2_2</t>
        </is>
      </c>
      <c r="I988" s="5" t="n"/>
      <c r="J988" s="3" t="n"/>
    </row>
    <row r="989" ht="356.25" customHeight="1" s="18">
      <c r="A989" s="5" t="inlineStr">
        <is>
          <t>S2-0983</t>
        </is>
      </c>
      <c r="B989" s="5" t="inlineStr">
        <is>
          <t>B-i</t>
        </is>
      </c>
      <c r="C989" s="3" t="inlineStr">
        <is>
          <t>De Santis, E.; Martino, A.; Ronci, F.; Rizzi, A.</t>
        </is>
      </c>
      <c r="D989" s="6" t="n">
        <v>2025</v>
      </c>
      <c r="E989" s="3" t="inlineStr">
        <is>
          <t>From Bag-of-Words to Transformers: A Comparative Study for Text Classification in Healthcare Discussions in Social Media</t>
        </is>
      </c>
      <c r="F989" s="3" t="inlineStr">
        <is>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is>
      </c>
      <c r="G989" s="5" t="inlineStr">
        <is>
          <t>Journal article</t>
        </is>
      </c>
      <c r="H989" s="5" t="inlineStr">
        <is>
          <t>10.1109/tetci.2024.3423444</t>
        </is>
      </c>
      <c r="I989" s="5" t="n"/>
      <c r="J989" s="3" t="n"/>
    </row>
    <row r="990" ht="270.75" customHeight="1" s="18">
      <c r="A990" s="5" t="inlineStr">
        <is>
          <t>S2-0984</t>
        </is>
      </c>
      <c r="B990" s="5" t="inlineStr">
        <is>
          <t>B-i</t>
        </is>
      </c>
      <c r="C990" s="3" t="inlineStr">
        <is>
          <t>Joshy, A.A.; James, S.</t>
        </is>
      </c>
      <c r="D990" s="6" t="n">
        <v>2025</v>
      </c>
      <c r="E990" s="3" t="inlineStr">
        <is>
          <t>Sentiment Analysis of Malayalam-English Code-Mixed Data Using GPT-Based Augmentation</t>
        </is>
      </c>
      <c r="F990" s="3" t="inlineStr">
        <is>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is>
      </c>
      <c r="G990" s="5" t="inlineStr">
        <is>
          <t>Conference paper</t>
        </is>
      </c>
      <c r="H990" s="5" t="inlineStr">
        <is>
          <t>10.1109/conecct65861.2025.11306433</t>
        </is>
      </c>
      <c r="I990" s="5" t="n"/>
      <c r="J990" s="3" t="n"/>
    </row>
    <row r="991" ht="256.5" customHeight="1" s="18">
      <c r="A991" s="5" t="inlineStr">
        <is>
          <t>S2-0985</t>
        </is>
      </c>
      <c r="B991" s="5" t="inlineStr">
        <is>
          <t>B-i</t>
        </is>
      </c>
      <c r="C991" s="3" t="inlineStr">
        <is>
          <t>Etori, N.A.; Gini, M.L.</t>
        </is>
      </c>
      <c r="D991" s="6" t="n">
        <v>2024</v>
      </c>
      <c r="E991" s="3" t="inlineStr">
        <is>
          <t>RideKE: Leveraging Low-Resource, User-Generated Twitter Content for Sentiment and Emotion Detection in Kenyaǹ Code-Switched Dataset</t>
        </is>
      </c>
      <c r="F991" s="3" t="inlineStr">
        <is>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is>
      </c>
      <c r="G991" s="5" t="inlineStr">
        <is>
          <t>Conference paper</t>
        </is>
      </c>
      <c r="H991" s="5" t="n"/>
      <c r="I991" s="5" t="n"/>
      <c r="J991" s="3" t="n"/>
    </row>
    <row r="992" ht="228" customHeight="1" s="18">
      <c r="A992" s="5" t="inlineStr">
        <is>
          <t>S2-0986</t>
        </is>
      </c>
      <c r="B992" s="5" t="inlineStr">
        <is>
          <t>B-i</t>
        </is>
      </c>
      <c r="C992" s="3" t="inlineStr">
        <is>
          <t>Qinyu Zhu, C.; Stureborg, R.; Dhingra, B.</t>
        </is>
      </c>
      <c r="D992" s="6" t="n">
        <v>2024</v>
      </c>
      <c r="E992" s="3" t="inlineStr">
        <is>
          <t>Hierarchical Multi-label Classification of Online Vaccine Concerns</t>
        </is>
      </c>
      <c r="F992" s="3" t="inlineStr">
        <is>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is>
      </c>
      <c r="G992" s="5" t="inlineStr">
        <is>
          <t>Conference paper</t>
        </is>
      </c>
      <c r="H992" s="5" t="inlineStr">
        <is>
          <t>10.1007/978-3-031-63592-2_19</t>
        </is>
      </c>
      <c r="I992" s="5" t="n"/>
      <c r="J992" s="3" t="n"/>
    </row>
    <row r="993" ht="199.5" customHeight="1" s="18">
      <c r="A993" s="5" t="inlineStr">
        <is>
          <t>S2-0987</t>
        </is>
      </c>
      <c r="B993" s="5" t="inlineStr">
        <is>
          <t>B-i</t>
        </is>
      </c>
      <c r="C993" s="3" t="inlineStr">
        <is>
          <t>Phadte, A.; Dhore, M.L.</t>
        </is>
      </c>
      <c r="D993" s="6" t="n">
        <v>2025</v>
      </c>
      <c r="E993" s="3" t="inlineStr">
        <is>
          <t>Sentiment Analysis of English-Marathi-Konkani Code-Mixed Social Media Text: A Multilingual Approach</t>
        </is>
      </c>
      <c r="F993" s="3" t="inlineStr">
        <is>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is>
      </c>
      <c r="G993" s="5" t="inlineStr">
        <is>
          <t>Conference paper</t>
        </is>
      </c>
      <c r="H993" s="5" t="inlineStr">
        <is>
          <t>10.1109/icoct64433.2025.11118344</t>
        </is>
      </c>
      <c r="I993" s="5" t="n"/>
      <c r="J993" s="3" t="n"/>
    </row>
    <row r="994" ht="213.75" customHeight="1" s="18">
      <c r="A994" s="5" t="inlineStr">
        <is>
          <t>S2-0988</t>
        </is>
      </c>
      <c r="B994" s="5" t="inlineStr">
        <is>
          <t>B-i</t>
        </is>
      </c>
      <c r="C994" s="3" t="inlineStr">
        <is>
          <t>Ruan, K.; Wang, X.; Di, X.</t>
        </is>
      </c>
      <c r="D994" s="6" t="n">
        <v>2024</v>
      </c>
      <c r="E994" s="3" t="inlineStr">
        <is>
          <t>From Twitter to Reasoner: Understand Mobility Travel Modes and Sentiment Using Large Language Models</t>
        </is>
      </c>
      <c r="F994" s="3" t="inlineStr">
        <is>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is>
      </c>
      <c r="G994" s="5" t="inlineStr">
        <is>
          <t>Conference paper</t>
        </is>
      </c>
      <c r="H994" s="5" t="inlineStr">
        <is>
          <t>10.1109/itsc58415.2024.10919612</t>
        </is>
      </c>
      <c r="I994" s="5" t="n"/>
      <c r="J994" s="3" t="n"/>
    </row>
    <row r="995" ht="342" customHeight="1" s="18">
      <c r="A995" s="5" t="inlineStr">
        <is>
          <t>S2-0989</t>
        </is>
      </c>
      <c r="B995" s="5" t="inlineStr">
        <is>
          <t>B-i</t>
        </is>
      </c>
      <c r="C995" s="3" t="inlineStr">
        <is>
          <t>Huang, L.; Tian, Y.; Duan, J.; Zhang, M.; Li, N.; Sheng, R.; Wang, Z.; Liu, Y.; Liao, Y.</t>
        </is>
      </c>
      <c r="D995" s="6" t="n">
        <v>2025</v>
      </c>
      <c r="E995" s="3" t="inlineStr">
        <is>
          <t>Negative Sentiment Analysis on Chinese Social Media with LLMs</t>
        </is>
      </c>
      <c r="F995" s="3" t="inlineStr">
        <is>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is>
      </c>
      <c r="G995" s="5" t="inlineStr">
        <is>
          <t>Conference paper</t>
        </is>
      </c>
      <c r="H995" s="5" t="inlineStr">
        <is>
          <t>10.1007/978-981-96-4245-8_19</t>
        </is>
      </c>
      <c r="I995" s="5" t="n"/>
      <c r="J995" s="3" t="n"/>
    </row>
    <row r="996" ht="156.75" customHeight="1" s="18">
      <c r="A996" s="5" t="inlineStr">
        <is>
          <t>S2-0990</t>
        </is>
      </c>
      <c r="B996" s="5" t="inlineStr">
        <is>
          <t>B-i</t>
        </is>
      </c>
      <c r="C996" s="3" t="inlineStr">
        <is>
          <t>Jin, Y.</t>
        </is>
      </c>
      <c r="D996" s="6" t="n">
        <v>2025</v>
      </c>
      <c r="E996" s="3" t="inlineStr">
        <is>
          <t>Evaluating TF-IDF and Word2Vec in Multilingual Sentiment Analysis: A Controlled Empirical Approach</t>
        </is>
      </c>
      <c r="F996" s="3" t="inlineStr">
        <is>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is>
      </c>
      <c r="G996" s="5" t="inlineStr">
        <is>
          <t>Conference paper</t>
        </is>
      </c>
      <c r="H996" s="5" t="inlineStr">
        <is>
          <t>10.1109/iaecst68792.2025.11414823</t>
        </is>
      </c>
      <c r="I996" s="5" t="n"/>
      <c r="J996" s="3" t="n"/>
    </row>
    <row r="997" ht="313.5" customHeight="1" s="18">
      <c r="A997" s="5" t="inlineStr">
        <is>
          <t>S2-0991</t>
        </is>
      </c>
      <c r="B997" s="5" t="inlineStr">
        <is>
          <t>B-i</t>
        </is>
      </c>
      <c r="C997" s="3" t="inlineStr">
        <is>
          <t>Nguyen, V.; Pham, C.</t>
        </is>
      </c>
      <c r="D997" s="6" t="n">
        <v>2024</v>
      </c>
      <c r="E997" s="3" t="inlineStr">
        <is>
          <t>Leveraging Large Language Models for Suicide Detection on Social Media with Limited Labels</t>
        </is>
      </c>
      <c r="F997" s="3" t="inlineStr">
        <is>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is>
      </c>
      <c r="G997" s="5" t="inlineStr">
        <is>
          <t>Conference paper</t>
        </is>
      </c>
      <c r="H997" s="5" t="inlineStr">
        <is>
          <t>10.1109/bigdata62323.2024.10825313</t>
        </is>
      </c>
      <c r="I997" s="5" t="n"/>
      <c r="J997" s="3" t="n"/>
    </row>
    <row r="998" ht="327.75" customHeight="1" s="18">
      <c r="A998" s="5" t="inlineStr">
        <is>
          <t>S2-0992</t>
        </is>
      </c>
      <c r="B998" s="5" t="inlineStr">
        <is>
          <t>B-i</t>
        </is>
      </c>
      <c r="C998" s="3" t="inlineStr">
        <is>
          <t>He, L.; Omranian, S.; McRoy, S.; Zheng, K.</t>
        </is>
      </c>
      <c r="D998" s="6" t="n">
        <v>2024</v>
      </c>
      <c r="E998" s="3" t="inlineStr">
        <is>
          <t>Using Large Language Models for sentiment analysis of health-related social media data: empirical evaluation and practical tips</t>
        </is>
      </c>
      <c r="F998" s="3" t="inlineStr">
        <is>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is>
      </c>
      <c r="G998" s="5" t="inlineStr">
        <is>
          <t>Journal article</t>
        </is>
      </c>
      <c r="H998" s="5" t="n"/>
      <c r="I998" s="5" t="n"/>
      <c r="J998" s="3" t="n"/>
    </row>
    <row r="999" ht="256.5" customHeight="1" s="18">
      <c r="A999" s="5" t="inlineStr">
        <is>
          <t>S2-0993</t>
        </is>
      </c>
      <c r="B999" s="5" t="inlineStr">
        <is>
          <t>B-i</t>
        </is>
      </c>
      <c r="C999" s="3" t="inlineStr">
        <is>
          <t>Zhang, B.; Dai, G.; Ma, J.; Lin, H.; Huang, H.</t>
        </is>
      </c>
      <c r="D999" s="6" t="n">
        <v>2025</v>
      </c>
      <c r="E999" s="3" t="inlineStr">
        <is>
          <t>Large Language Model Enhanced Fuzzy Logic Fusion Framework for Stance Detection</t>
        </is>
      </c>
      <c r="F999" s="3" t="inlineStr">
        <is>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is>
      </c>
      <c r="G999" s="5" t="inlineStr">
        <is>
          <t>Conference paper</t>
        </is>
      </c>
      <c r="H999" s="5" t="inlineStr">
        <is>
          <t>10.1007/978-981-96-5084-2_9</t>
        </is>
      </c>
      <c r="I999" s="5" t="n"/>
      <c r="J999" s="3" t="n"/>
    </row>
    <row r="1000" ht="342" customHeight="1" s="18">
      <c r="A1000" s="5" t="inlineStr">
        <is>
          <t>S2-0994</t>
        </is>
      </c>
      <c r="B1000" s="5" t="inlineStr">
        <is>
          <t>B-i</t>
        </is>
      </c>
      <c r="C1000" s="3" t="inlineStr">
        <is>
          <t>Laifa, M.; Mohdeb, D.</t>
        </is>
      </c>
      <c r="D1000" s="6" t="n">
        <v>2023</v>
      </c>
      <c r="E1000" s="3" t="inlineStr">
        <is>
          <t>Sentiment analysis of the Algerian social movement inception</t>
        </is>
      </c>
      <c r="F1000" s="3" t="inlineStr">
        <is>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is>
      </c>
      <c r="G1000" s="5" t="inlineStr">
        <is>
          <t>Journal article</t>
        </is>
      </c>
      <c r="H1000" s="5" t="inlineStr">
        <is>
          <t>10.1108/dta-10-2022-0406</t>
        </is>
      </c>
      <c r="I1000" s="5" t="n"/>
      <c r="J1000" s="3" t="n"/>
    </row>
    <row r="1001" ht="185.25" customHeight="1" s="18">
      <c r="A1001" s="5" t="inlineStr">
        <is>
          <t>S2-0995</t>
        </is>
      </c>
      <c r="B1001" s="5" t="inlineStr">
        <is>
          <t>B-i</t>
        </is>
      </c>
      <c r="C1001" s="3" t="inlineStr">
        <is>
          <t>Julkar Naeen, Md.; Das, S.K.; Khushbu, S.A.; Ramit, S.S.; Alo, A.P.</t>
        </is>
      </c>
      <c r="D1001" s="6" t="n">
        <v>2025</v>
      </c>
      <c r="E1001" s="3" t="inlineStr">
        <is>
          <t>PolyHope-M at RANLP2025 Subtask-1 Binary Hope Speech Detection: Spanish Language Classification Approach with Comprehensive Learning using Transformer, Traditional ML, and DL</t>
        </is>
      </c>
      <c r="F1001" s="3" t="inlineStr">
        <is>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is>
      </c>
      <c r="G1001" s="5" t="inlineStr">
        <is>
          <t>Conference paper</t>
        </is>
      </c>
      <c r="H1001" s="5" t="inlineStr">
        <is>
          <t>10.26615/978-954-452-098-4-090</t>
        </is>
      </c>
      <c r="I1001" s="5" t="n"/>
      <c r="J1001" s="3" t="n"/>
    </row>
    <row r="1002" ht="399" customHeight="1" s="18">
      <c r="A1002" s="5" t="inlineStr">
        <is>
          <t>S2-0996</t>
        </is>
      </c>
      <c r="B1002" s="5" t="inlineStr">
        <is>
          <t>B-i</t>
        </is>
      </c>
      <c r="C1002" s="3" t="inlineStr">
        <is>
          <t>Liu, J.; Ding, P.; Chen, J.</t>
        </is>
      </c>
      <c r="D1002" s="6" t="n">
        <v>2025</v>
      </c>
      <c r="E1002" s="3" t="inlineStr">
        <is>
          <t>DepGLM: Depression degree recognition on social media based on large language models</t>
        </is>
      </c>
      <c r="F1002" s="3" t="inlineStr">
        <is>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is>
      </c>
      <c r="G1002" s="5" t="inlineStr">
        <is>
          <t>Journal article</t>
        </is>
      </c>
      <c r="H1002" s="5" t="inlineStr">
        <is>
          <t>10.1177/20552076251408281</t>
        </is>
      </c>
      <c r="I1002" s="5" t="n"/>
      <c r="J1002" s="3" t="n"/>
    </row>
    <row r="1003" ht="384.75" customHeight="1" s="18">
      <c r="A1003" s="5" t="inlineStr">
        <is>
          <t>S2-0997</t>
        </is>
      </c>
      <c r="B1003" s="5" t="inlineStr">
        <is>
          <t>B-i</t>
        </is>
      </c>
      <c r="C1003" s="3" t="inlineStr">
        <is>
          <t>Ruggeri, F.; Muti, A.; Korre, K.; Struß, J.M.; Siegel, M.; Wiegand, M.; Alam, F.; Biswas, Md.R.; Zaghouani, W.; Nawrocka, M.; Ivasiuk, B.; Razvan, G.; Mihail, A.</t>
        </is>
      </c>
      <c r="D1003" s="6" t="n">
        <v>2025</v>
      </c>
      <c r="E1003" s="3" t="inlineStr">
        <is>
          <t>Overview of the CLEF-2025 CheckThat! Lab Task 1 on Subjectivity in News Articles</t>
        </is>
      </c>
      <c r="F1003" s="3" t="inlineStr">
        <is>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is>
      </c>
      <c r="G1003" s="5" t="inlineStr">
        <is>
          <t>Conference paper</t>
        </is>
      </c>
      <c r="H1003" s="5" t="n"/>
      <c r="I1003" s="5" t="n"/>
      <c r="J1003" s="3" t="n"/>
    </row>
    <row r="1004" ht="285" customHeight="1" s="18">
      <c r="A1004" s="5" t="inlineStr">
        <is>
          <t>S2-0998</t>
        </is>
      </c>
      <c r="B1004" s="5" t="inlineStr">
        <is>
          <t>B-i</t>
        </is>
      </c>
      <c r="C1004" s="3" t="inlineStr">
        <is>
          <t>Dong, L.; Su, Z.; Fu, X.; Zhang, B.; Dai, G.</t>
        </is>
      </c>
      <c r="D1004" s="6" t="n">
        <v>2024</v>
      </c>
      <c r="E1004" s="3" t="inlineStr">
        <is>
          <t>Implicit Stance Detection with Hashtag Semantic Enrichment</t>
        </is>
      </c>
      <c r="F1004" s="3" t="inlineStr">
        <is>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is>
      </c>
      <c r="G1004" s="5" t="inlineStr">
        <is>
          <t>Journal article</t>
        </is>
      </c>
      <c r="H1004" s="5" t="inlineStr">
        <is>
          <t>10.3390/math12111663</t>
        </is>
      </c>
      <c r="I1004" s="5" t="n"/>
      <c r="J1004" s="3" t="n"/>
    </row>
    <row r="1005" ht="228" customHeight="1" s="18">
      <c r="A1005" s="5" t="inlineStr">
        <is>
          <t>S2-0999</t>
        </is>
      </c>
      <c r="B1005" s="5" t="inlineStr">
        <is>
          <t>B-i</t>
        </is>
      </c>
      <c r="C1005" s="3" t="inlineStr">
        <is>
          <t>Prawira, I.</t>
        </is>
      </c>
      <c r="D1005" s="6" t="n">
        <v>2024</v>
      </c>
      <c r="E1005" s="3" t="inlineStr">
        <is>
          <t>Leveraging Zero-Shot Learning in Large Language Models for Sentiment Analysis: A Comparative Study on the Indonesian Language</t>
        </is>
      </c>
      <c r="F1005" s="3" t="inlineStr">
        <is>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is>
      </c>
      <c r="G1005" s="5" t="inlineStr">
        <is>
          <t>Conference paper</t>
        </is>
      </c>
      <c r="H1005" s="5" t="inlineStr">
        <is>
          <t>10.1109/icimcis63449.2024.10956237</t>
        </is>
      </c>
      <c r="I1005" s="5" t="n"/>
      <c r="J1005" s="3" t="n"/>
    </row>
    <row r="1006" ht="156.75" customHeight="1" s="18">
      <c r="A1006" s="5" t="inlineStr">
        <is>
          <t>S2-1000</t>
        </is>
      </c>
      <c r="B1006" s="5" t="inlineStr">
        <is>
          <t>B-i</t>
        </is>
      </c>
      <c r="C1006" s="3" t="inlineStr">
        <is>
          <t>Cao, Y.; Yang, L.; Wei, C.; Wang, H.</t>
        </is>
      </c>
      <c r="D1006" s="6" t="n">
        <v>2023</v>
      </c>
      <c r="E1006" s="3" t="inlineStr">
        <is>
          <t>Financial Text Sentiment Classification Based on Baichuan2 Instruction Finetuning Model</t>
        </is>
      </c>
      <c r="F1006" s="3" t="inlineStr">
        <is>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is>
      </c>
      <c r="G1006" s="5" t="inlineStr">
        <is>
          <t>Conference paper</t>
        </is>
      </c>
      <c r="H1006" s="5" t="inlineStr">
        <is>
          <t>10.1109/icftic59930.2023.10454145</t>
        </is>
      </c>
      <c r="I1006" s="5" t="n"/>
      <c r="J1006" s="3" t="n"/>
    </row>
    <row r="1007" ht="171" customHeight="1" s="18">
      <c r="A1007" s="5" t="inlineStr">
        <is>
          <t>S2-1001</t>
        </is>
      </c>
      <c r="B1007" s="5" t="inlineStr">
        <is>
          <t>B-i</t>
        </is>
      </c>
      <c r="C1007" s="3" t="inlineStr">
        <is>
          <t>Basile, V.; Casola, S.; Frenda, S.; Lo, S.M.</t>
        </is>
      </c>
      <c r="D1007" s="6" t="n">
        <v>2024</v>
      </c>
      <c r="E1007" s="3" t="inlineStr">
        <is>
          <t>PERSEID - Perspectivist Irony Detection: A CALAMITA Challenge</t>
        </is>
      </c>
      <c r="F1007" s="3" t="inlineStr">
        <is>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is>
      </c>
      <c r="G1007" s="5" t="inlineStr">
        <is>
          <t>Conference paper</t>
        </is>
      </c>
      <c r="H1007" s="5" t="n"/>
      <c r="I1007" s="5" t="n"/>
      <c r="J1007" s="3" t="n"/>
    </row>
    <row r="1008" ht="313.5" customHeight="1" s="18">
      <c r="A1008" s="5" t="inlineStr">
        <is>
          <t>S2-1002</t>
        </is>
      </c>
      <c r="B1008" s="5" t="inlineStr">
        <is>
          <t>B-i</t>
        </is>
      </c>
      <c r="C1008" s="3" t="inlineStr">
        <is>
          <t>Shamika, U.B.P.; Kumara, B.T.G.S.; Seneviratna, D.M.K.N.; Rathnayaka, R.M.K.T.</t>
        </is>
      </c>
      <c r="D1008" s="6" t="n">
        <v>2025</v>
      </c>
      <c r="E1008" s="3" t="inlineStr">
        <is>
          <t>Large Language Model-based Multimodal Knowledge Distillation: A Review of Methodologies and Applications</t>
        </is>
      </c>
      <c r="F1008" s="3" t="inlineStr">
        <is>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is>
      </c>
      <c r="G1008" s="5" t="inlineStr">
        <is>
          <t>Conference paper</t>
        </is>
      </c>
      <c r="H1008" s="5" t="inlineStr">
        <is>
          <t>10.1109/slaai-icai68534.2025.11318526</t>
        </is>
      </c>
      <c r="I1008" s="5" t="n"/>
      <c r="J1008" s="3" t="n"/>
    </row>
    <row r="1009" ht="242.25" customHeight="1" s="18">
      <c r="A1009" s="5" t="inlineStr">
        <is>
          <t>S2-1003</t>
        </is>
      </c>
      <c r="B1009" s="5" t="inlineStr">
        <is>
          <t>B-i</t>
        </is>
      </c>
      <c r="C1009" s="3" t="inlineStr">
        <is>
          <t>Arslan, M.; Munawar, S.; Cruz, C.</t>
        </is>
      </c>
      <c r="D1009" s="6" t="n">
        <v>2025</v>
      </c>
      <c r="E1009" s="3" t="inlineStr">
        <is>
          <t>Political-RAG: using generative AI to extract political information from media content</t>
        </is>
      </c>
      <c r="F1009" s="3" t="inlineStr">
        <is>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is>
      </c>
      <c r="G1009" s="5" t="inlineStr">
        <is>
          <t>Journal article</t>
        </is>
      </c>
      <c r="H1009" s="5" t="inlineStr">
        <is>
          <t>10.1080/19331681.2024.2417263</t>
        </is>
      </c>
      <c r="I1009" s="5" t="n"/>
      <c r="J1009" s="3" t="n"/>
    </row>
    <row r="1010" ht="342" customHeight="1" s="18">
      <c r="A1010" s="5" t="inlineStr">
        <is>
          <t>S2-1004</t>
        </is>
      </c>
      <c r="B1010" s="5" t="inlineStr">
        <is>
          <t>B-i</t>
        </is>
      </c>
      <c r="C1010" s="3" t="inlineStr">
        <is>
          <t>Bashaddadh, O.; Omar, N.; Mohd, M.; Khalid, M.N.A.</t>
        </is>
      </c>
      <c r="D1010" s="6" t="n">
        <v>2025</v>
      </c>
      <c r="E1010" s="3" t="inlineStr">
        <is>
          <t>Machine Learning and Deep Learning Approaches for Fake News Detection: A Systematic Review of Techniques, Challenges, and Advancements</t>
        </is>
      </c>
      <c r="F1010" s="3" t="inlineStr">
        <is>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is>
      </c>
      <c r="G1010" s="5" t="inlineStr">
        <is>
          <t>Journal article</t>
        </is>
      </c>
      <c r="H1010" s="5" t="inlineStr">
        <is>
          <t>10.1109/access.2025.3572051</t>
        </is>
      </c>
      <c r="I1010" s="5" t="n"/>
      <c r="J1010" s="3" t="n"/>
    </row>
    <row r="1011" ht="213.75" customHeight="1" s="18">
      <c r="A1011" s="5" t="inlineStr">
        <is>
          <t>S2-1005</t>
        </is>
      </c>
      <c r="B1011" s="5" t="inlineStr">
        <is>
          <t>B-i</t>
        </is>
      </c>
      <c r="C1011" s="3" t="inlineStr">
        <is>
          <t>Kaya, B.; Kanburoglu, A.B.</t>
        </is>
      </c>
      <c r="D1011" s="6" t="n">
        <v>2025</v>
      </c>
      <c r="E1011" s="3" t="inlineStr">
        <is>
          <t>Brand-Level Sentiment Analysis in the Telecom Domain Using Large Language Models</t>
        </is>
      </c>
      <c r="F1011" s="3" t="inlineStr">
        <is>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is>
      </c>
      <c r="G1011" s="5" t="inlineStr">
        <is>
          <t>Conference paper</t>
        </is>
      </c>
      <c r="H1011" s="5" t="inlineStr">
        <is>
          <t>10.1109/icecce67514.2025.11258017</t>
        </is>
      </c>
      <c r="I1011" s="5" t="n"/>
      <c r="J1011" s="3" t="n"/>
    </row>
    <row r="1012" ht="409.5" customHeight="1" s="18">
      <c r="A1012" s="5" t="inlineStr">
        <is>
          <t>S2-1006</t>
        </is>
      </c>
      <c r="B1012" s="5" t="inlineStr">
        <is>
          <t>B-i</t>
        </is>
      </c>
      <c r="C1012" s="3" t="inlineStr">
        <is>
          <t>Guo, Y.; Ovadje, A.; Al-Garadi, M.A.; Sarker, A.</t>
        </is>
      </c>
      <c r="D1012" s="6" t="n">
        <v>2024</v>
      </c>
      <c r="E1012" s="3" t="inlineStr">
        <is>
          <t>Evaluating large language models for health-related text classification tasks with public social media data</t>
        </is>
      </c>
      <c r="F1012" s="3" t="inlineStr">
        <is>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is>
      </c>
      <c r="G1012" s="5" t="inlineStr">
        <is>
          <t>Journal article</t>
        </is>
      </c>
      <c r="H1012" s="5" t="inlineStr">
        <is>
          <t>10.1093/jamia/ocae210</t>
        </is>
      </c>
      <c r="I1012" s="5" t="n"/>
      <c r="J1012" s="3" t="n"/>
    </row>
    <row r="1013" ht="370.5" customHeight="1" s="18">
      <c r="A1013" s="5" t="inlineStr">
        <is>
          <t>S2-1007</t>
        </is>
      </c>
      <c r="B1013" s="5" t="inlineStr">
        <is>
          <t>B-i</t>
        </is>
      </c>
      <c r="C1013" s="3" t="inlineStr">
        <is>
          <t>Eberhard, L.; Popova, K.; Walk, S.; Helic, D.</t>
        </is>
      </c>
      <c r="D1013" s="6" t="n">
        <v>2024</v>
      </c>
      <c r="E1013" s="3" t="inlineStr">
        <is>
          <t>Computing recommendations from free-form text</t>
        </is>
      </c>
      <c r="F1013" s="3" t="inlineStr">
        <is>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is>
      </c>
      <c r="G1013" s="5" t="inlineStr">
        <is>
          <t>Journal article</t>
        </is>
      </c>
      <c r="H1013" s="5" t="inlineStr">
        <is>
          <t>10.1016/j.eswa.2023.121268</t>
        </is>
      </c>
      <c r="I1013" s="5" t="n"/>
      <c r="J1013" s="3" t="n"/>
    </row>
    <row r="1014" ht="270.75" customHeight="1" s="18">
      <c r="A1014" s="5" t="inlineStr">
        <is>
          <t>S2-1008</t>
        </is>
      </c>
      <c r="B1014" s="5" t="inlineStr">
        <is>
          <t>B-i</t>
        </is>
      </c>
      <c r="C1014" s="3" t="inlineStr">
        <is>
          <t>Mawardi, V.C.; Alexander, E.T.; Surjawan, D.J.</t>
        </is>
      </c>
      <c r="D1014" s="6" t="n">
        <v>2025</v>
      </c>
      <c r="E1014" s="3" t="inlineStr">
        <is>
          <t>Fine-Tuning Komodo Model with LoRA for Sentiment Analysis of YouTube Comments</t>
        </is>
      </c>
      <c r="F1014" s="3" t="inlineStr">
        <is>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is>
      </c>
      <c r="G1014" s="5" t="inlineStr">
        <is>
          <t>Conference paper</t>
        </is>
      </c>
      <c r="H1014" s="5" t="inlineStr">
        <is>
          <t>10.1109/iceei68459.2025.11330642</t>
        </is>
      </c>
      <c r="I1014" s="5" t="n"/>
      <c r="J1014" s="3" t="n"/>
    </row>
    <row r="1015" ht="228" customHeight="1" s="18">
      <c r="A1015" s="5" t="inlineStr">
        <is>
          <t>S2-1009</t>
        </is>
      </c>
      <c r="B1015" s="5" t="inlineStr">
        <is>
          <t>B-i</t>
        </is>
      </c>
      <c r="C1015" s="3" t="inlineStr">
        <is>
          <t>Yang, Y.; Kim, J.; Kim, Y.; Ho, N.; Thorne, J.; Yun, S.-Y.</t>
        </is>
      </c>
      <c r="D1015" s="6" t="n">
        <v>2023</v>
      </c>
      <c r="E1015" s="3" t="inlineStr">
        <is>
          <t>HARE: Explainable Hate Speech Detection with Step-by-Step Reasoning Warning: This paper contains examples of content that is offensive and may be upsetting</t>
        </is>
      </c>
      <c r="F1015" s="3" t="inlineStr">
        <is>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is>
      </c>
      <c r="G1015" s="5" t="inlineStr">
        <is>
          <t>Conference paper</t>
        </is>
      </c>
      <c r="H1015" s="5" t="inlineStr">
        <is>
          <t>10.18653/v1/2023.findings-emnlp.365</t>
        </is>
      </c>
      <c r="I1015" s="5" t="n"/>
      <c r="J1015" s="3" t="n"/>
    </row>
    <row r="1016" ht="409.5" customHeight="1" s="18">
      <c r="A1016" s="5" t="inlineStr">
        <is>
          <t>S2-1010</t>
        </is>
      </c>
      <c r="B1016" s="5" t="inlineStr">
        <is>
          <t>B-i</t>
        </is>
      </c>
      <c r="C1016" s="3" t="inlineStr">
        <is>
          <t>Guan, S.; Hui, V.; Stiglic, G.; Constantino, R.E.; Lee, Y.J.; Wong, A.K.C.</t>
        </is>
      </c>
      <c r="D1016" s="6" t="n">
        <v>2025</v>
      </c>
      <c r="E1016" s="3" t="inlineStr">
        <is>
          <t>Classifying the Information Needs of Survivors of Domestic Violence in Online Health Communities Using Large Language Models: Prediction Model Development and Evaluation Study</t>
        </is>
      </c>
      <c r="F1016" s="3" t="inlineStr">
        <is>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is>
      </c>
      <c r="G1016" s="5" t="inlineStr">
        <is>
          <t>Journal article</t>
        </is>
      </c>
      <c r="H1016" s="5" t="inlineStr">
        <is>
          <t>10.2196/65397</t>
        </is>
      </c>
      <c r="I1016" s="5" t="n"/>
      <c r="J1016" s="3" t="n"/>
    </row>
    <row r="1017" ht="327.75" customHeight="1" s="18">
      <c r="A1017" s="5" t="inlineStr">
        <is>
          <t>S2-1011</t>
        </is>
      </c>
      <c r="B1017" s="5" t="inlineStr">
        <is>
          <t>B-i</t>
        </is>
      </c>
      <c r="C1017" s="3" t="inlineStr">
        <is>
          <t>Papageorgiou, E.; Chronis, C.; Varlamis, I.; Himeur, Y.</t>
        </is>
      </c>
      <c r="D1017" s="6" t="n">
        <v>2024</v>
      </c>
      <c r="E1017" s="3" t="inlineStr">
        <is>
          <t>A Survey on the Use of Large Language Models (LLMs) in Fake News</t>
        </is>
      </c>
      <c r="F1017" s="3" t="inlineStr">
        <is>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is>
      </c>
      <c r="G1017" s="5" t="inlineStr">
        <is>
          <t>Journal article</t>
        </is>
      </c>
      <c r="H1017" s="5" t="inlineStr">
        <is>
          <t>10.3390/fi16080298</t>
        </is>
      </c>
      <c r="I1017" s="5" t="n"/>
      <c r="J1017" s="3" t="n"/>
    </row>
    <row r="1018" ht="242.25" customHeight="1" s="18">
      <c r="A1018" s="5" t="inlineStr">
        <is>
          <t>S2-1012</t>
        </is>
      </c>
      <c r="B1018" s="5" t="inlineStr">
        <is>
          <t>B-i</t>
        </is>
      </c>
      <c r="C1018" s="3" t="inlineStr">
        <is>
          <t>Pudasaini, S.; Ghimire, S.; Ale, P.; Shakya, A.; Paudel, P.; Joshi, B.</t>
        </is>
      </c>
      <c r="D1018" s="6" t="n">
        <v>2024</v>
      </c>
      <c r="E1018" s="3" t="inlineStr">
        <is>
          <t>Application of Nepali Large Language Models to Improve Sentiment Analysis</t>
        </is>
      </c>
      <c r="F1018" s="3" t="inlineStr">
        <is>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is>
      </c>
      <c r="G1018" s="5" t="inlineStr">
        <is>
          <t>Conference paper</t>
        </is>
      </c>
      <c r="H1018" s="5" t="inlineStr">
        <is>
          <t>10.1145/3647782.3647804</t>
        </is>
      </c>
      <c r="I1018" s="5" t="n"/>
      <c r="J1018" s="3" t="n"/>
    </row>
    <row r="1019" ht="256.5" customHeight="1" s="18">
      <c r="A1019" s="5" t="inlineStr">
        <is>
          <t>S2-1013</t>
        </is>
      </c>
      <c r="B1019" s="5" t="inlineStr">
        <is>
          <t>B-i</t>
        </is>
      </c>
      <c r="C1019" s="3" t="inlineStr">
        <is>
          <t>Agarwal, K.K.; Tiwari, S.; Jain, V.</t>
        </is>
      </c>
      <c r="D1019" s="6" t="n">
        <v>2025</v>
      </c>
      <c r="E1019" s="3" t="inlineStr">
        <is>
          <t>Comparative Evaluation of Large Language Models for Sentiment Analysis</t>
        </is>
      </c>
      <c r="F1019" s="3" t="inlineStr">
        <is>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is>
      </c>
      <c r="G1019" s="5" t="inlineStr">
        <is>
          <t>Conference paper</t>
        </is>
      </c>
      <c r="H1019" s="5" t="inlineStr">
        <is>
          <t>10.1109/iccsai64074.2025.11064177</t>
        </is>
      </c>
      <c r="I1019" s="5" t="n"/>
      <c r="J1019" s="3" t="n"/>
    </row>
    <row r="1020" ht="213.75" customHeight="1" s="18">
      <c r="A1020" s="5" t="inlineStr">
        <is>
          <t>S2-1014</t>
        </is>
      </c>
      <c r="B1020" s="5" t="inlineStr">
        <is>
          <t>B-i</t>
        </is>
      </c>
      <c r="C1020" s="3" t="inlineStr">
        <is>
          <t>Schmidt, J.; Romano, A.; Adesokan, A.; Madria, S.</t>
        </is>
      </c>
      <c r="D1020" s="6" t="n">
        <v>2025</v>
      </c>
      <c r="E1020" s="3" t="inlineStr">
        <is>
          <t>CRISIS: Classification of Response Intent via Social Media for Improved Support</t>
        </is>
      </c>
      <c r="F1020" s="3" t="inlineStr">
        <is>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is>
      </c>
      <c r="G1020" s="5" t="inlineStr">
        <is>
          <t>Conference paper</t>
        </is>
      </c>
      <c r="H1020" s="5" t="inlineStr">
        <is>
          <t>10.1109/icdmw69685.2025.00367</t>
        </is>
      </c>
      <c r="I1020" s="5" t="n"/>
      <c r="J1020" s="3" t="n"/>
    </row>
    <row r="1021" ht="185.25" customHeight="1" s="18">
      <c r="A1021" s="5" t="inlineStr">
        <is>
          <t>S2-1015</t>
        </is>
      </c>
      <c r="B1021" s="5" t="inlineStr">
        <is>
          <t>B-i</t>
        </is>
      </c>
      <c r="C1021" s="3" t="inlineStr">
        <is>
          <t>Gupta, R.; Agarwal, S.; Garg, S.; Kaushal, R.</t>
        </is>
      </c>
      <c r="D1021" s="6" t="n">
        <v>2024</v>
      </c>
      <c r="E1021" s="3" t="inlineStr">
        <is>
          <t>Twitter Sentiment Analysis in Resource Limited Language</t>
        </is>
      </c>
      <c r="F1021" s="3" t="inlineStr">
        <is>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is>
      </c>
      <c r="G1021" s="5" t="inlineStr">
        <is>
          <t>Conference paper</t>
        </is>
      </c>
      <c r="H1021" s="5" t="inlineStr">
        <is>
          <t>10.1007/978-3-031-58502-9_3</t>
        </is>
      </c>
      <c r="I1021" s="5" t="n"/>
      <c r="J1021" s="3" t="n"/>
    </row>
    <row r="1022" ht="228" customHeight="1" s="18">
      <c r="A1022" s="5" t="inlineStr">
        <is>
          <t>S2-1016</t>
        </is>
      </c>
      <c r="B1022" s="5" t="inlineStr">
        <is>
          <t>B-i</t>
        </is>
      </c>
      <c r="C1022" s="3" t="inlineStr">
        <is>
          <t>Saha, S.; Nanda, A.</t>
        </is>
      </c>
      <c r="D1022" s="6" t="n">
        <v>2023</v>
      </c>
      <c r="E1022" s="3" t="inlineStr">
        <is>
          <t>BanglaNLP at BLP-2023 Task 2: Benchmarking different Transformer Models for Sentiment Analysis of Bangla Social Media Posts</t>
        </is>
      </c>
      <c r="F1022" s="3" t="inlineStr">
        <is>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is>
      </c>
      <c r="G1022" s="5" t="inlineStr">
        <is>
          <t>Conference paper</t>
        </is>
      </c>
      <c r="H1022" s="5" t="n"/>
      <c r="I1022" s="5" t="n"/>
      <c r="J1022" s="3" t="n"/>
    </row>
    <row r="1023" ht="285" customHeight="1" s="18">
      <c r="A1023" s="5" t="inlineStr">
        <is>
          <t>S2-1017</t>
        </is>
      </c>
      <c r="B1023" s="5" t="inlineStr">
        <is>
          <t>B-i</t>
        </is>
      </c>
      <c r="C1023" s="3" t="inlineStr">
        <is>
          <t>Stromer-Galley, J.; McKernan, B.; Zaman, S.; Maganur, C.; Regmi, S.</t>
        </is>
      </c>
      <c r="D1023" s="6" t="n">
        <v>2025</v>
      </c>
      <c r="E1023" s="3" t="inlineStr">
        <is>
          <t>The Efficacy of Large Language Models and Crowd Annotation for Accurate Content Analysis of Political Social Media Messages</t>
        </is>
      </c>
      <c r="F1023" s="3" t="inlineStr">
        <is>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is>
      </c>
      <c r="G1023" s="5" t="inlineStr">
        <is>
          <t>Journal article</t>
        </is>
      </c>
      <c r="H1023" s="5" t="inlineStr">
        <is>
          <t>10.1177/08944393251334977</t>
        </is>
      </c>
      <c r="I1023" s="5" t="n"/>
      <c r="J1023" s="3" t="n"/>
    </row>
    <row r="1024" ht="256.5" customHeight="1" s="18">
      <c r="A1024" s="5" t="inlineStr">
        <is>
          <t>S2-1018</t>
        </is>
      </c>
      <c r="B1024" s="5" t="inlineStr">
        <is>
          <t>B-i</t>
        </is>
      </c>
      <c r="C1024" s="3" t="inlineStr">
        <is>
          <t>Gomez-Adorno, H.; Bel-Enguix, G.; Sierra, G.; Barajas, J.-C.; Álvarez, W.</t>
        </is>
      </c>
      <c r="D1024" s="6" t="n">
        <v>2024</v>
      </c>
      <c r="E1024" s="3" t="inlineStr">
        <is>
          <t>Machine Learning and Deep Learning Sentiment Analysis Models: Case Study on the SENT-COVID Corpus of Tweets in Mexican Spanish</t>
        </is>
      </c>
      <c r="F1024" s="3" t="inlineStr">
        <is>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is>
      </c>
      <c r="G1024" s="5" t="inlineStr">
        <is>
          <t>Journal article</t>
        </is>
      </c>
      <c r="H1024" s="5" t="inlineStr">
        <is>
          <t>10.3390/informatics11020024</t>
        </is>
      </c>
      <c r="I1024" s="5" t="n"/>
      <c r="J1024" s="3" t="n"/>
    </row>
    <row r="1025" ht="299.25" customHeight="1" s="18">
      <c r="A1025" s="5" t="inlineStr">
        <is>
          <t>S2-1019</t>
        </is>
      </c>
      <c r="B1025" s="5" t="inlineStr">
        <is>
          <t>B-i</t>
        </is>
      </c>
      <c r="C1025" s="3" t="inlineStr">
        <is>
          <t>Shettar, R.; Ramya, V.</t>
        </is>
      </c>
      <c r="D1025" s="6" t="n">
        <v>2025</v>
      </c>
      <c r="E1025" s="3" t="inlineStr">
        <is>
          <t>Sentiment Analysis Using Natural Language Processing</t>
        </is>
      </c>
      <c r="F1025" s="3" t="inlineStr">
        <is>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is>
      </c>
      <c r="G1025" s="5" t="inlineStr">
        <is>
          <t>Conference paper</t>
        </is>
      </c>
      <c r="H1025" s="5" t="inlineStr">
        <is>
          <t>10.1109/csitss67709.2025.11295644</t>
        </is>
      </c>
      <c r="I1025" s="5" t="n"/>
      <c r="J1025" s="3" t="n"/>
    </row>
    <row r="1026" ht="213.75" customHeight="1" s="18">
      <c r="A1026" s="5" t="inlineStr">
        <is>
          <t>S2-1020</t>
        </is>
      </c>
      <c r="B1026" s="5" t="inlineStr">
        <is>
          <t>B-i</t>
        </is>
      </c>
      <c r="C1026" s="3" t="inlineStr">
        <is>
          <t>Falatouri, T.; Hrusecka, D.; Fischer, T.</t>
        </is>
      </c>
      <c r="D1026" s="6" t="n">
        <v>2024</v>
      </c>
      <c r="E1026" s="3" t="inlineStr">
        <is>
          <t>Harnessing the Power of LLMs for Service Quality Assessment from User-Generated Content</t>
        </is>
      </c>
      <c r="F1026" s="3" t="inlineStr">
        <is>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is>
      </c>
      <c r="G1026" s="5" t="inlineStr">
        <is>
          <t>Journal article</t>
        </is>
      </c>
      <c r="H1026" s="5" t="inlineStr">
        <is>
          <t>10.1109/access.2024.3429290</t>
        </is>
      </c>
      <c r="I1026" s="5" t="n"/>
      <c r="J1026" s="3" t="n"/>
    </row>
    <row r="1027" ht="342" customHeight="1" s="18">
      <c r="A1027" s="5" t="inlineStr">
        <is>
          <t>S2-1021</t>
        </is>
      </c>
      <c r="B1027" s="5" t="inlineStr">
        <is>
          <t>B-i</t>
        </is>
      </c>
      <c r="C1027" s="3" t="inlineStr">
        <is>
          <t>Bevilacqua, M.; Oketch, K.; Qin, R.; Stamey, W.; Zhang, X.; Gan, Y.; Yang, K.; Abbasi, A.</t>
        </is>
      </c>
      <c r="D1027" s="6" t="n">
        <v>2025</v>
      </c>
      <c r="E1027" s="3" t="inlineStr">
        <is>
          <t>When Automated Assessment Meets Automated Content Generation: Examining Text Quality in the Era of GPTs</t>
        </is>
      </c>
      <c r="F1027" s="3" t="inlineStr">
        <is>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is>
      </c>
      <c r="G1027" s="5" t="inlineStr">
        <is>
          <t>Journal article</t>
        </is>
      </c>
      <c r="H1027" s="5" t="inlineStr">
        <is>
          <t>10.1145/3702639</t>
        </is>
      </c>
      <c r="I1027" s="5" t="n"/>
      <c r="J1027" s="3" t="n"/>
    </row>
    <row r="1028" ht="299.25" customHeight="1" s="18">
      <c r="A1028" s="5" t="inlineStr">
        <is>
          <t>S2-1022</t>
        </is>
      </c>
      <c r="B1028" s="5" t="inlineStr">
        <is>
          <t>B-i</t>
        </is>
      </c>
      <c r="C1028" s="3" t="inlineStr">
        <is>
          <t>Rahi, A.M.; Ismam, N.; Rusho, M.A.; Hossain, S.; Maliha, J.F.; Hossain, M.A.; Arman, M.; Jahan, M.K.</t>
        </is>
      </c>
      <c r="D1028" s="6" t="n">
        <v>2025</v>
      </c>
      <c r="E1028" s="3" t="inlineStr">
        <is>
          <t>Benchmarking Large Language Models for Sarcasm Detection in Hindi Romanized Texts</t>
        </is>
      </c>
      <c r="F1028" s="3" t="inlineStr">
        <is>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is>
      </c>
      <c r="G1028" s="5" t="inlineStr">
        <is>
          <t>Conference paper</t>
        </is>
      </c>
      <c r="H1028" s="5" t="inlineStr">
        <is>
          <t>10.1109/icecet63943.2025.11472465</t>
        </is>
      </c>
      <c r="I1028" s="5" t="n"/>
      <c r="J1028" s="3" t="n"/>
    </row>
    <row r="1029" ht="199.5" customHeight="1" s="18">
      <c r="A1029" s="5" t="inlineStr">
        <is>
          <t>S2-1023</t>
        </is>
      </c>
      <c r="B1029" s="5" t="inlineStr">
        <is>
          <t>B-i</t>
        </is>
      </c>
      <c r="C1029" s="3" t="inlineStr">
        <is>
          <t>Hasan, Md.A.; Alam, F.; Anjum, A.; Das, S.; Anjum, A.</t>
        </is>
      </c>
      <c r="D1029" s="6" t="n">
        <v>2023</v>
      </c>
      <c r="E1029" s="3" t="inlineStr">
        <is>
          <t>BLP-2023 Task 2: Sentiment Analysis</t>
        </is>
      </c>
      <c r="F1029" s="3" t="inlineStr">
        <is>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is>
      </c>
      <c r="G1029" s="5" t="inlineStr">
        <is>
          <t>Conference paper</t>
        </is>
      </c>
      <c r="H1029" s="5" t="n"/>
      <c r="I1029" s="5" t="n"/>
      <c r="J1029" s="3" t="n"/>
    </row>
    <row r="1030" ht="299.25" customHeight="1" s="18">
      <c r="A1030" s="5" t="inlineStr">
        <is>
          <t>S2-1024</t>
        </is>
      </c>
      <c r="B1030" s="5" t="inlineStr">
        <is>
          <t>B-i</t>
        </is>
      </c>
      <c r="C1030" s="3" t="inlineStr">
        <is>
          <t>Gheorghe, A.; Ruseti, S.; Dascalu, M.; Caragea, C.</t>
        </is>
      </c>
      <c r="D1030" s="6" t="n">
        <v>2025</v>
      </c>
      <c r="E1030" s="3" t="inlineStr">
        <is>
          <t>Are LLMs Really Underperforming in Stance Detection? Identifying Patterns of Challenging Instances in Zero-Shot Stance Detection</t>
        </is>
      </c>
      <c r="F1030" s="3" t="inlineStr">
        <is>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is>
      </c>
      <c r="G1030" s="5" t="inlineStr">
        <is>
          <t>Conference paper</t>
        </is>
      </c>
      <c r="H1030" s="5" t="inlineStr">
        <is>
          <t>10.1109/ictai66417.2025.00047</t>
        </is>
      </c>
      <c r="I1030" s="5" t="n"/>
      <c r="J1030" s="3" t="n"/>
    </row>
    <row r="1031" ht="242.25" customHeight="1" s="18">
      <c r="A1031" s="5" t="inlineStr">
        <is>
          <t>S2-1025</t>
        </is>
      </c>
      <c r="B1031" s="5" t="inlineStr">
        <is>
          <t>B-i</t>
        </is>
      </c>
      <c r="C1031" s="3" t="inlineStr">
        <is>
          <t>Wang, F.; Beladev, M.; Kleinfeld, O.; Frayerman, E.; Shachar, T.; Fainman, E.; Assaraf, K.L.; Mizrachi, S.; Wang, B.</t>
        </is>
      </c>
      <c r="D1031" s="6" t="n">
        <v>2023</v>
      </c>
      <c r="E1031" s="3" t="inlineStr">
        <is>
          <t>Text2Topic: Multi-Label Text Classification System for Efficient Topic Detection in User Generated Content with Zero-Shot Capabilities</t>
        </is>
      </c>
      <c r="F1031" s="3" t="inlineStr">
        <is>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is>
      </c>
      <c r="G1031" s="5" t="inlineStr">
        <is>
          <t>Conference paper</t>
        </is>
      </c>
      <c r="H1031" s="5" t="inlineStr">
        <is>
          <t>10.18653/v1/2023.emnlp-industry.10</t>
        </is>
      </c>
      <c r="I1031" s="5" t="n"/>
      <c r="J1031" s="3" t="n"/>
    </row>
    <row r="1032" ht="213.75" customHeight="1" s="18">
      <c r="A1032" s="5" t="inlineStr">
        <is>
          <t>S2-1026</t>
        </is>
      </c>
      <c r="B1032" s="5" t="inlineStr">
        <is>
          <t>B-i</t>
        </is>
      </c>
      <c r="C1032" s="3" t="inlineStr">
        <is>
          <t>Alkhathlan, A.; Alahmadi, F.; Kateb, F.; Al-Khalifa, H.</t>
        </is>
      </c>
      <c r="D1032" s="6" t="n">
        <v>2025</v>
      </c>
      <c r="E1032" s="3" t="inlineStr">
        <is>
          <t>Constructing and evaluating ArabicStanceX: a social media dataset for Arabic stance detection</t>
        </is>
      </c>
      <c r="F1032" s="3" t="inlineStr">
        <is>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is>
      </c>
      <c r="G1032" s="5" t="inlineStr">
        <is>
          <t>Journal article</t>
        </is>
      </c>
      <c r="H1032" s="5" t="inlineStr">
        <is>
          <t>10.3389/frai.2025.1615800</t>
        </is>
      </c>
      <c r="I1032" s="5" t="n"/>
      <c r="J1032" s="3" t="n"/>
    </row>
    <row r="1033" ht="213.75" customHeight="1" s="18">
      <c r="A1033" s="5" t="inlineStr">
        <is>
          <t>S2-1027</t>
        </is>
      </c>
      <c r="B1033" s="5" t="inlineStr">
        <is>
          <t>B-i</t>
        </is>
      </c>
      <c r="C1033" s="3" t="inlineStr">
        <is>
          <t>Jain, H.; Kashyap, A.; Sivakumar, S.; Chakravarthy, V.D.; Selvaraju, P.; Yakub, F.</t>
        </is>
      </c>
      <c r="D1033" s="6" t="n">
        <v>2025</v>
      </c>
      <c r="E1033" s="3" t="inlineStr">
        <is>
          <t>Suicidal Text Detection Using Machine Learning and Large Language Model</t>
        </is>
      </c>
      <c r="F1033" s="3" t="inlineStr">
        <is>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is>
      </c>
      <c r="G1033" s="5" t="inlineStr">
        <is>
          <t>Conference paper</t>
        </is>
      </c>
      <c r="H1033" s="5" t="inlineStr">
        <is>
          <t>10.1109/icrais66073.2025.11234688</t>
        </is>
      </c>
      <c r="I1033" s="5" t="n"/>
      <c r="J1033" s="3" t="n"/>
    </row>
    <row r="1034" ht="299.25" customHeight="1" s="18">
      <c r="A1034" s="5" t="inlineStr">
        <is>
          <t>S2-1028</t>
        </is>
      </c>
      <c r="B1034" s="5" t="inlineStr">
        <is>
          <t>B-i</t>
        </is>
      </c>
      <c r="C1034" s="3" t="inlineStr">
        <is>
          <t>Botunac, I.; Brkić Bakarić, M.; Matetić, M.</t>
        </is>
      </c>
      <c r="D1034" s="6" t="n">
        <v>2024</v>
      </c>
      <c r="E1034" s="3" t="inlineStr">
        <is>
          <t>Comparing Fine-Tuning and Prompt Engineering for Multi-Class Classification in Hospitality Review Analysis</t>
        </is>
      </c>
      <c r="F1034" s="3" t="inlineStr">
        <is>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is>
      </c>
      <c r="G1034" s="5" t="inlineStr">
        <is>
          <t>Journal article</t>
        </is>
      </c>
      <c r="H1034" s="5" t="inlineStr">
        <is>
          <t>10.3390/app14146254</t>
        </is>
      </c>
      <c r="I1034" s="5" t="n"/>
      <c r="J1034" s="3" t="n"/>
    </row>
    <row r="1035" ht="285" customHeight="1" s="18">
      <c r="A1035" s="5" t="inlineStr">
        <is>
          <t>S2-1029</t>
        </is>
      </c>
      <c r="B1035" s="5" t="inlineStr">
        <is>
          <t>B-i</t>
        </is>
      </c>
      <c r="C1035" s="3" t="inlineStr">
        <is>
          <t>Agarwal, R.; Abbas, N.</t>
        </is>
      </c>
      <c r="D1035" s="6" t="n">
        <v>2025</v>
      </c>
      <c r="E1035" s="3" t="inlineStr">
        <is>
          <t>Emotion Detection in Hindi Language Using GPT and BERT</t>
        </is>
      </c>
      <c r="F1035" s="3" t="inlineStr">
        <is>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is>
      </c>
      <c r="G1035" s="5" t="inlineStr">
        <is>
          <t>Conference paper</t>
        </is>
      </c>
      <c r="H1035" s="5" t="inlineStr">
        <is>
          <t>10.1007/978-3-031-77918-3_8</t>
        </is>
      </c>
      <c r="I1035" s="5" t="n"/>
      <c r="J1035" s="3" t="n"/>
    </row>
    <row r="1036" ht="356.25" customHeight="1" s="18">
      <c r="A1036" s="5" t="inlineStr">
        <is>
          <t>S2-1030</t>
        </is>
      </c>
      <c r="B1036" s="5" t="inlineStr">
        <is>
          <t>B-i</t>
        </is>
      </c>
      <c r="C1036" s="3" t="inlineStr">
        <is>
          <t>Weitl-Harms, S.; Hastings, J.D.; Lum, J.</t>
        </is>
      </c>
      <c r="D1036" s="6" t="n">
        <v>2024</v>
      </c>
      <c r="E1036" s="3" t="inlineStr">
        <is>
          <t>Using LLMs to Establish Implicit User Sentiment of Software Desirability</t>
        </is>
      </c>
      <c r="F1036" s="3" t="inlineStr">
        <is>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is>
      </c>
      <c r="G1036" s="5" t="inlineStr">
        <is>
          <t>Conference paper</t>
        </is>
      </c>
      <c r="H1036" s="5" t="inlineStr">
        <is>
          <t>10.1109/icmla61862.2024.00254</t>
        </is>
      </c>
      <c r="I1036" s="5" t="n"/>
      <c r="J1036" s="3" t="n"/>
    </row>
    <row r="1037" ht="409.5" customHeight="1" s="18">
      <c r="A1037" s="5" t="inlineStr">
        <is>
          <t>S2-1031</t>
        </is>
      </c>
      <c r="B1037" s="5" t="inlineStr">
        <is>
          <t>B-i</t>
        </is>
      </c>
      <c r="C1037" s="3" t="inlineStr">
        <is>
          <t>De Langhe, L.; Maladry, A.; Vanroy, B.; De Bruyne, L.; Singh, P.; Lefever, E.; De Clercq, O.</t>
        </is>
      </c>
      <c r="D1037" s="6" t="n">
        <v>2024</v>
      </c>
      <c r="E1037" s="3" t="inlineStr">
        <is>
          <t>Benchmarking Zero-Shot Text Classification for Dutch</t>
        </is>
      </c>
      <c r="F1037" s="3" t="inlineStr">
        <is>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is>
      </c>
      <c r="G1037" s="5" t="inlineStr">
        <is>
          <t>Conference paper</t>
        </is>
      </c>
      <c r="H1037" s="5" t="n"/>
      <c r="I1037" s="5" t="n"/>
      <c r="J1037" s="3" t="n"/>
    </row>
    <row r="1038" ht="285" customHeight="1" s="18">
      <c r="A1038" s="5" t="inlineStr">
        <is>
          <t>S2-1032</t>
        </is>
      </c>
      <c r="B1038" s="5" t="inlineStr">
        <is>
          <t>B-i</t>
        </is>
      </c>
      <c r="C1038" s="3" t="inlineStr">
        <is>
          <t>Tian, L.; Huang, N.; Zhang, X.</t>
        </is>
      </c>
      <c r="D1038" s="6" t="n">
        <v>2024</v>
      </c>
      <c r="E1038" s="3" t="inlineStr">
        <is>
          <t>Large Language Model Cascades and Persona-Based In-Context Learning for Multilingual Sexism Detection</t>
        </is>
      </c>
      <c r="F1038" s="3" t="inlineStr">
        <is>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is>
      </c>
      <c r="G1038" s="5" t="inlineStr">
        <is>
          <t>Conference paper</t>
        </is>
      </c>
      <c r="H1038" s="5" t="inlineStr">
        <is>
          <t>10.1007/978-3-031-71736-9_18</t>
        </is>
      </c>
      <c r="I1038" s="5" t="n"/>
      <c r="J1038" s="3" t="n"/>
    </row>
    <row r="1039" ht="409.5" customHeight="1" s="18">
      <c r="A1039" s="5" t="inlineStr">
        <is>
          <t>S2-1033</t>
        </is>
      </c>
      <c r="B1039" s="5" t="inlineStr">
        <is>
          <t>B-i</t>
        </is>
      </c>
      <c r="C1039" s="3" t="inlineStr">
        <is>
          <t>Sun, X.; Zhang, K.; Liu, Q.; Bao, M.; Chen, Y.</t>
        </is>
      </c>
      <c r="D1039" s="6" t="n">
        <v>2024</v>
      </c>
      <c r="E1039" s="3" t="inlineStr">
        <is>
          <t>Harnessing domain insights: A prompt knowledge tuning method for aspect-based sentiment analysis</t>
        </is>
      </c>
      <c r="F1039" s="3" t="inlineStr">
        <is>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is>
      </c>
      <c r="G1039" s="5" t="inlineStr">
        <is>
          <t>Journal article</t>
        </is>
      </c>
      <c r="H1039" s="5" t="inlineStr">
        <is>
          <t>10.1016/j.knosys.2024.111975</t>
        </is>
      </c>
      <c r="I1039" s="5" t="n"/>
      <c r="J1039" s="3" t="n"/>
    </row>
    <row r="1040" ht="256.5" customHeight="1" s="18">
      <c r="A1040" s="5" t="inlineStr">
        <is>
          <t>S2-1034</t>
        </is>
      </c>
      <c r="B1040" s="5" t="inlineStr">
        <is>
          <t>B-i</t>
        </is>
      </c>
      <c r="C1040" s="3" t="inlineStr">
        <is>
          <t>Pandey, J.; Rajput, P.; Agrawal, R.</t>
        </is>
      </c>
      <c r="D1040" s="6" t="n">
        <v>2025</v>
      </c>
      <c r="E1040" s="3" t="inlineStr">
        <is>
          <t>Twitter-Based Sentiment Analysis for the 2025 Bihar Elections</t>
        </is>
      </c>
      <c r="F1040" s="3" t="inlineStr">
        <is>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is>
      </c>
      <c r="G1040" s="5" t="inlineStr">
        <is>
          <t>Conference paper</t>
        </is>
      </c>
      <c r="H1040" s="5" t="inlineStr">
        <is>
          <t>10.1109/icdiss68238.2025.11320596</t>
        </is>
      </c>
      <c r="I1040" s="5" t="n"/>
      <c r="J1040" s="3" t="n"/>
    </row>
    <row r="1041" ht="299.25" customHeight="1" s="18">
      <c r="A1041" s="5" t="inlineStr">
        <is>
          <t>S2-1035</t>
        </is>
      </c>
      <c r="B1041" s="5" t="inlineStr">
        <is>
          <t>B-i</t>
        </is>
      </c>
      <c r="C1041" s="3" t="inlineStr">
        <is>
          <t>Ghosh, S.; Singh, G.V.; Choudhury, S.; Ekbal, A.</t>
        </is>
      </c>
      <c r="D1041" s="6" t="n">
        <v>2025</v>
      </c>
      <c r="E1041" s="3" t="inlineStr">
        <is>
          <t>Just a Scratch: Enhancing LLM Capabilities for Self-harm Detection through Intent Differentiation and Emoji Interpretation</t>
        </is>
      </c>
      <c r="F1041" s="3" t="inlineStr">
        <is>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is>
      </c>
      <c r="G1041" s="5" t="inlineStr">
        <is>
          <t>Conference paper</t>
        </is>
      </c>
      <c r="H1041" s="5" t="inlineStr">
        <is>
          <t>10.18653/v1/2025.acl-long.1330</t>
        </is>
      </c>
      <c r="I1041" s="5" t="n"/>
      <c r="J1041" s="3" t="n"/>
    </row>
    <row r="1042" ht="213.75" customHeight="1" s="18">
      <c r="A1042" s="5" t="inlineStr">
        <is>
          <t>S2-1036</t>
        </is>
      </c>
      <c r="B1042" s="5" t="inlineStr">
        <is>
          <t>B-i</t>
        </is>
      </c>
      <c r="C1042" s="3" t="inlineStr">
        <is>
          <t>Kanmani, K.; Uthirapathy, S.E.; Periyasamy, P.N.; Sathyanarayanan, D.; Sivasankar, C.; Agoramoorthy, M.</t>
        </is>
      </c>
      <c r="D1042" s="6" t="n">
        <v>2025</v>
      </c>
      <c r="E1042" s="3" t="inlineStr">
        <is>
          <t>Enhancing Sentiment Analysis in Regional Languages Using Transfer Learning Models Trained on Tamil and English Tweets</t>
        </is>
      </c>
      <c r="F1042" s="3" t="inlineStr">
        <is>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is>
      </c>
      <c r="G1042" s="5" t="inlineStr">
        <is>
          <t>Conference paper</t>
        </is>
      </c>
      <c r="H1042" s="5" t="inlineStr">
        <is>
          <t>10.1109/icih67754.2025.11608585</t>
        </is>
      </c>
      <c r="I1042" s="5" t="n"/>
      <c r="J1042" s="3" t="n"/>
    </row>
    <row r="1043" ht="242.25" customHeight="1" s="18">
      <c r="A1043" s="5" t="inlineStr">
        <is>
          <t>S2-1037</t>
        </is>
      </c>
      <c r="B1043" s="5" t="inlineStr">
        <is>
          <t>B-i</t>
        </is>
      </c>
      <c r="C1043" s="3" t="inlineStr">
        <is>
          <t>Gomes, G.A.; Bender, A.T.; Cerveira, A.; Freitas, L.A.; Corrêa, U.B.</t>
        </is>
      </c>
      <c r="D1043" s="6" t="n">
        <v>2024</v>
      </c>
      <c r="E1043" s="3" t="inlineStr">
        <is>
          <t>Evaluating Graph Attention Networks as an Alternative to Transformers for ABSA Task in Low-Resource Languages</t>
        </is>
      </c>
      <c r="F1043" s="3" t="inlineStr">
        <is>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is>
      </c>
      <c r="G1043" s="5" t="inlineStr">
        <is>
          <t>Conference paper</t>
        </is>
      </c>
      <c r="H1043" s="5" t="inlineStr">
        <is>
          <t>10.32473/flairs.37.1.135630</t>
        </is>
      </c>
      <c r="I1043" s="5" t="n"/>
      <c r="J1043" s="3" t="n"/>
    </row>
    <row r="1044" ht="409.5" customHeight="1" s="18">
      <c r="A1044" s="5" t="inlineStr">
        <is>
          <t>S2-1038</t>
        </is>
      </c>
      <c r="B1044" s="5" t="inlineStr">
        <is>
          <t>B-i</t>
        </is>
      </c>
      <c r="C1044" s="3" t="inlineStr">
        <is>
          <t>Annan, A.; Eiden, A.L.; Wang, D.; Du, J.; Rastegar-Mojarad, M.; Nomula, V.K.; Wang, X.</t>
        </is>
      </c>
      <c r="D1044" s="6" t="n">
        <v>2025</v>
      </c>
      <c r="E1044" s="3" t="inlineStr">
        <is>
          <t>Evaluating Large Language Models for Sentiment Analysis and Hesitancy Analysis on Vaccine Posts From Social Media: Qualitative Study</t>
        </is>
      </c>
      <c r="F1044" s="3" t="inlineStr">
        <is>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is>
      </c>
      <c r="G1044" s="5" t="inlineStr">
        <is>
          <t>Journal article</t>
        </is>
      </c>
      <c r="H1044" s="5" t="inlineStr">
        <is>
          <t>10.2196/64723</t>
        </is>
      </c>
      <c r="I1044" s="5" t="n"/>
      <c r="J1044" s="3" t="n"/>
    </row>
    <row r="1045" ht="327.75" customHeight="1" s="18">
      <c r="A1045" s="5" t="inlineStr">
        <is>
          <t>S2-1039</t>
        </is>
      </c>
      <c r="B1045" s="5" t="inlineStr">
        <is>
          <t>B-i</t>
        </is>
      </c>
      <c r="C1045" s="3" t="inlineStr">
        <is>
          <t>Wei, Q.; Xue, R.; Xiao, H.; Zhang, Y.; Ye, L.; Wang, Y.</t>
        </is>
      </c>
      <c r="D1045" s="6" t="n">
        <v>2025</v>
      </c>
      <c r="E1045" s="3" t="inlineStr">
        <is>
          <t>Mimicking the Mavens: Agent-Based Opinion Synthesis and Emotion Prediction for Social Media Influencers</t>
        </is>
      </c>
      <c r="F1045" s="3" t="inlineStr">
        <is>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is>
      </c>
      <c r="G1045" s="5" t="inlineStr">
        <is>
          <t>Journal article</t>
        </is>
      </c>
      <c r="H1045" s="5" t="inlineStr">
        <is>
          <t>10.23919/jsc.2025.0016</t>
        </is>
      </c>
      <c r="I1045" s="5" t="n"/>
      <c r="J1045" s="3" t="n"/>
    </row>
    <row r="1046" ht="228" customHeight="1" s="18">
      <c r="A1046" s="5" t="inlineStr">
        <is>
          <t>S2-1040</t>
        </is>
      </c>
      <c r="B1046" s="5" t="inlineStr">
        <is>
          <t>B-i</t>
        </is>
      </c>
      <c r="C1046" s="3" t="inlineStr">
        <is>
          <t>Hussain, A.; Samant, S.; Singh, A.; Chhabra, R.; Arora, V.; Kapoor, A.</t>
        </is>
      </c>
      <c r="D1046" s="6" t="n">
        <v>2025</v>
      </c>
      <c r="E1046" s="3" t="inlineStr">
        <is>
          <t>Aspect-Based Sentiment Analysis (ABSA): A Review of Techniques and Applications</t>
        </is>
      </c>
      <c r="F1046" s="3" t="inlineStr">
        <is>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is>
      </c>
      <c r="G1046" s="5" t="inlineStr">
        <is>
          <t>Conference paper</t>
        </is>
      </c>
      <c r="H1046" s="5" t="inlineStr">
        <is>
          <t>10.1109/upwiecon67212.2025.11390535</t>
        </is>
      </c>
      <c r="I1046" s="5" t="n"/>
      <c r="J1046" s="3" t="n"/>
    </row>
    <row r="1047" ht="199.5" customHeight="1" s="18">
      <c r="A1047" s="5" t="inlineStr">
        <is>
          <t>S2-1041</t>
        </is>
      </c>
      <c r="B1047" s="5" t="inlineStr">
        <is>
          <t>B-i</t>
        </is>
      </c>
      <c r="C1047" s="3" t="inlineStr">
        <is>
          <t>Huang, B.; Song, F.</t>
        </is>
      </c>
      <c r="D1047" s="6" t="n">
        <v>2025</v>
      </c>
      <c r="E1047" s="3" t="inlineStr">
        <is>
          <t>Sentiment Analysis with Deep Learning: Benchmarking CNNs vs. Prompt-Tuned BERT Models</t>
        </is>
      </c>
      <c r="F1047" s="3" t="inlineStr">
        <is>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is>
      </c>
      <c r="G1047" s="5" t="inlineStr">
        <is>
          <t>Journal article</t>
        </is>
      </c>
      <c r="H1047" s="5" t="inlineStr">
        <is>
          <t>10.12720/jait.16.12.1793-1808</t>
        </is>
      </c>
      <c r="I1047" s="5" t="n"/>
      <c r="J1047" s="3" t="n"/>
    </row>
    <row r="1048" ht="356.25" customHeight="1" s="18">
      <c r="A1048" s="5" t="inlineStr">
        <is>
          <t>S2-1042</t>
        </is>
      </c>
      <c r="B1048" s="5" t="inlineStr">
        <is>
          <t>B-i</t>
        </is>
      </c>
      <c r="C1048" s="3" t="inlineStr">
        <is>
          <t>Narushynska, O.; Teslyuk, V.; Doroshenko, A.; Arzubov, M.</t>
        </is>
      </c>
      <c r="D1048" s="6" t="n">
        <v>2024</v>
      </c>
      <c r="E1048" s="3" t="inlineStr">
        <is>
          <t>Data Sorting Influence on Short Text Manual Labeling Quality for Hierarchical Classification</t>
        </is>
      </c>
      <c r="F1048" s="3" t="inlineStr">
        <is>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is>
      </c>
      <c r="G1048" s="5" t="inlineStr">
        <is>
          <t>Journal article</t>
        </is>
      </c>
      <c r="H1048" s="5" t="inlineStr">
        <is>
          <t>10.3390/bdcc8040041</t>
        </is>
      </c>
      <c r="I1048" s="5" t="n"/>
      <c r="J1048" s="3" t="n"/>
    </row>
    <row r="1049" ht="213.75" customHeight="1" s="18">
      <c r="A1049" s="5" t="inlineStr">
        <is>
          <t>S2-1043</t>
        </is>
      </c>
      <c r="B1049" s="5" t="inlineStr">
        <is>
          <t>B-i</t>
        </is>
      </c>
      <c r="C1049" s="3" t="inlineStr">
        <is>
          <t>Panagiotou, M.; Gkatzionis, K.; Kaloudis, E.</t>
        </is>
      </c>
      <c r="D1049" s="6" t="n">
        <v>2025</v>
      </c>
      <c r="E1049" s="3" t="inlineStr">
        <is>
          <t>Compiling Linguistic Resources for Specific Purposes: Using LLMs to Collect Data From Social Media</t>
        </is>
      </c>
      <c r="F1049" s="3" t="inlineStr">
        <is>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is>
      </c>
      <c r="G1049" s="5" t="inlineStr">
        <is>
          <t>Conference paper</t>
        </is>
      </c>
      <c r="H1049" s="5" t="n"/>
      <c r="I1049" s="5" t="n"/>
      <c r="J1049" s="3" t="n"/>
    </row>
    <row r="1050" ht="285" customHeight="1" s="18">
      <c r="A1050" s="5" t="inlineStr">
        <is>
          <t>S2-1044</t>
        </is>
      </c>
      <c r="B1050" s="5" t="inlineStr">
        <is>
          <t>B-i</t>
        </is>
      </c>
      <c r="C1050" s="3" t="inlineStr">
        <is>
          <t>Siddhanta, A.; Bhagat, A.K.</t>
        </is>
      </c>
      <c r="D1050" s="6" t="n">
        <v>2025</v>
      </c>
      <c r="E1050" s="3" t="inlineStr">
        <is>
          <t>Sentiment Showdown - Sentence Transformers stand their ground against Language Models: Case of Sentiment Classification using Sentence Embeddings</t>
        </is>
      </c>
      <c r="F1050" s="3" t="inlineStr">
        <is>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is>
      </c>
      <c r="G1050" s="5" t="inlineStr">
        <is>
          <t>Conference paper</t>
        </is>
      </c>
      <c r="H1050" s="5" t="inlineStr">
        <is>
          <t>10.1016/j.procs.2025.03.161</t>
        </is>
      </c>
      <c r="I1050" s="5" t="n"/>
      <c r="J1050" s="3" t="n"/>
    </row>
    <row r="1051" ht="409.5" customHeight="1" s="18">
      <c r="A1051" s="5" t="inlineStr">
        <is>
          <t>S2-1045</t>
        </is>
      </c>
      <c r="B1051" s="5" t="inlineStr">
        <is>
          <t>B-i</t>
        </is>
      </c>
      <c r="C1051" s="3" t="inlineStr">
        <is>
          <t>Saito, R.; Tsugawa, S.</t>
        </is>
      </c>
      <c r="D1051" s="6" t="n">
        <v>2025</v>
      </c>
      <c r="E1051" s="3" t="inlineStr">
        <is>
          <t>Understanding Citizens’ Response to Social Activities on Twitter in US Metropolises During the COVID-19 Recovery Phase Using a Fine-Tuned Large Language Model: Application of AI</t>
        </is>
      </c>
      <c r="F1051" s="3" t="inlineStr">
        <is>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is>
      </c>
      <c r="G1051" s="5" t="inlineStr">
        <is>
          <t>Journal article</t>
        </is>
      </c>
      <c r="H1051" s="5" t="inlineStr">
        <is>
          <t>10.2196/63824</t>
        </is>
      </c>
      <c r="I1051" s="5" t="n"/>
      <c r="J1051" s="3" t="n"/>
    </row>
    <row r="1052" ht="185.25" customHeight="1" s="18">
      <c r="A1052" s="5" t="inlineStr">
        <is>
          <t>S2-1046</t>
        </is>
      </c>
      <c r="B1052" s="5" t="inlineStr">
        <is>
          <t>B-i</t>
        </is>
      </c>
      <c r="C1052" s="3" t="inlineStr">
        <is>
          <t>Becker, K.; Yepez Rojas, J.D.; De Souza, A.M.</t>
        </is>
      </c>
      <c r="D1052" s="6" t="n">
        <v>2024</v>
      </c>
      <c r="E1052" s="3" t="inlineStr">
        <is>
          <t>The 3SD few-shot method for detecting stances on Twitter: A case study of Brazilian Stances on COVID vaccination</t>
        </is>
      </c>
      <c r="F1052" s="3" t="inlineStr">
        <is>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is>
      </c>
      <c r="G1052" s="5" t="inlineStr">
        <is>
          <t>Conference paper</t>
        </is>
      </c>
      <c r="H1052" s="5" t="inlineStr">
        <is>
          <t>10.1109/wi-iat62293.2024.00030</t>
        </is>
      </c>
      <c r="I1052" s="5" t="n"/>
      <c r="J1052" s="3" t="n"/>
    </row>
    <row r="1053" ht="270.75" customHeight="1" s="18">
      <c r="A1053" s="5" t="inlineStr">
        <is>
          <t>S2-1047</t>
        </is>
      </c>
      <c r="B1053" s="5" t="inlineStr">
        <is>
          <t>B-i</t>
        </is>
      </c>
      <c r="C1053" s="3" t="inlineStr">
        <is>
          <t>Jannani, A.; Amzil, T.; Sael, N.; Bouhsissin, S.</t>
        </is>
      </c>
      <c r="D1053" s="6" t="n">
        <v>2025</v>
      </c>
      <c r="E1053" s="3" t="inlineStr">
        <is>
          <t>Sentiment-Annotated Hibapress: A Moroccan News Arabic Dataset (SAHMNAD) predicted using Fine-Tuned Arabic Language Models and Zero-Shot LLMs</t>
        </is>
      </c>
      <c r="F1053" s="3" t="inlineStr">
        <is>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is>
      </c>
      <c r="G1053" s="5" t="inlineStr">
        <is>
          <t>Conference paper</t>
        </is>
      </c>
      <c r="H1053" s="5" t="inlineStr">
        <is>
          <t>10.1109/iraset64571.2025.11008106</t>
        </is>
      </c>
      <c r="I1053" s="5" t="n"/>
      <c r="J1053" s="3" t="n"/>
    </row>
    <row r="1054" ht="285" customHeight="1" s="18">
      <c r="A1054" s="5" t="inlineStr">
        <is>
          <t>S2-1048</t>
        </is>
      </c>
      <c r="B1054" s="5" t="inlineStr">
        <is>
          <t>B-i</t>
        </is>
      </c>
      <c r="C1054" s="3" t="inlineStr">
        <is>
          <t>Khiabani, P.J.; Zubiaga, A.</t>
        </is>
      </c>
      <c r="D1054" s="6" t="n">
        <v>2024</v>
      </c>
      <c r="E1054" s="3" t="inlineStr">
        <is>
          <t>Few-Shot Learning for Cross-Target Stance Detection by Aggregating Multimodal Embeddings</t>
        </is>
      </c>
      <c r="F1054" s="3" t="inlineStr">
        <is>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is>
      </c>
      <c r="G1054" s="5" t="inlineStr">
        <is>
          <t>Journal article</t>
        </is>
      </c>
      <c r="H1054" s="5" t="inlineStr">
        <is>
          <t>10.1109/tcss.2023.3264114</t>
        </is>
      </c>
      <c r="I1054" s="5" t="n"/>
      <c r="J1054" s="3" t="n"/>
    </row>
    <row r="1055" ht="409.5" customHeight="1" s="18">
      <c r="A1055" s="5" t="inlineStr">
        <is>
          <t>S2-1049</t>
        </is>
      </c>
      <c r="B1055" s="5" t="inlineStr">
        <is>
          <t>B-i</t>
        </is>
      </c>
      <c r="C1055" s="3" t="inlineStr">
        <is>
          <t>Hossain, B.; Preum, S.M.; Fazle Rabbi, M.; Ara, R.; Ali, M.E.</t>
        </is>
      </c>
      <c r="D1055" s="6" t="n">
        <v>2025</v>
      </c>
      <c r="E1055" s="3" t="inlineStr">
        <is>
          <t>Extracting Symptoms of Complex Conditions From Online Discourse (Subreddit to Symptomatology): Lexicon-Based Approach</t>
        </is>
      </c>
      <c r="F1055" s="3" t="inlineStr">
        <is>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is>
      </c>
      <c r="G1055" s="5" t="inlineStr">
        <is>
          <t>Journal article</t>
        </is>
      </c>
      <c r="H1055" s="5" t="inlineStr">
        <is>
          <t>10.2196/70940</t>
        </is>
      </c>
      <c r="I1055" s="5" t="n"/>
      <c r="J1055" s="3" t="n"/>
    </row>
    <row r="1056" ht="256.5" customHeight="1" s="18">
      <c r="A1056" s="5" t="inlineStr">
        <is>
          <t>S2-1050</t>
        </is>
      </c>
      <c r="B1056" s="5" t="inlineStr">
        <is>
          <t>B-i</t>
        </is>
      </c>
      <c r="C1056" s="3" t="inlineStr">
        <is>
          <t>Fuad, M.M.; Mazid, A.A.; Adnan, M.I.; Das, T.; Prapti, S.S.; Mahbub, N.</t>
        </is>
      </c>
      <c r="D1056" s="6" t="n">
        <v>2025</v>
      </c>
      <c r="E1056" s="3" t="inlineStr">
        <is>
          <t>EGov-Lens: A Multi-Dimensional Machine Learning Approach to Aspect-Based Public Feedback Analysis on Bengali e-Government Platforms</t>
        </is>
      </c>
      <c r="F1056" s="3" t="inlineStr">
        <is>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is>
      </c>
      <c r="G1056" s="5" t="inlineStr">
        <is>
          <t>Conference paper</t>
        </is>
      </c>
      <c r="H1056" s="5" t="inlineStr">
        <is>
          <t>10.1109/iccit68739.2025.11491291</t>
        </is>
      </c>
      <c r="I1056" s="5" t="n"/>
      <c r="J1056" s="3" t="n"/>
    </row>
    <row r="1057" ht="242.25" customHeight="1" s="18">
      <c r="A1057" s="5" t="inlineStr">
        <is>
          <t>S2-1051</t>
        </is>
      </c>
      <c r="B1057" s="5" t="inlineStr">
        <is>
          <t>B-i</t>
        </is>
      </c>
      <c r="C1057" s="3" t="inlineStr">
        <is>
          <t>Maceda, L.L.; Llovido, J.L.; Artiaga, M.B.; Abisado, M.B.</t>
        </is>
      </c>
      <c r="D1057" s="6" t="n">
        <v>2023</v>
      </c>
      <c r="E1057" s="3" t="inlineStr">
        <is>
          <t>Classifying Sentiments on Social Media Texts: A GPT-4 Preliminary Study</t>
        </is>
      </c>
      <c r="F1057" s="3" t="inlineStr">
        <is>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is>
      </c>
      <c r="G1057" s="5" t="inlineStr">
        <is>
          <t>Conference paper</t>
        </is>
      </c>
      <c r="H1057" s="5" t="inlineStr">
        <is>
          <t>10.1145/3639233.3639353</t>
        </is>
      </c>
      <c r="I1057" s="5" t="n"/>
      <c r="J1057" s="3" t="n"/>
    </row>
    <row r="1058" ht="270.75" customHeight="1" s="18">
      <c r="A1058" s="5" t="inlineStr">
        <is>
          <t>S2-1052</t>
        </is>
      </c>
      <c r="B1058" s="5" t="inlineStr">
        <is>
          <t>B-i</t>
        </is>
      </c>
      <c r="C1058" s="3" t="inlineStr">
        <is>
          <t>Gaim, F.; Song, H.; Lee, H.; Ko, C.; Hwang, E.J.; Park, J.C.</t>
        </is>
      </c>
      <c r="D1058" s="6" t="n">
        <v>2025</v>
      </c>
      <c r="E1058" s="3" t="inlineStr">
        <is>
          <t>A Multi-Task Benchmark for Abusive Language Detection in Low-Resource Settings</t>
        </is>
      </c>
      <c r="F1058" s="3" t="inlineStr">
        <is>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is>
      </c>
      <c r="G1058" s="5" t="inlineStr">
        <is>
          <t>Conference paper</t>
        </is>
      </c>
      <c r="H1058" s="5" t="n"/>
      <c r="I1058" s="5" t="n"/>
      <c r="J1058" s="3" t="n"/>
    </row>
    <row r="1059" ht="199.5" customHeight="1" s="18">
      <c r="A1059" s="5" t="inlineStr">
        <is>
          <t>S2-1053</t>
        </is>
      </c>
      <c r="B1059" s="5" t="inlineStr">
        <is>
          <t>B-i</t>
        </is>
      </c>
      <c r="C1059" s="3" t="inlineStr">
        <is>
          <t>Li, W.; Gao, Y.; Zhang, Y.; Yang, L.; Gao, R.</t>
        </is>
      </c>
      <c r="D1059" s="6" t="n">
        <v>2024</v>
      </c>
      <c r="E1059" s="3" t="inlineStr">
        <is>
          <t>Research on Toxic Speech Detection Based on Large Language Models</t>
        </is>
      </c>
      <c r="F1059" s="3" t="inlineStr">
        <is>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is>
      </c>
      <c r="G1059" s="5" t="inlineStr">
        <is>
          <t>Conference paper</t>
        </is>
      </c>
      <c r="H1059" s="5" t="inlineStr">
        <is>
          <t>10.1109/trustcom63139.2024.00302</t>
        </is>
      </c>
      <c r="I1059" s="5" t="n"/>
      <c r="J1059" s="3" t="n"/>
    </row>
    <row r="1060" ht="299.25" customHeight="1" s="18">
      <c r="A1060" s="5" t="inlineStr">
        <is>
          <t>S2-1054</t>
        </is>
      </c>
      <c r="B1060" s="5" t="inlineStr">
        <is>
          <t>B-i</t>
        </is>
      </c>
      <c r="C1060" s="3" t="inlineStr">
        <is>
          <t>Prakash, V.J.; Vijay, S.A.A.</t>
        </is>
      </c>
      <c r="D1060" s="6" t="n">
        <v>2024</v>
      </c>
      <c r="E1060" s="3" t="inlineStr">
        <is>
          <t>A Unified Framework for Analyzing Textual Context and Intent in Social Media</t>
        </is>
      </c>
      <c r="F1060" s="3" t="inlineStr">
        <is>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is>
      </c>
      <c r="G1060" s="5" t="inlineStr">
        <is>
          <t>Journal article</t>
        </is>
      </c>
      <c r="H1060" s="5" t="inlineStr">
        <is>
          <t>10.1145/3682064</t>
        </is>
      </c>
      <c r="I1060" s="5" t="n"/>
      <c r="J1060" s="3" t="n"/>
    </row>
    <row r="1061" ht="213.75" customHeight="1" s="18">
      <c r="A1061" s="5" t="inlineStr">
        <is>
          <t>S2-1055</t>
        </is>
      </c>
      <c r="B1061" s="5" t="inlineStr">
        <is>
          <t>B-i</t>
        </is>
      </c>
      <c r="C1061" s="3" t="inlineStr">
        <is>
          <t>Rauchegger, C.; Wang, S.M.; Delobelle, P.</t>
        </is>
      </c>
      <c r="D1061" s="6" t="n">
        <v>2024</v>
      </c>
      <c r="E1061" s="3" t="inlineStr">
        <is>
          <t>OneLove beyond the field - A few-shot pipeline for topic and sentiment analysis during the FIFA World Cup in Qatar</t>
        </is>
      </c>
      <c r="F1061" s="3" t="inlineStr">
        <is>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is>
      </c>
      <c r="G1061" s="5" t="inlineStr">
        <is>
          <t>Conference paper</t>
        </is>
      </c>
      <c r="H1061" s="5" t="n"/>
      <c r="I1061" s="5" t="n"/>
      <c r="J1061" s="3" t="n"/>
    </row>
    <row r="1062" ht="313.5" customHeight="1" s="18">
      <c r="A1062" s="5" t="inlineStr">
        <is>
          <t>S2-1056</t>
        </is>
      </c>
      <c r="B1062" s="5" t="inlineStr">
        <is>
          <t>B-i</t>
        </is>
      </c>
      <c r="C1062" s="3" t="inlineStr">
        <is>
          <t>Inoshita, K.</t>
        </is>
      </c>
      <c r="D1062" s="6" t="n">
        <v>2025</v>
      </c>
      <c r="E1062" s="3" t="inlineStr">
        <is>
          <t>Enhancing Sentiment Analysis Accuracy and Evaluating Task Affinity Using Large Language Models</t>
        </is>
      </c>
      <c r="F1062" s="3" t="inlineStr">
        <is>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is>
      </c>
      <c r="G1062" s="5" t="inlineStr">
        <is>
          <t>Conference paper</t>
        </is>
      </c>
      <c r="H1062" s="5" t="inlineStr">
        <is>
          <t>10.1109/icoailo66760.2025.11155956</t>
        </is>
      </c>
      <c r="I1062" s="5" t="n"/>
      <c r="J1062" s="3" t="n"/>
    </row>
    <row r="1063" ht="285" customHeight="1" s="18">
      <c r="A1063" s="5" t="inlineStr">
        <is>
          <t>S2-1057</t>
        </is>
      </c>
      <c r="B1063" s="5" t="inlineStr">
        <is>
          <t>B-i</t>
        </is>
      </c>
      <c r="C1063" s="3" t="inlineStr">
        <is>
          <t>Bharadwaj, R.; Shendurkar, S.; Kadam, T.; Patekar, U.; Waghule, S.</t>
        </is>
      </c>
      <c r="D1063" s="6" t="n">
        <v>2024</v>
      </c>
      <c r="E1063" s="3" t="inlineStr">
        <is>
          <t>RoBERTa and VADER Sentiment Analysis: A Comparative Approach</t>
        </is>
      </c>
      <c r="F1063" s="3" t="inlineStr">
        <is>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is>
      </c>
      <c r="G1063" s="5" t="inlineStr">
        <is>
          <t>Conference paper</t>
        </is>
      </c>
      <c r="H1063" s="5" t="inlineStr">
        <is>
          <t>10.1007/978-981-97-8666-4_12</t>
        </is>
      </c>
      <c r="I1063" s="5" t="n"/>
      <c r="J1063" s="3" t="n"/>
    </row>
    <row r="1064" ht="156.75" customHeight="1" s="18">
      <c r="A1064" s="5" t="inlineStr">
        <is>
          <t>S2-1058</t>
        </is>
      </c>
      <c r="B1064" s="5" t="inlineStr">
        <is>
          <t>B-i</t>
        </is>
      </c>
      <c r="C1064" s="3" t="inlineStr">
        <is>
          <t>Tran, V.; Matsui, T.</t>
        </is>
      </c>
      <c r="D1064" s="6" t="n">
        <v>2023</v>
      </c>
      <c r="E1064" s="3" t="inlineStr">
        <is>
          <t>Public Opinion Mining Using Large Language Models on COVID-19 Related Tweets</t>
        </is>
      </c>
      <c r="F1064" s="3" t="inlineStr">
        <is>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is>
      </c>
      <c r="G1064" s="5" t="inlineStr">
        <is>
          <t>Conference paper</t>
        </is>
      </c>
      <c r="H1064" s="5" t="inlineStr">
        <is>
          <t>10.1109/kse59128.2023.10299499</t>
        </is>
      </c>
      <c r="I1064" s="5" t="n"/>
      <c r="J1064" s="3" t="n"/>
    </row>
    <row r="1065" ht="313.5" customHeight="1" s="18">
      <c r="A1065" s="5" t="inlineStr">
        <is>
          <t>S2-1059</t>
        </is>
      </c>
      <c r="B1065" s="5" t="inlineStr">
        <is>
          <t>B-i</t>
        </is>
      </c>
      <c r="C1065" s="3" t="inlineStr">
        <is>
          <t>Pathak, P.; Rana, P.S.</t>
        </is>
      </c>
      <c r="D1065" s="6" t="n">
        <v>2025</v>
      </c>
      <c r="E1065" s="3" t="inlineStr">
        <is>
          <t>Comparative Analysis of Pretrained Models for Text Classification, Generation and Summarization: A Detailed Analysis</t>
        </is>
      </c>
      <c r="F1065" s="3" t="inlineStr">
        <is>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is>
      </c>
      <c r="G1065" s="5" t="inlineStr">
        <is>
          <t>Conference paper</t>
        </is>
      </c>
      <c r="H1065" s="5" t="inlineStr">
        <is>
          <t>10.1007/978-3-031-78107-0_10</t>
        </is>
      </c>
      <c r="I1065" s="5" t="n"/>
      <c r="J1065" s="3" t="n"/>
    </row>
    <row r="1066" ht="256.5" customHeight="1" s="18">
      <c r="A1066" s="5" t="inlineStr">
        <is>
          <t>S2-1060</t>
        </is>
      </c>
      <c r="B1066" s="5" t="inlineStr">
        <is>
          <t>B-i</t>
        </is>
      </c>
      <c r="C1066" s="3" t="inlineStr">
        <is>
          <t>Pan, R.; García-Díaz, J.A.; Garcia-Sanchez, F.; Valencia-García, R.</t>
        </is>
      </c>
      <c r="D1066" s="6" t="n">
        <v>2023</v>
      </c>
      <c r="E1066" s="3" t="inlineStr">
        <is>
          <t>Evaluation of transformer models for financial targeted sentiment analysis in Spanish</t>
        </is>
      </c>
      <c r="F1066" s="3" t="inlineStr">
        <is>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is>
      </c>
      <c r="G1066" s="5" t="inlineStr">
        <is>
          <t>Journal article</t>
        </is>
      </c>
      <c r="H1066" s="5" t="inlineStr">
        <is>
          <t>10.7717/peerj-cs.1377</t>
        </is>
      </c>
      <c r="I1066" s="5" t="n"/>
      <c r="J1066" s="3" t="n"/>
    </row>
    <row r="1067" ht="242.25" customHeight="1" s="18">
      <c r="A1067" s="5" t="inlineStr">
        <is>
          <t>S2-1061</t>
        </is>
      </c>
      <c r="B1067" s="5" t="inlineStr">
        <is>
          <t>B-i</t>
        </is>
      </c>
      <c r="C1067" s="3" t="inlineStr">
        <is>
          <t>Sinha, P.; Shil, A.K.; Debnath, A.</t>
        </is>
      </c>
      <c r="D1067" s="6" t="n">
        <v>2025</v>
      </c>
      <c r="E1067" s="3" t="inlineStr">
        <is>
          <t>Bangla Advice Text Classification: A Novel Dataset and Comparative Study of Machine Learning and Deep Learning Models</t>
        </is>
      </c>
      <c r="F1067" s="3" t="inlineStr">
        <is>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is>
      </c>
      <c r="G1067" s="5" t="inlineStr">
        <is>
          <t>Conference paper</t>
        </is>
      </c>
      <c r="H1067" s="5" t="inlineStr">
        <is>
          <t>10.1109/iccit68739.2025.11491558</t>
        </is>
      </c>
      <c r="I1067" s="5" t="n"/>
      <c r="J1067" s="3" t="n"/>
    </row>
    <row r="1068" ht="128.25" customHeight="1" s="18">
      <c r="A1068" s="5" t="inlineStr">
        <is>
          <t>S2-1062</t>
        </is>
      </c>
      <c r="B1068" s="5" t="inlineStr">
        <is>
          <t>B-i</t>
        </is>
      </c>
      <c r="C1068" s="3" t="inlineStr">
        <is>
          <t>Gkaripis, N.; Trichopoulos, G.; Caridakis, G.</t>
        </is>
      </c>
      <c r="D1068" s="6" t="n">
        <v>2025</v>
      </c>
      <c r="E1068" s="3" t="inlineStr">
        <is>
          <t>Sentiment Analysis and Extraction of Recommendations in Cultural and Tourism Contexts</t>
        </is>
      </c>
      <c r="F1068" s="3" t="inlineStr">
        <is>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is>
      </c>
      <c r="G1068" s="5" t="inlineStr">
        <is>
          <t>Conference paper</t>
        </is>
      </c>
      <c r="H1068" s="5" t="inlineStr">
        <is>
          <t>10.1109/smap66932.2025.00015</t>
        </is>
      </c>
      <c r="I1068" s="5" t="n"/>
      <c r="J1068" s="3" t="n"/>
    </row>
    <row r="1069" ht="256.5" customHeight="1" s="18">
      <c r="A1069" s="5" t="inlineStr">
        <is>
          <t>S2-1063</t>
        </is>
      </c>
      <c r="B1069" s="5" t="inlineStr">
        <is>
          <t>B-i</t>
        </is>
      </c>
      <c r="C1069" s="3" t="inlineStr">
        <is>
          <t>Fu, C.; Ritter, M.; Diao, S.; Jin, F.</t>
        </is>
      </c>
      <c r="D1069" s="6" t="n">
        <v>2025</v>
      </c>
      <c r="E1069" s="3" t="inlineStr">
        <is>
          <t>Few-Shot Learning Meets Large Language Models: Mining Medicine Interventions from Reddit</t>
        </is>
      </c>
      <c r="F1069" s="3" t="inlineStr">
        <is>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is>
      </c>
      <c r="G1069" s="5" t="inlineStr">
        <is>
          <t>Conference paper</t>
        </is>
      </c>
      <c r="H1069" s="5" t="inlineStr">
        <is>
          <t>10.1109/icdmw69685.2025.00410</t>
        </is>
      </c>
      <c r="I1069" s="5" t="n"/>
      <c r="J1069" s="3" t="n"/>
    </row>
    <row r="1070" ht="285" customHeight="1" s="18">
      <c r="A1070" s="5" t="inlineStr">
        <is>
          <t>S2-1064</t>
        </is>
      </c>
      <c r="B1070" s="5" t="inlineStr">
        <is>
          <t>B-i</t>
        </is>
      </c>
      <c r="C1070" s="3" t="inlineStr">
        <is>
          <t>Villanueva-Miranda, I.; Xie, Y.; Xiao, G.</t>
        </is>
      </c>
      <c r="D1070" s="6" t="n">
        <v>2025</v>
      </c>
      <c r="E1070" s="3" t="inlineStr">
        <is>
          <t>Sentiment analysis in public health: a systematic review of the current state, challenges, and future directions</t>
        </is>
      </c>
      <c r="F1070" s="3" t="inlineStr">
        <is>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is>
      </c>
      <c r="G1070" s="5" t="inlineStr">
        <is>
          <t>Journal article</t>
        </is>
      </c>
      <c r="H1070" s="5" t="inlineStr">
        <is>
          <t>10.3389/fpubh.2025.1609749</t>
        </is>
      </c>
      <c r="I1070" s="5" t="n"/>
      <c r="J1070" s="3" t="n"/>
    </row>
    <row r="1071" ht="256.5" customHeight="1" s="18">
      <c r="A1071" s="5" t="inlineStr">
        <is>
          <t>S2-1065</t>
        </is>
      </c>
      <c r="B1071" s="5" t="inlineStr">
        <is>
          <t>B-i</t>
        </is>
      </c>
      <c r="C1071" s="3" t="inlineStr">
        <is>
          <t>Allaway, E.; McKeown, K.</t>
        </is>
      </c>
      <c r="D1071" s="6" t="n">
        <v>2023</v>
      </c>
      <c r="E1071" s="3" t="inlineStr">
        <is>
          <t>Zero-shot stance detection: Paradigms and challenges</t>
        </is>
      </c>
      <c r="F1071" s="3" t="inlineStr">
        <is>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is>
      </c>
      <c r="G1071" s="5" t="inlineStr">
        <is>
          <t>Journal article</t>
        </is>
      </c>
      <c r="H1071" s="5" t="inlineStr">
        <is>
          <t>10.3389/frai.2022.1070429</t>
        </is>
      </c>
      <c r="I1071" s="5" t="n"/>
      <c r="J1071" s="3" t="n"/>
    </row>
    <row r="1072" ht="409.5" customHeight="1" s="18">
      <c r="A1072" s="5" t="inlineStr">
        <is>
          <t>S2-1066</t>
        </is>
      </c>
      <c r="B1072" s="5" t="inlineStr">
        <is>
          <t>B-i</t>
        </is>
      </c>
      <c r="C1072" s="3" t="inlineStr">
        <is>
          <t>Thomas, J.; Lucht, A.; Segler, J.; Wundrack, R.; Miché, M.; Lieb, R.; Kuchinke, L.; Meinlschmidt, G.</t>
        </is>
      </c>
      <c r="D1072" s="6" t="n">
        <v>2025</v>
      </c>
      <c r="E1072" s="3" t="inlineStr">
        <is>
          <t>An Explainable Artificial Intelligence Text Classifier for Suicidality Prediction in Youth Crisis Text Line Users: Development and Validation Study</t>
        </is>
      </c>
      <c r="F1072" s="3" t="inlineStr">
        <is>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is>
      </c>
      <c r="G1072" s="5" t="inlineStr">
        <is>
          <t>Journal article</t>
        </is>
      </c>
      <c r="H1072" s="5" t="inlineStr">
        <is>
          <t>10.2196/63809</t>
        </is>
      </c>
      <c r="I1072" s="5" t="n"/>
      <c r="J1072" s="3" t="n"/>
    </row>
    <row r="1073" ht="213.75" customHeight="1" s="18">
      <c r="A1073" s="5" t="inlineStr">
        <is>
          <t>S2-1067</t>
        </is>
      </c>
      <c r="B1073" s="5" t="inlineStr">
        <is>
          <t>B-i</t>
        </is>
      </c>
      <c r="C1073" s="3" t="inlineStr">
        <is>
          <t>Roy, S.; Goldwasser, D.</t>
        </is>
      </c>
      <c r="D1073" s="6" t="n">
        <v>2023</v>
      </c>
      <c r="E1073" s="3" t="inlineStr">
        <is>
          <t>“A Tale of Two Movements”: Identifying and Comparing Perspectives in #BlackLivesMatter and #BlueLivesMatter Movements-related Tweets using Weakly Supervised Graph-based Structured Prediction</t>
        </is>
      </c>
      <c r="F1073" s="3" t="inlineStr">
        <is>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is>
      </c>
      <c r="G1073" s="5" t="inlineStr">
        <is>
          <t>Conference paper</t>
        </is>
      </c>
      <c r="H1073" s="5" t="inlineStr">
        <is>
          <t>10.18653/v1/2023.findings-emnlp.701</t>
        </is>
      </c>
      <c r="I1073" s="5" t="n"/>
      <c r="J1073" s="3" t="n"/>
    </row>
    <row r="1074" ht="256.5" customHeight="1" s="18">
      <c r="A1074" s="5" t="inlineStr">
        <is>
          <t>S2-1068</t>
        </is>
      </c>
      <c r="B1074" s="5" t="inlineStr">
        <is>
          <t>B-i</t>
        </is>
      </c>
      <c r="C1074" s="3" t="inlineStr">
        <is>
          <t>Jain, R.; Singh, A.; Gangwar, V.; Saha, S.</t>
        </is>
      </c>
      <c r="D1074" s="6" t="n">
        <v>2023</v>
      </c>
      <c r="E1074" s="3" t="inlineStr">
        <is>
          <t>AbCoRD: Exploiting multimodal generative approach for Aspect-based Complaint and Rationale Detection</t>
        </is>
      </c>
      <c r="F1074" s="3" t="inlineStr">
        <is>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is>
      </c>
      <c r="G1074" s="5" t="inlineStr">
        <is>
          <t>Conference paper</t>
        </is>
      </c>
      <c r="H1074" s="5" t="inlineStr">
        <is>
          <t>10.1145/3581783.3613776</t>
        </is>
      </c>
      <c r="I1074" s="5" t="n"/>
      <c r="J1074" s="3" t="n"/>
    </row>
    <row r="1075" ht="256.5" customHeight="1" s="18">
      <c r="A1075" s="5" t="inlineStr">
        <is>
          <t>S2-1069</t>
        </is>
      </c>
      <c r="B1075" s="5" t="inlineStr">
        <is>
          <t>B-i</t>
        </is>
      </c>
      <c r="C1075" s="3" t="inlineStr">
        <is>
          <t>Gambini, M.; Senette, C.; Fagni, T.; Tesconi, M.</t>
        </is>
      </c>
      <c r="D1075" s="6" t="n">
        <v>2023</v>
      </c>
      <c r="E1075" s="3" t="inlineStr">
        <is>
          <t>From Tweets to Stance: An Unsupervised Framework for User Stance Detection on Twitter</t>
        </is>
      </c>
      <c r="F1075" s="3" t="inlineStr">
        <is>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is>
      </c>
      <c r="G1075" s="5" t="inlineStr">
        <is>
          <t>Conference paper</t>
        </is>
      </c>
      <c r="H1075" s="5" t="inlineStr">
        <is>
          <t>10.1007/978-3-031-45275-8_7</t>
        </is>
      </c>
      <c r="I1075" s="5" t="n"/>
      <c r="J1075" s="3" t="n"/>
    </row>
    <row r="1076" ht="199.5" customHeight="1" s="18">
      <c r="A1076" s="5" t="inlineStr">
        <is>
          <t>S2-1070</t>
        </is>
      </c>
      <c r="B1076" s="5" t="inlineStr">
        <is>
          <t>B-i</t>
        </is>
      </c>
      <c r="C1076" s="3" t="inlineStr">
        <is>
          <t>Kazari, K.; Chen, Y.; Shakeri, Z.</t>
        </is>
      </c>
      <c r="D1076" s="6" t="n">
        <v>2025</v>
      </c>
      <c r="E1076" s="3" t="inlineStr">
        <is>
          <t>Scaling Public Health Text Annotation: Zero-Shot Learning vs. Crowdsourcing for Improved Efficiency and Labeling Accuracy</t>
        </is>
      </c>
      <c r="F1076" s="3" t="inlineStr">
        <is>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is>
      </c>
      <c r="G1076" s="5" t="inlineStr">
        <is>
          <t>Conference paper</t>
        </is>
      </c>
      <c r="H1076" s="5" t="inlineStr">
        <is>
          <t>10.1109/embc58623.2025.11253134</t>
        </is>
      </c>
      <c r="I1076" s="5" t="n"/>
      <c r="J1076" s="3" t="n"/>
    </row>
    <row r="1077" ht="409.5" customHeight="1" s="18">
      <c r="A1077" s="5" t="inlineStr">
        <is>
          <t>S2-1071</t>
        </is>
      </c>
      <c r="B1077" s="5" t="inlineStr">
        <is>
          <t>B-i</t>
        </is>
      </c>
      <c r="C1077" s="3" t="inlineStr">
        <is>
          <t>Koltcov, S.; Surkov, A.; Koltsova, O.; Ignatenko, V.</t>
        </is>
      </c>
      <c r="D1077" s="6" t="n">
        <v>2024</v>
      </c>
      <c r="E1077" s="3" t="inlineStr">
        <is>
          <t>Using large language models for extracting and pre-annotating texts on mental health from noisy data in a low-resource language</t>
        </is>
      </c>
      <c r="F1077" s="3" t="inlineStr">
        <is>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is>
      </c>
      <c r="G1077" s="5" t="inlineStr">
        <is>
          <t>Journal article</t>
        </is>
      </c>
      <c r="H1077" s="5" t="inlineStr">
        <is>
          <t>10.7717/peerj-cs.2395</t>
        </is>
      </c>
      <c r="I1077" s="5" t="n"/>
      <c r="J1077" s="3" t="n"/>
    </row>
    <row r="1078" ht="342" customHeight="1" s="18">
      <c r="A1078" s="5" t="inlineStr">
        <is>
          <t>S2-1072</t>
        </is>
      </c>
      <c r="B1078" s="5" t="inlineStr">
        <is>
          <t>B-i</t>
        </is>
      </c>
      <c r="C1078" s="3" t="inlineStr">
        <is>
          <t>Wu, S.-H.; Hsun, T.T.</t>
        </is>
      </c>
      <c r="D1078" s="6" t="n">
        <v>2025</v>
      </c>
      <c r="E1078" s="3" t="inlineStr">
        <is>
          <t>Fine-Tuned Models for Hate Speech Detection: Assessing Generalization on Social Media</t>
        </is>
      </c>
      <c r="F1078" s="3" t="inlineStr">
        <is>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is>
      </c>
      <c r="G1078" s="5" t="inlineStr">
        <is>
          <t>Conference paper</t>
        </is>
      </c>
      <c r="H1078" s="5" t="inlineStr">
        <is>
          <t>10.1109/iri66576.2025.00054</t>
        </is>
      </c>
      <c r="I1078" s="5" t="n"/>
      <c r="J1078" s="3" t="n"/>
    </row>
    <row r="1079" ht="370.5" customHeight="1" s="18">
      <c r="A1079" s="5" t="inlineStr">
        <is>
          <t>S2-1073</t>
        </is>
      </c>
      <c r="B1079" s="5" t="inlineStr">
        <is>
          <t>B-i</t>
        </is>
      </c>
      <c r="C1079" s="3" t="inlineStr">
        <is>
          <t>Imtiaz, S.; Hashi, E.K.</t>
        </is>
      </c>
      <c r="D1079" s="6" t="n">
        <v>2024</v>
      </c>
      <c r="E1079" s="3" t="inlineStr">
        <is>
          <t>Analyzing the Performance of Sentiment Analysis Using BERT, DistilBERT, RoBERTa and GPT-2</t>
        </is>
      </c>
      <c r="F1079" s="3" t="inlineStr">
        <is>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is>
      </c>
      <c r="G1079" s="5" t="inlineStr">
        <is>
          <t>Conference paper</t>
        </is>
      </c>
      <c r="H1079" s="5" t="inlineStr">
        <is>
          <t>10.1109/sti64222.2024.10951049</t>
        </is>
      </c>
      <c r="I1079" s="5" t="n"/>
      <c r="J1079" s="3" t="n"/>
    </row>
    <row r="1080" ht="285" customHeight="1" s="18">
      <c r="A1080" s="5" t="inlineStr">
        <is>
          <t>S2-1074</t>
        </is>
      </c>
      <c r="B1080" s="5" t="inlineStr">
        <is>
          <t>B-i</t>
        </is>
      </c>
      <c r="C1080" s="3" t="inlineStr">
        <is>
          <t>Griswold, M.; Robbins, M.W.; Pollard, M.S.</t>
        </is>
      </c>
      <c r="D1080" s="6" t="n">
        <v>2025</v>
      </c>
      <c r="E1080" s="3" t="inlineStr">
        <is>
          <t>Stay Tuned: Improving Sentiment Analysis and Stance Detection Using Large Language Models</t>
        </is>
      </c>
      <c r="F1080" s="3" t="inlineStr">
        <is>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is>
      </c>
      <c r="G1080" s="5" t="inlineStr">
        <is>
          <t>Journal article</t>
        </is>
      </c>
      <c r="H1080" s="5" t="inlineStr">
        <is>
          <t>10.1017/pan.2025.10023</t>
        </is>
      </c>
      <c r="I1080" s="5" t="n"/>
      <c r="J1080" s="3" t="n"/>
    </row>
    <row r="1081" ht="270.75" customHeight="1" s="18">
      <c r="A1081" s="5" t="inlineStr">
        <is>
          <t>S2-1075</t>
        </is>
      </c>
      <c r="B1081" s="5" t="inlineStr">
        <is>
          <t>B-i</t>
        </is>
      </c>
      <c r="C1081" s="3" t="inlineStr">
        <is>
          <t>Félix, L.G.S.; Cunha, W.; de Andrade, C.M.V.; Gonçalves, M.A.; Almeida, J.M.</t>
        </is>
      </c>
      <c r="D1081" s="6" t="n">
        <v>2025</v>
      </c>
      <c r="E1081" s="3" t="inlineStr">
        <is>
          <t>Why are you traveling? Inferring trip profiles from online reviews and domain-knowledge</t>
        </is>
      </c>
      <c r="F1081" s="3" t="inlineStr">
        <is>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is>
      </c>
      <c r="G1081" s="5" t="inlineStr">
        <is>
          <t>Journal article</t>
        </is>
      </c>
      <c r="H1081" s="5" t="inlineStr">
        <is>
          <t>10.1016/j.osnem.2024.100296</t>
        </is>
      </c>
      <c r="I1081" s="5" t="n"/>
      <c r="J1081" s="3" t="n"/>
    </row>
    <row r="1082" ht="327.75" customHeight="1" s="18">
      <c r="A1082" s="5" t="inlineStr">
        <is>
          <t>S2-1076</t>
        </is>
      </c>
      <c r="B1082" s="5" t="inlineStr">
        <is>
          <t>B-i</t>
        </is>
      </c>
      <c r="C1082" s="3" t="inlineStr">
        <is>
          <t>dos Santos Neto, M.V.; da Silva, N.F.F.; da Silva Soares, A.</t>
        </is>
      </c>
      <c r="D1082" s="6" t="n">
        <v>2024</v>
      </c>
      <c r="E1082" s="3" t="inlineStr">
        <is>
          <t>A survey and study impact of tweet sentiment analysis via transfer learning in low resource scenarios</t>
        </is>
      </c>
      <c r="F1082" s="3" t="inlineStr">
        <is>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is>
      </c>
      <c r="G1082" s="5" t="inlineStr">
        <is>
          <t>Journal article</t>
        </is>
      </c>
      <c r="H1082" s="5" t="inlineStr">
        <is>
          <t>10.1007/s10579-023-09687-8</t>
        </is>
      </c>
      <c r="I1082" s="5" t="n"/>
      <c r="J1082" s="3" t="n"/>
    </row>
    <row r="1083" ht="185.25" customHeight="1" s="18">
      <c r="A1083" s="5" t="inlineStr">
        <is>
          <t>S2-1077</t>
        </is>
      </c>
      <c r="B1083" s="5" t="inlineStr">
        <is>
          <t>B-i</t>
        </is>
      </c>
      <c r="C1083" s="3" t="inlineStr">
        <is>
          <t>Weber, M.</t>
        </is>
      </c>
      <c r="D1083" s="6" t="n">
        <v>2024</v>
      </c>
      <c r="E1083" s="3" t="inlineStr">
        <is>
          <t>Social Group Differences in the Social Media Discussion about ChatGPT and Bing Chat</t>
        </is>
      </c>
      <c r="F1083" s="3" t="inlineStr">
        <is>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is>
      </c>
      <c r="G1083" s="5" t="inlineStr">
        <is>
          <t>Conference paper</t>
        </is>
      </c>
      <c r="H1083" s="5" t="inlineStr">
        <is>
          <t>10.1145/3614419.3643997</t>
        </is>
      </c>
      <c r="I1083" s="5" t="n"/>
      <c r="J1083" s="3" t="n"/>
    </row>
    <row r="1084" ht="409.5" customHeight="1" s="18">
      <c r="A1084" s="5" t="inlineStr">
        <is>
          <t>S2-1078</t>
        </is>
      </c>
      <c r="B1084" s="5" t="inlineStr">
        <is>
          <t>B-i</t>
        </is>
      </c>
      <c r="C1084" s="3" t="inlineStr">
        <is>
          <t>Jindal, R.; Malhotra, A.</t>
        </is>
      </c>
      <c r="D1084" s="6" t="n">
        <v>2025</v>
      </c>
      <c r="E1084" s="3" t="inlineStr">
        <is>
          <t>Leveraging Deep Active Learning and Large Language Models for Cost-Efficient Categorization of User-Generated Content</t>
        </is>
      </c>
      <c r="F1084" s="3" t="inlineStr">
        <is>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is>
      </c>
      <c r="G1084" s="5" t="inlineStr">
        <is>
          <t>Conference paper</t>
        </is>
      </c>
      <c r="H1084" s="5" t="inlineStr">
        <is>
          <t>10.1007/978-981-96-3361-6_42</t>
        </is>
      </c>
      <c r="I1084" s="5" t="n"/>
      <c r="J1084" s="3" t="n"/>
    </row>
    <row r="1085" ht="409.5" customHeight="1" s="18">
      <c r="A1085" s="5" t="inlineStr">
        <is>
          <t>S2-1079</t>
        </is>
      </c>
      <c r="B1085" s="5" t="inlineStr">
        <is>
          <t>B-i</t>
        </is>
      </c>
      <c r="C1085" s="3" t="inlineStr">
        <is>
          <t>Mehmood, F.; Alsanad, A.A.; Akbar, M.A.; Leiva, V.; Castro, C.</t>
        </is>
      </c>
      <c r="D1085" s="6" t="n">
        <v>2025</v>
      </c>
      <c r="E1085" s="3" t="inlineStr">
        <is>
          <t>Sentiment Analysis of Twitter Data on Quantum Computing: An Exploratory Silver-Label Baseline Study</t>
        </is>
      </c>
      <c r="F1085" s="3" t="inlineStr">
        <is>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is>
      </c>
      <c r="G1085" s="5" t="inlineStr">
        <is>
          <t>Journal article</t>
        </is>
      </c>
      <c r="H1085" s="5" t="inlineStr">
        <is>
          <t>10.1049/sfw2/1648095</t>
        </is>
      </c>
      <c r="I1085" s="5" t="n"/>
      <c r="J1085" s="3" t="n"/>
    </row>
    <row r="1086" ht="342" customHeight="1" s="18">
      <c r="A1086" s="5" t="inlineStr">
        <is>
          <t>S2-1080</t>
        </is>
      </c>
      <c r="B1086" s="5" t="inlineStr">
        <is>
          <t>B-i</t>
        </is>
      </c>
      <c r="C1086" s="3" t="inlineStr">
        <is>
          <t>Aliyu, Y.; Sarlan, A.; Danyaro, K.U.; Rahman, A.S.B.A.</t>
        </is>
      </c>
      <c r="D1086" s="6" t="n">
        <v>2024</v>
      </c>
      <c r="E1086" s="3" t="inlineStr">
        <is>
          <t>Comparative Analysis of Transformer Models for Sentiment Analysis in Low-Resource Languages</t>
        </is>
      </c>
      <c r="F1086" s="3" t="inlineStr">
        <is>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is>
      </c>
      <c r="G1086" s="5" t="inlineStr">
        <is>
          <t>Journal article</t>
        </is>
      </c>
      <c r="H1086" s="5" t="inlineStr">
        <is>
          <t>10.14569/ijacsa.2024.0150437</t>
        </is>
      </c>
      <c r="I1086" s="5" t="n"/>
      <c r="J1086" s="3" t="n"/>
    </row>
    <row r="1087" ht="299.25" customHeight="1" s="18">
      <c r="A1087" s="5" t="inlineStr">
        <is>
          <t>S2-1081</t>
        </is>
      </c>
      <c r="B1087" s="5" t="inlineStr">
        <is>
          <t>B-i</t>
        </is>
      </c>
      <c r="C1087" s="3" t="inlineStr">
        <is>
          <t>Ding, J.; Zhao, Z.</t>
        </is>
      </c>
      <c r="D1087" s="6" t="n">
        <v>2025</v>
      </c>
      <c r="E1087" s="3" t="inlineStr">
        <is>
          <t>Fake News Detection Based on Large Language Models</t>
        </is>
      </c>
      <c r="F1087" s="3" t="inlineStr">
        <is>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is>
      </c>
      <c r="G1087" s="5" t="inlineStr">
        <is>
          <t>Conference paper</t>
        </is>
      </c>
      <c r="H1087" s="5" t="inlineStr">
        <is>
          <t>10.1109/scecs65243.2025.11065160</t>
        </is>
      </c>
      <c r="I1087" s="5" t="n"/>
      <c r="J1087" s="3" t="n"/>
    </row>
    <row r="1088" ht="270.75" customHeight="1" s="18">
      <c r="A1088" s="5" t="inlineStr">
        <is>
          <t>S2-1082</t>
        </is>
      </c>
      <c r="B1088" s="5" t="inlineStr">
        <is>
          <t>B-i</t>
        </is>
      </c>
      <c r="C1088" s="3" t="inlineStr">
        <is>
          <t>Sahu, G.; Vechtomova, O.; Bahdanau, D.; Laradji, I.H.</t>
        </is>
      </c>
      <c r="D1088" s="6" t="n">
        <v>2023</v>
      </c>
      <c r="E1088" s="3" t="inlineStr">
        <is>
          <t>PromptMix: A Class Boundary Augmentation Method for Large Language Model Distillation</t>
        </is>
      </c>
      <c r="F1088" s="3" t="inlineStr">
        <is>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is>
      </c>
      <c r="G1088" s="5" t="inlineStr">
        <is>
          <t>Conference paper</t>
        </is>
      </c>
      <c r="H1088" s="5" t="inlineStr">
        <is>
          <t>10.18653/v1/2023.emnlp-main.323</t>
        </is>
      </c>
      <c r="I1088" s="5" t="n"/>
      <c r="J1088" s="3" t="n"/>
    </row>
    <row r="1089" ht="299.25" customHeight="1" s="18">
      <c r="A1089" s="5" t="inlineStr">
        <is>
          <t>S2-1083</t>
        </is>
      </c>
      <c r="B1089" s="5" t="inlineStr">
        <is>
          <t>B-i</t>
        </is>
      </c>
      <c r="C1089" s="3" t="inlineStr">
        <is>
          <t>Soomro, S.-E.-E.; Boota, M.W.; Zwain, H.M.; Soomro, G.-E.-Z.; Shi, X.; Guo, J.; Li, Y.; Tayyab, M.; Aamir Soomro, M.H.A.; Hu, C.; Liu, C.; Wang, Y.; Wahid, J.A.; Bai, Y.; Nazli, S.; Yu, J.</t>
        </is>
      </c>
      <c r="D1089" s="6" t="n">
        <v>2024</v>
      </c>
      <c r="E1089" s="3" t="inlineStr">
        <is>
          <t>How effective is twitter (X) social media data for urban flood management?</t>
        </is>
      </c>
      <c r="F1089" s="3" t="inlineStr">
        <is>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is>
      </c>
      <c r="G1089" s="5" t="inlineStr">
        <is>
          <t>Journal article</t>
        </is>
      </c>
      <c r="H1089" s="5" t="inlineStr">
        <is>
          <t>10.1016/j.jhydrol.2024.131129</t>
        </is>
      </c>
      <c r="I1089" s="5" t="n"/>
      <c r="J1089" s="3" t="n"/>
    </row>
    <row r="1090" ht="285" customHeight="1" s="18">
      <c r="A1090" s="5" t="inlineStr">
        <is>
          <t>S2-1084</t>
        </is>
      </c>
      <c r="B1090" s="5" t="inlineStr">
        <is>
          <t>B-i</t>
        </is>
      </c>
      <c r="C1090" s="3" t="inlineStr">
        <is>
          <t>Hasanain, M.; Ahmed, F.; Alam, F.</t>
        </is>
      </c>
      <c r="D1090" s="6" t="n">
        <v>2024</v>
      </c>
      <c r="E1090" s="3" t="inlineStr">
        <is>
          <t>Can GPT-4 Identify Propaganda? Annotation and Detection of Propaganda Spans in News Articles</t>
        </is>
      </c>
      <c r="F1090" s="3" t="inlineStr">
        <is>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is>
      </c>
      <c r="G1090" s="5" t="inlineStr">
        <is>
          <t>Conference paper</t>
        </is>
      </c>
      <c r="H1090" s="5" t="n"/>
      <c r="I1090" s="5" t="n"/>
      <c r="J1090" s="3" t="n"/>
    </row>
    <row r="1091" ht="213.75" customHeight="1" s="18">
      <c r="A1091" s="5" t="inlineStr">
        <is>
          <t>S2-1085</t>
        </is>
      </c>
      <c r="B1091" s="5" t="inlineStr">
        <is>
          <t>B-i</t>
        </is>
      </c>
      <c r="C1091" s="3" t="inlineStr">
        <is>
          <t>Diamantini, C.; Mircoli, A.; Potena, D.; Vagnoni, S.</t>
        </is>
      </c>
      <c r="D1091" s="6" t="n">
        <v>2023</v>
      </c>
      <c r="E1091" s="3" t="inlineStr">
        <is>
          <t>An Experimental Comparison of Large Language Models for Emotion Recognition in Italian Tweets</t>
        </is>
      </c>
      <c r="F1091" s="3" t="inlineStr">
        <is>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is>
      </c>
      <c r="G1091" s="5" t="inlineStr">
        <is>
          <t>Conference paper</t>
        </is>
      </c>
      <c r="H1091" s="5" t="n"/>
      <c r="I1091" s="5" t="n"/>
      <c r="J1091" s="3" t="n"/>
    </row>
    <row r="1092" ht="356.25" customHeight="1" s="18">
      <c r="A1092" s="5" t="inlineStr">
        <is>
          <t>S2-1086</t>
        </is>
      </c>
      <c r="B1092" s="5" t="inlineStr">
        <is>
          <t>B-i</t>
        </is>
      </c>
      <c r="C1092" s="3" t="inlineStr">
        <is>
          <t>Qorich, M.; El Ouazzani, R.</t>
        </is>
      </c>
      <c r="D1092" s="6" t="n">
        <v>2024</v>
      </c>
      <c r="E1092" s="3" t="inlineStr">
        <is>
          <t>Advanced deep learning and large language models for suicide ideation detection on social media</t>
        </is>
      </c>
      <c r="F1092" s="3" t="inlineStr">
        <is>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is>
      </c>
      <c r="G1092" s="5" t="inlineStr">
        <is>
          <t>Journal article</t>
        </is>
      </c>
      <c r="H1092" s="5" t="inlineStr">
        <is>
          <t>10.1007/s13748-024-00326-z</t>
        </is>
      </c>
      <c r="I1092" s="5" t="n"/>
      <c r="J1092" s="3" t="n"/>
    </row>
    <row r="1093" ht="242.25" customHeight="1" s="18">
      <c r="A1093" s="5" t="inlineStr">
        <is>
          <t>S2-1087</t>
        </is>
      </c>
      <c r="B1093" s="5" t="inlineStr">
        <is>
          <t>B-i</t>
        </is>
      </c>
      <c r="C1093" s="3" t="inlineStr">
        <is>
          <t>Cao, R.; Hu, M.; Wei, J.; Ihnaini, B.</t>
        </is>
      </c>
      <c r="D1093" s="6" t="n">
        <v>2024</v>
      </c>
      <c r="E1093" s="3" t="inlineStr">
        <is>
          <t>The Moral Foundations Weibo Corpus</t>
        </is>
      </c>
      <c r="F1093" s="3" t="inlineStr">
        <is>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is>
      </c>
      <c r="G1093" s="5" t="inlineStr">
        <is>
          <t>Conference paper</t>
        </is>
      </c>
      <c r="H1093" s="5" t="inlineStr">
        <is>
          <t>10.18653/v1/2024.nlp4science-1.13</t>
        </is>
      </c>
      <c r="I1093" s="5" t="n"/>
      <c r="J1093" s="3" t="n"/>
    </row>
    <row r="1094" ht="242.25" customHeight="1" s="18">
      <c r="A1094" s="5" t="inlineStr">
        <is>
          <t>S2-1088</t>
        </is>
      </c>
      <c r="B1094" s="5" t="inlineStr">
        <is>
          <t>B-i</t>
        </is>
      </c>
      <c r="C1094" s="3" t="inlineStr">
        <is>
          <t>Abdirahman, A.A.; Hashi, A.O.; Dahir, U.M.; Elmi, M.A.; Rodriguez, O.E.R.</t>
        </is>
      </c>
      <c r="D1094" s="6" t="n">
        <v>2023</v>
      </c>
      <c r="E1094" s="3" t="inlineStr">
        <is>
          <t>Comparative Analysis of Machine Learning and Deep Learning Models for Sentiment Analysis in Somali Language</t>
        </is>
      </c>
      <c r="F1094" s="3" t="inlineStr">
        <is>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is>
      </c>
      <c r="G1094" s="5" t="inlineStr">
        <is>
          <t>Journal article</t>
        </is>
      </c>
      <c r="H1094" s="5" t="inlineStr">
        <is>
          <t>10.14445/23488379/ijeee-v10i7p104</t>
        </is>
      </c>
      <c r="I1094" s="5" t="n"/>
      <c r="J1094" s="3" t="n"/>
    </row>
    <row r="1095" ht="342" customHeight="1" s="18">
      <c r="A1095" s="5" t="inlineStr">
        <is>
          <t>S2-1089</t>
        </is>
      </c>
      <c r="B1095" s="5" t="inlineStr">
        <is>
          <t>B-i</t>
        </is>
      </c>
      <c r="C1095" s="3" t="inlineStr">
        <is>
          <t>Huang, Z.; Du, K.; Zhang, X.; Mao, R.; Cambria, E.</t>
        </is>
      </c>
      <c r="D1095" s="6" t="n">
        <v>2025</v>
      </c>
      <c r="E1095" s="3" t="inlineStr">
        <is>
          <t>Combining LLM-Generated Knowledge Graphs with RAG for Financial Sentiment Extraction</t>
        </is>
      </c>
      <c r="F1095" s="3" t="inlineStr">
        <is>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is>
      </c>
      <c r="G1095" s="5" t="inlineStr">
        <is>
          <t>Conference paper</t>
        </is>
      </c>
      <c r="H1095" s="5" t="inlineStr">
        <is>
          <t>10.1109/icdmw69685.2025.00250</t>
        </is>
      </c>
      <c r="I1095" s="5" t="n"/>
      <c r="J1095" s="3" t="n"/>
    </row>
    <row r="1096" ht="356.25" customHeight="1" s="18">
      <c r="A1096" s="5" t="inlineStr">
        <is>
          <t>S2-1090</t>
        </is>
      </c>
      <c r="B1096" s="5" t="inlineStr">
        <is>
          <t>B-i</t>
        </is>
      </c>
      <c r="C1096" s="3" t="inlineStr">
        <is>
          <t>Manias, G.; Mavrogiorgou, A.; Kiourtis, A.; Symvoulidis, C.; Kyriazis, D.</t>
        </is>
      </c>
      <c r="D1096" s="6" t="n">
        <v>2023</v>
      </c>
      <c r="E1096" s="3" t="inlineStr">
        <is>
          <t>Multilingual text categorization and sentiment analysis: a comparative analysis of the utilization of multilingual approaches for classifying twitter data</t>
        </is>
      </c>
      <c r="F1096" s="3" t="inlineStr">
        <is>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is>
      </c>
      <c r="G1096" s="5" t="inlineStr">
        <is>
          <t>Journal article</t>
        </is>
      </c>
      <c r="H1096" s="5" t="inlineStr">
        <is>
          <t>10.1007/s00521-023-08629-3</t>
        </is>
      </c>
      <c r="I1096" s="5" t="n"/>
      <c r="J1096" s="3" t="n"/>
    </row>
    <row r="1097" ht="285" customHeight="1" s="18">
      <c r="A1097" s="5" t="inlineStr">
        <is>
          <t>S2-1091</t>
        </is>
      </c>
      <c r="B1097" s="5" t="inlineStr">
        <is>
          <t>B-i</t>
        </is>
      </c>
      <c r="C1097" s="3" t="inlineStr">
        <is>
          <t>Michailidis, P.D.</t>
        </is>
      </c>
      <c r="D1097" s="6" t="n">
        <v>2024</v>
      </c>
      <c r="E1097" s="3" t="inlineStr">
        <is>
          <t>A Comparative Study of Sentiment Classification Models for Greek Reviews</t>
        </is>
      </c>
      <c r="F1097" s="3" t="inlineStr">
        <is>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is>
      </c>
      <c r="G1097" s="5" t="inlineStr">
        <is>
          <t>Journal article</t>
        </is>
      </c>
      <c r="H1097" s="5" t="inlineStr">
        <is>
          <t>10.3390/bdcc8090107</t>
        </is>
      </c>
      <c r="I1097" s="5" t="n"/>
      <c r="J1097" s="3" t="n"/>
    </row>
    <row r="1098" ht="228" customHeight="1" s="18">
      <c r="A1098" s="5" t="inlineStr">
        <is>
          <t>S2-1092</t>
        </is>
      </c>
      <c r="B1098" s="5" t="inlineStr">
        <is>
          <t>B-i</t>
        </is>
      </c>
      <c r="C1098" s="3" t="inlineStr">
        <is>
          <t>Glazkova, A.; Zakharova, O.</t>
        </is>
      </c>
      <c r="D1098" s="6" t="n">
        <v>2024</v>
      </c>
      <c r="E1098" s="3" t="inlineStr">
        <is>
          <t>Evaluating LLM Prompts for Data Augmentation in Multi-Label Classification of Ecological Texts</t>
        </is>
      </c>
      <c r="F1098" s="3" t="inlineStr">
        <is>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is>
      </c>
      <c r="G1098" s="5" t="inlineStr">
        <is>
          <t>Conference paper</t>
        </is>
      </c>
      <c r="H1098" s="5" t="inlineStr">
        <is>
          <t>10.1109/ispras64596.2024.10899128</t>
        </is>
      </c>
      <c r="I1098" s="5" t="n"/>
      <c r="J1098" s="3" t="n"/>
    </row>
    <row r="1099" ht="384.75" customHeight="1" s="18">
      <c r="A1099" s="5" t="inlineStr">
        <is>
          <t>S2-1093</t>
        </is>
      </c>
      <c r="B1099" s="5" t="inlineStr">
        <is>
          <t>B-i</t>
        </is>
      </c>
      <c r="C1099" s="3" t="inlineStr">
        <is>
          <t>Chen, W.; Hussain, W.; Chen, J.</t>
        </is>
      </c>
      <c r="D1099" s="6" t="n">
        <v>2025</v>
      </c>
      <c r="E1099" s="3" t="inlineStr">
        <is>
          <t>GLMTopic: A Hybrid Chinese Topic Model Leveraging Large Language Models</t>
        </is>
      </c>
      <c r="F1099" s="3" t="inlineStr">
        <is>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is>
      </c>
      <c r="G1099" s="5" t="inlineStr">
        <is>
          <t>Journal article</t>
        </is>
      </c>
      <c r="H1099" s="5" t="inlineStr">
        <is>
          <t>10.32604/cmc.2025.065916</t>
        </is>
      </c>
      <c r="I1099" s="5" t="n"/>
      <c r="J1099" s="3" t="n"/>
    </row>
    <row r="1100" ht="142.5" customHeight="1" s="18">
      <c r="A1100" s="5" t="inlineStr">
        <is>
          <t>S2-1094</t>
        </is>
      </c>
      <c r="B1100" s="5" t="inlineStr">
        <is>
          <t>B-i</t>
        </is>
      </c>
      <c r="C1100" s="3" t="inlineStr">
        <is>
          <t>Heinrich, P.; Blombach, A.; Dang, B.M.D.; Zilio, L.; Havenstein, L.; Dykes, N.; Evert, S.; Schäfer, F.</t>
        </is>
      </c>
      <c r="D1100" s="6" t="n">
        <v>2024</v>
      </c>
      <c r="E1100" s="3" t="inlineStr">
        <is>
          <t>Automatic Identification of COVID-19-related Narratives in German Telegram Channels and Chats</t>
        </is>
      </c>
      <c r="F1100" s="3" t="inlineStr">
        <is>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is>
      </c>
      <c r="G1100" s="5" t="inlineStr">
        <is>
          <t>Conference paper</t>
        </is>
      </c>
      <c r="H1100" s="5" t="n"/>
      <c r="I1100" s="5" t="n"/>
      <c r="J1100" s="3" t="n"/>
    </row>
    <row r="1101" ht="327.75" customHeight="1" s="18">
      <c r="A1101" s="5" t="inlineStr">
        <is>
          <t>S2-1095</t>
        </is>
      </c>
      <c r="B1101" s="5" t="inlineStr">
        <is>
          <t>B-i</t>
        </is>
      </c>
      <c r="C1101" s="3" t="inlineStr">
        <is>
          <t>Mets, M.; Karjus, A.; Ibrus, I.; Schich, M.</t>
        </is>
      </c>
      <c r="D1101" s="6" t="n">
        <v>2024</v>
      </c>
      <c r="E1101" s="3" t="inlineStr">
        <is>
          <t>Automated stance detection in complex topics and small languages: The challenging case of immigration in polarizing news media</t>
        </is>
      </c>
      <c r="F1101" s="3" t="inlineStr">
        <is>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is>
      </c>
      <c r="G1101" s="5" t="inlineStr">
        <is>
          <t>Journal article</t>
        </is>
      </c>
      <c r="H1101" s="5" t="inlineStr">
        <is>
          <t>10.1371/journal.pone.0302380</t>
        </is>
      </c>
      <c r="I1101" s="5" t="n"/>
      <c r="J1101" s="3" t="n"/>
    </row>
    <row r="1102" ht="185.25" customHeight="1" s="18">
      <c r="A1102" s="5" t="inlineStr">
        <is>
          <t>S2-1096</t>
        </is>
      </c>
      <c r="B1102" s="5" t="inlineStr">
        <is>
          <t>B-i</t>
        </is>
      </c>
      <c r="C1102" s="3" t="inlineStr">
        <is>
          <t>Cetinkaya, Y.M.; Lee, Y.; Kulah, E.; Toroslu, I.H.; Cowan, M.A.; Davulcu, H.</t>
        </is>
      </c>
      <c r="D1102" s="6" t="n">
        <v>2024</v>
      </c>
      <c r="E1102" s="3" t="inlineStr">
        <is>
          <t>Toward a Programmable Humanizing Artificial Intelligence Through Scalable Stance-Directed Architecture</t>
        </is>
      </c>
      <c r="F1102" s="3" t="inlineStr">
        <is>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is>
      </c>
      <c r="G1102" s="5" t="inlineStr">
        <is>
          <t>Journal article</t>
        </is>
      </c>
      <c r="H1102" s="5" t="inlineStr">
        <is>
          <t>10.1109/mic.2024.3450090</t>
        </is>
      </c>
      <c r="I1102" s="5" t="n"/>
      <c r="J1102" s="3" t="n"/>
    </row>
    <row r="1103" ht="242.25" customHeight="1" s="18">
      <c r="A1103" s="5" t="inlineStr">
        <is>
          <t>S2-1097</t>
        </is>
      </c>
      <c r="B1103" s="5" t="inlineStr">
        <is>
          <t>B-i</t>
        </is>
      </c>
      <c r="C1103" s="3" t="inlineStr">
        <is>
          <t>Sharma, V.; Tripathi, A.; Kavitha, K.M.</t>
        </is>
      </c>
      <c r="D1103" s="6" t="n">
        <v>2025</v>
      </c>
      <c r="E1103" s="3" t="inlineStr">
        <is>
          <t>Benchmarking Machine Learning Techniques in Under-Resourced Contexts: Analysis of Public Perceptions of Government Policies from South Karnataka Reddit Discourse</t>
        </is>
      </c>
      <c r="F1103" s="3" t="inlineStr">
        <is>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is>
      </c>
      <c r="G1103" s="5" t="inlineStr">
        <is>
          <t>Conference paper</t>
        </is>
      </c>
      <c r="H1103" s="5" t="inlineStr">
        <is>
          <t>10.1109/ciees66347.2025.11300080</t>
        </is>
      </c>
      <c r="I1103" s="5" t="n"/>
      <c r="J1103" s="3" t="n"/>
    </row>
    <row r="1104" ht="256.5" customHeight="1" s="18">
      <c r="A1104" s="5" t="inlineStr">
        <is>
          <t>S2-1098</t>
        </is>
      </c>
      <c r="B1104" s="5" t="inlineStr">
        <is>
          <t>B-i</t>
        </is>
      </c>
      <c r="C1104" s="3" t="inlineStr">
        <is>
          <t>Praveen, K.; Darshan, R.K.; Reddy, C.T.; Anand Kumar, M.</t>
        </is>
      </c>
      <c r="D1104" s="6" t="n">
        <v>2024</v>
      </c>
      <c r="E1104" s="3" t="inlineStr">
        <is>
          <t>SCaLAR NITK at Touché: Comparative Analysis of Machine Learning Models for Human Value Identification</t>
        </is>
      </c>
      <c r="F1104" s="3" t="inlineStr">
        <is>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is>
      </c>
      <c r="G1104" s="5" t="inlineStr">
        <is>
          <t>Conference paper</t>
        </is>
      </c>
      <c r="H1104" s="5" t="n"/>
      <c r="I1104" s="5" t="n"/>
      <c r="J1104" s="3" t="n"/>
    </row>
    <row r="1105" ht="299.25" customHeight="1" s="18">
      <c r="A1105" s="5" t="inlineStr">
        <is>
          <t>S2-1099</t>
        </is>
      </c>
      <c r="B1105" s="5" t="inlineStr">
        <is>
          <t>B-i</t>
        </is>
      </c>
      <c r="C1105" s="3" t="inlineStr">
        <is>
          <t>Zhong, L.; Li, L.; Zhong, X.</t>
        </is>
      </c>
      <c r="D1105" s="6" t="n">
        <v>2024</v>
      </c>
      <c r="E1105" s="3" t="inlineStr">
        <is>
          <t>An Empirical Study on Sentiment Intensity Analysis via Reading Comprehension Models</t>
        </is>
      </c>
      <c r="F1105" s="3" t="inlineStr">
        <is>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is>
      </c>
      <c r="G1105" s="5" t="inlineStr">
        <is>
          <t>Conference paper</t>
        </is>
      </c>
      <c r="H1105" s="5" t="inlineStr">
        <is>
          <t>10.1145/3689090.3689390</t>
        </is>
      </c>
      <c r="I1105" s="5" t="n"/>
      <c r="J1105" s="3" t="n"/>
    </row>
    <row r="1106" ht="242.25" customHeight="1" s="18">
      <c r="A1106" s="5" t="inlineStr">
        <is>
          <t>S2-1100</t>
        </is>
      </c>
      <c r="B1106" s="5" t="inlineStr">
        <is>
          <t>B-i</t>
        </is>
      </c>
      <c r="C1106" s="3" t="inlineStr">
        <is>
          <t>Lee, Y.</t>
        </is>
      </c>
      <c r="D1106" s="6" t="n">
        <v>2024</v>
      </c>
      <c r="E1106" s="3" t="inlineStr">
        <is>
          <t>Community Perspectives on ChatGPT: Sentiment Analysis in Educational Forum</t>
        </is>
      </c>
      <c r="F1106" s="3" t="inlineStr">
        <is>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is>
      </c>
      <c r="G1106" s="5" t="inlineStr">
        <is>
          <t>Journal article</t>
        </is>
      </c>
      <c r="H1106" s="5" t="inlineStr">
        <is>
          <t>10.1007/s11528-024-01012-6</t>
        </is>
      </c>
      <c r="I1106" s="5" t="n"/>
      <c r="J1106" s="3" t="n"/>
    </row>
    <row r="1107" ht="270.75" customHeight="1" s="18">
      <c r="A1107" s="5" t="inlineStr">
        <is>
          <t>S2-1101</t>
        </is>
      </c>
      <c r="B1107" s="5" t="inlineStr">
        <is>
          <t>B-i</t>
        </is>
      </c>
      <c r="C1107" s="3" t="inlineStr">
        <is>
          <t>Panagiotou, M.; Gkatzionis, K.; Kaloudis, E.</t>
        </is>
      </c>
      <c r="D1107" s="6" t="n">
        <v>2025</v>
      </c>
      <c r="E1107" s="3" t="inlineStr">
        <is>
          <t>Food Neologisms and Word Formation Trends Identified on Social Media Posts Using LLMs for Hashtag Collection</t>
        </is>
      </c>
      <c r="F1107" s="3" t="inlineStr">
        <is>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is>
      </c>
      <c r="G1107" s="5" t="inlineStr">
        <is>
          <t>Conference paper</t>
        </is>
      </c>
      <c r="H1107" s="5" t="n"/>
      <c r="I1107" s="5" t="n"/>
      <c r="J1107" s="3" t="n"/>
    </row>
    <row r="1108" ht="327.75" customHeight="1" s="18">
      <c r="A1108" s="5" t="inlineStr">
        <is>
          <t>S2-1102</t>
        </is>
      </c>
      <c r="B1108" s="5" t="inlineStr">
        <is>
          <t>B-i</t>
        </is>
      </c>
      <c r="C1108" s="3" t="inlineStr">
        <is>
          <t>Rink, O.; Maysuradze, A.; Fedorov, A.; Ischenko, R.; Korchagina, A.; Tabachenkov, A.; Tsybanov, I.; Vorontsov, K.</t>
        </is>
      </c>
      <c r="D1108" s="6" t="n">
        <v>2025</v>
      </c>
      <c r="E1108" s="3" t="inlineStr">
        <is>
          <t>Automated Detection of Human Values in Texts: ML Challenges and Performance Benchmarks</t>
        </is>
      </c>
      <c r="F1108" s="3" t="inlineStr">
        <is>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is>
      </c>
      <c r="G1108" s="5" t="inlineStr">
        <is>
          <t>Conference paper</t>
        </is>
      </c>
      <c r="H1108" s="5" t="inlineStr">
        <is>
          <t>10.1007/978-3-031-93536-7_22</t>
        </is>
      </c>
      <c r="I1108" s="5" t="n"/>
      <c r="J1108" s="3" t="n"/>
    </row>
    <row r="1109" ht="256.5" customHeight="1" s="18">
      <c r="A1109" s="5" t="inlineStr">
        <is>
          <t>S2-1103</t>
        </is>
      </c>
      <c r="B1109" s="5" t="inlineStr">
        <is>
          <t>B-i</t>
        </is>
      </c>
      <c r="C1109" s="3" t="inlineStr">
        <is>
          <t>Sherif, A.; Sabty, C.</t>
        </is>
      </c>
      <c r="D1109" s="6" t="n">
        <v>2025</v>
      </c>
      <c r="E1109" s="3" t="inlineStr">
        <is>
          <t>Sentiment Analysis for Egyptian Arabic-English Code-Switched Data Using Traditional Neural Models and Advanced Language Models</t>
        </is>
      </c>
      <c r="F1109" s="3" t="inlineStr">
        <is>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is>
      </c>
      <c r="G1109" s="5" t="inlineStr">
        <is>
          <t>Conference paper</t>
        </is>
      </c>
      <c r="H1109" s="5" t="inlineStr">
        <is>
          <t>10.1007/978-3-031-78014-1_5</t>
        </is>
      </c>
      <c r="I1109" s="5" t="n"/>
      <c r="J1109" s="3" t="n"/>
    </row>
    <row r="1110" ht="299.25" customHeight="1" s="18">
      <c r="A1110" s="5" t="inlineStr">
        <is>
          <t>S2-1104</t>
        </is>
      </c>
      <c r="B1110" s="5" t="inlineStr">
        <is>
          <t>B-i</t>
        </is>
      </c>
      <c r="C1110" s="3" t="inlineStr">
        <is>
          <t>Lunawat, S.; Kocharekar, A.; Honmode, I.; Lavate, A.; Sarda, P.</t>
        </is>
      </c>
      <c r="D1110" s="6" t="n">
        <v>2025</v>
      </c>
      <c r="E1110" s="3" t="inlineStr">
        <is>
          <t>Generative AI for Business Strategy: Social Media Analysis and Insights</t>
        </is>
      </c>
      <c r="F1110" s="3" t="inlineStr">
        <is>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is>
      </c>
      <c r="G1110" s="5" t="inlineStr">
        <is>
          <t>Conference paper</t>
        </is>
      </c>
      <c r="H1110" s="5" t="inlineStr">
        <is>
          <t>10.1109/i2itcon65200.2025.11210651</t>
        </is>
      </c>
      <c r="I1110" s="5" t="n"/>
      <c r="J1110" s="3" t="n"/>
    </row>
    <row r="1111" ht="228" customHeight="1" s="18">
      <c r="A1111" s="5" t="inlineStr">
        <is>
          <t>S2-1105</t>
        </is>
      </c>
      <c r="B1111" s="5" t="inlineStr">
        <is>
          <t>B-i</t>
        </is>
      </c>
      <c r="C1111" s="3" t="inlineStr">
        <is>
          <t>Ghosh, S.; Dewitt, N.; Ghosh, S.; McCoy, D.</t>
        </is>
      </c>
      <c r="D1111" s="6" t="n">
        <v>2025</v>
      </c>
      <c r="E1111" s="3" t="inlineStr">
        <is>
          <t>Unmasking Public Sentiment: A Sample Efficient Approach to Analyzing Twitter Opinion on U.S. Aid to Ukraine</t>
        </is>
      </c>
      <c r="F1111" s="3" t="inlineStr">
        <is>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is>
      </c>
      <c r="G1111" s="5" t="inlineStr">
        <is>
          <t>Conference paper</t>
        </is>
      </c>
      <c r="H1111" s="5" t="n"/>
      <c r="I1111" s="5" t="n"/>
      <c r="J1111" s="3" t="n"/>
    </row>
    <row r="1112" ht="270.75" customHeight="1" s="18">
      <c r="A1112" s="5" t="inlineStr">
        <is>
          <t>S2-1106</t>
        </is>
      </c>
      <c r="B1112" s="5" t="inlineStr">
        <is>
          <t>B-i</t>
        </is>
      </c>
      <c r="C1112" s="3" t="inlineStr">
        <is>
          <t>Patel, D.</t>
        </is>
      </c>
      <c r="D1112" s="6" t="n">
        <v>2025</v>
      </c>
      <c r="E1112" s="3" t="inlineStr">
        <is>
          <t>Enhancing Sentiments Analysis via Large Language Model Meet for Text-Centric Twitter Classification</t>
        </is>
      </c>
      <c r="F1112" s="3" t="inlineStr">
        <is>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is>
      </c>
      <c r="G1112" s="5" t="inlineStr">
        <is>
          <t>Conference paper</t>
        </is>
      </c>
      <c r="H1112" s="5" t="inlineStr">
        <is>
          <t>10.1109/mpcon66082.2025.11256707</t>
        </is>
      </c>
      <c r="I1112" s="5" t="n"/>
      <c r="J1112" s="3" t="n"/>
    </row>
    <row r="1113" ht="256.5" customHeight="1" s="18">
      <c r="A1113" s="5" t="inlineStr">
        <is>
          <t>S2-1107</t>
        </is>
      </c>
      <c r="B1113" s="5" t="inlineStr">
        <is>
          <t>B-i</t>
        </is>
      </c>
      <c r="C1113" s="3" t="inlineStr">
        <is>
          <t>Choi, E.C.; Ferrara, E.</t>
        </is>
      </c>
      <c r="D1113" s="6" t="n">
        <v>2024</v>
      </c>
      <c r="E1113" s="3" t="inlineStr">
        <is>
          <t>Automated Claim Matching with Large Language Models: Empowering Fact-Checkers in the Fight Against Misinformation</t>
        </is>
      </c>
      <c r="F1113" s="3" t="inlineStr">
        <is>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is>
      </c>
      <c r="G1113" s="5" t="inlineStr">
        <is>
          <t>Conference paper</t>
        </is>
      </c>
      <c r="H1113" s="5" t="inlineStr">
        <is>
          <t>10.1145/3589335.3651910</t>
        </is>
      </c>
      <c r="I1113" s="5" t="n"/>
      <c r="J1113" s="3" t="n"/>
    </row>
    <row r="1114" ht="409.5" customHeight="1" s="18">
      <c r="A1114" s="5" t="inlineStr">
        <is>
          <t>S2-1108</t>
        </is>
      </c>
      <c r="B1114" s="5" t="inlineStr">
        <is>
          <t>B-i</t>
        </is>
      </c>
      <c r="C1114" s="3" t="inlineStr">
        <is>
          <t>Pérez-Pérez, M.; Gonzalez, M.F.; Rodriguez-Rajo, F.J.; Fdez-Riverola, F.</t>
        </is>
      </c>
      <c r="D1114" s="6" t="n">
        <v>2024</v>
      </c>
      <c r="E1114" s="3" t="inlineStr">
        <is>
          <t>Tracking the Spread of Pollen on Social Media Using Pollen-Related Messages From Twitter: Retrospective Analysis</t>
        </is>
      </c>
      <c r="F1114" s="3" t="inlineStr">
        <is>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is>
      </c>
      <c r="G1114" s="5" t="inlineStr">
        <is>
          <t>Journal article</t>
        </is>
      </c>
      <c r="H1114" s="5" t="inlineStr">
        <is>
          <t>10.2196/58309</t>
        </is>
      </c>
      <c r="I1114" s="5" t="n"/>
      <c r="J1114" s="3" t="n"/>
    </row>
    <row r="1115" ht="213.75" customHeight="1" s="18">
      <c r="A1115" s="5" t="inlineStr">
        <is>
          <t>S2-1109</t>
        </is>
      </c>
      <c r="B1115" s="5" t="inlineStr">
        <is>
          <t>B-i</t>
        </is>
      </c>
      <c r="C1115" s="3" t="inlineStr">
        <is>
          <t>Münker, S.; Kugler, K.; Rettinger, A.</t>
        </is>
      </c>
      <c r="D1115" s="6" t="n">
        <v>2025</v>
      </c>
      <c r="E1115" s="3" t="inlineStr">
        <is>
          <t>Zero-shot prompt-based classification: topic labeling in times of foundation models in German Tweets</t>
        </is>
      </c>
      <c r="F1115" s="3" t="inlineStr">
        <is>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is>
      </c>
      <c r="G1115" s="5" t="inlineStr">
        <is>
          <t>Conference paper</t>
        </is>
      </c>
      <c r="H1115" s="5" t="inlineStr">
        <is>
          <t>10.18653/v1/2025.acl-srw.4</t>
        </is>
      </c>
      <c r="I1115" s="5" t="n"/>
      <c r="J1115" s="3" t="n"/>
    </row>
    <row r="1116" ht="285" customHeight="1" s="18">
      <c r="A1116" s="5" t="inlineStr">
        <is>
          <t>S2-1110</t>
        </is>
      </c>
      <c r="B1116" s="5" t="inlineStr">
        <is>
          <t>B-i</t>
        </is>
      </c>
      <c r="C1116" s="3" t="inlineStr">
        <is>
          <t>Labu, M.A.H.; Sultana, M.T.; Hassan, M.M.; Chowdhury, M.A.; Nitu, A.M.; Ali, M.A.</t>
        </is>
      </c>
      <c r="D1116" s="6" t="n">
        <v>2025</v>
      </c>
      <c r="E1116" s="3" t="inlineStr">
        <is>
          <t>Enhancing Bangla Sentiment Analysis Through Data Balancing and Preprocessing: A Comparative Insight from Classical and Deep Learning Approaches</t>
        </is>
      </c>
      <c r="F1116" s="3" t="inlineStr">
        <is>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is>
      </c>
      <c r="G1116" s="5" t="inlineStr">
        <is>
          <t>Conference paper</t>
        </is>
      </c>
      <c r="H1116" s="5" t="inlineStr">
        <is>
          <t>10.1109/iccit68739.2025.11490153</t>
        </is>
      </c>
      <c r="I1116" s="5" t="n"/>
      <c r="J1116" s="3" t="n"/>
    </row>
    <row r="1117" ht="242.25" customHeight="1" s="18">
      <c r="A1117" s="5" t="inlineStr">
        <is>
          <t>S2-1111</t>
        </is>
      </c>
      <c r="B1117" s="5" t="inlineStr">
        <is>
          <t>B-i</t>
        </is>
      </c>
      <c r="C1117" s="3" t="inlineStr">
        <is>
          <t>Liu, Z.; Zhang, T.; Yang, K.; Thompson, P.; Yu, Z.; Ananiadou, S.</t>
        </is>
      </c>
      <c r="D1117" s="6" t="n">
        <v>2024</v>
      </c>
      <c r="E1117" s="3" t="inlineStr">
        <is>
          <t>Emotion detection for misinformation: A review</t>
        </is>
      </c>
      <c r="F1117" s="3" t="inlineStr">
        <is>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is>
      </c>
      <c r="G1117" s="5" t="inlineStr">
        <is>
          <t>Journal article</t>
        </is>
      </c>
      <c r="H1117" s="5" t="inlineStr">
        <is>
          <t>10.1016/j.inffus.2024.102300</t>
        </is>
      </c>
      <c r="I1117" s="5" t="n"/>
      <c r="J1117" s="3" t="n"/>
    </row>
    <row r="1118" ht="409.5" customHeight="1" s="18">
      <c r="A1118" s="5" t="inlineStr">
        <is>
          <t>S2-1112</t>
        </is>
      </c>
      <c r="B1118" s="5" t="inlineStr">
        <is>
          <t>B-i</t>
        </is>
      </c>
      <c r="C1118" s="3" t="inlineStr">
        <is>
          <t>Deiner, M.S.; Deiner, N.A.; Hristidis, V.; McLeod, S.D.; Doan, T.; Lietman, T.M.; Porco, T.C.</t>
        </is>
      </c>
      <c r="D1118" s="6" t="n">
        <v>2024</v>
      </c>
      <c r="E1118" s="3" t="inlineStr">
        <is>
          <t>Use of Large Language Models to Assess the Likelihood of Epidemics From the Content of Tweets: Infodemiology Study</t>
        </is>
      </c>
      <c r="F1118" s="3" t="inlineStr">
        <is>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is>
      </c>
      <c r="G1118" s="5" t="inlineStr">
        <is>
          <t>Journal article</t>
        </is>
      </c>
      <c r="H1118" s="5" t="inlineStr">
        <is>
          <t>10.2196/49139</t>
        </is>
      </c>
      <c r="I1118" s="5" t="n"/>
      <c r="J1118" s="3" t="n"/>
    </row>
    <row r="1119" ht="156.75" customHeight="1" s="18">
      <c r="A1119" s="5" t="inlineStr">
        <is>
          <t>S2-1113</t>
        </is>
      </c>
      <c r="B1119" s="5" t="inlineStr">
        <is>
          <t>B-i</t>
        </is>
      </c>
      <c r="C1119" s="3" t="inlineStr">
        <is>
          <t>Elrod, N.J.; Kropczynski, J.; Grace, R.</t>
        </is>
      </c>
      <c r="D1119" s="6" t="n">
        <v>2025</v>
      </c>
      <c r="E1119" s="3" t="inlineStr">
        <is>
          <t>'Inter-Inter-Coder' Analysis: A Multiset Approach for LLM Evaluation in Public Safety Analytics</t>
        </is>
      </c>
      <c r="F1119" s="3" t="inlineStr">
        <is>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is>
      </c>
      <c r="G1119" s="5" t="inlineStr">
        <is>
          <t>Conference paper</t>
        </is>
      </c>
      <c r="H1119" s="5" t="inlineStr">
        <is>
          <t>10.1109/wf-pst65083.2025.00017</t>
        </is>
      </c>
      <c r="I1119" s="5" t="n"/>
      <c r="J1119" s="3" t="n"/>
    </row>
    <row r="1120" ht="327.75" customHeight="1" s="18">
      <c r="A1120" s="5" t="inlineStr">
        <is>
          <t>S2-1114</t>
        </is>
      </c>
      <c r="B1120" s="5" t="inlineStr">
        <is>
          <t>B-i</t>
        </is>
      </c>
      <c r="C1120" s="3" t="inlineStr">
        <is>
          <t>Habibzadeh, Z.; Asadpour, M.</t>
        </is>
      </c>
      <c r="D1120" s="6" t="n">
        <v>2025</v>
      </c>
      <c r="E1120" s="3" t="inlineStr">
        <is>
          <t>Using Language Models for assessment of users’ satisfaction with their partner in Persian</t>
        </is>
      </c>
      <c r="F1120" s="3" t="inlineStr">
        <is>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is>
      </c>
      <c r="G1120" s="5" t="inlineStr">
        <is>
          <t>Conference paper</t>
        </is>
      </c>
      <c r="H1120" s="5" t="n"/>
      <c r="I1120" s="5" t="n"/>
      <c r="J1120" s="3" t="n"/>
    </row>
    <row r="1121" ht="313.5" customHeight="1" s="18">
      <c r="A1121" s="5" t="inlineStr">
        <is>
          <t>S2-1115</t>
        </is>
      </c>
      <c r="B1121" s="5" t="inlineStr">
        <is>
          <t>B-i</t>
        </is>
      </c>
      <c r="C1121" s="3" t="inlineStr">
        <is>
          <t>Suindikovna, R.A.; Gennadievych, N.D.; Sadyrbekkyzy, A.D.</t>
        </is>
      </c>
      <c r="D1121" s="6" t="n">
        <v>2025</v>
      </c>
      <c r="E1121" s="3" t="inlineStr">
        <is>
          <t>From Comments to Insights: Comparing Local and Online LLM Models in Social Media Sentiment Evaluation</t>
        </is>
      </c>
      <c r="F1121" s="3" t="inlineStr">
        <is>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is>
      </c>
      <c r="G1121" s="5" t="inlineStr">
        <is>
          <t>Conference paper</t>
        </is>
      </c>
      <c r="H1121" s="5" t="inlineStr">
        <is>
          <t>10.1109/sist61657.2025.11139353</t>
        </is>
      </c>
      <c r="I1121" s="5" t="n"/>
      <c r="J1121" s="3" t="n"/>
    </row>
    <row r="1122" ht="270.75" customHeight="1" s="18">
      <c r="A1122" s="5" t="inlineStr">
        <is>
          <t>S2-1116</t>
        </is>
      </c>
      <c r="B1122" s="5" t="inlineStr">
        <is>
          <t>B-i</t>
        </is>
      </c>
      <c r="C1122" s="3" t="inlineStr">
        <is>
          <t>Gambini, M.; Senette, C.; Fagni, T.; Tesconi, M.</t>
        </is>
      </c>
      <c r="D1122" s="6" t="n">
        <v>2024</v>
      </c>
      <c r="E1122" s="3" t="inlineStr">
        <is>
          <t>Evaluating large language models for user stance detection on X (Twitter)</t>
        </is>
      </c>
      <c r="F1122" s="3" t="inlineStr">
        <is>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is>
      </c>
      <c r="G1122" s="5" t="inlineStr">
        <is>
          <t>Journal article</t>
        </is>
      </c>
      <c r="H1122" s="5" t="inlineStr">
        <is>
          <t>10.1007/s10994-024-06587-y</t>
        </is>
      </c>
      <c r="I1122" s="5" t="n"/>
      <c r="J1122" s="3" t="n"/>
    </row>
    <row r="1123" ht="256.5" customHeight="1" s="18">
      <c r="A1123" s="5" t="inlineStr">
        <is>
          <t>S2-1117</t>
        </is>
      </c>
      <c r="B1123" s="5" t="inlineStr">
        <is>
          <t>B-i</t>
        </is>
      </c>
      <c r="C1123" s="3" t="inlineStr">
        <is>
          <t>Zhang, Z.; Zhao, Y.; Gao, H.; Hu, M.</t>
        </is>
      </c>
      <c r="D1123" s="6" t="n">
        <v>2024</v>
      </c>
      <c r="E1123" s="3" t="inlineStr">
        <is>
          <t>LinkNER: Linking Local Named Entity Recognition Models to Large Language Models using Uncertainty</t>
        </is>
      </c>
      <c r="F1123" s="3" t="inlineStr">
        <is>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is>
      </c>
      <c r="G1123" s="5" t="inlineStr">
        <is>
          <t>Conference paper</t>
        </is>
      </c>
      <c r="H1123" s="5" t="inlineStr">
        <is>
          <t>10.1145/3589334.3645414</t>
        </is>
      </c>
      <c r="I1123" s="5" t="n"/>
      <c r="J1123" s="3" t="n"/>
    </row>
    <row r="1124" ht="256.5" customHeight="1" s="18">
      <c r="A1124" s="5" t="inlineStr">
        <is>
          <t>S2-1118</t>
        </is>
      </c>
      <c r="B1124" s="5" t="inlineStr">
        <is>
          <t>B-i</t>
        </is>
      </c>
      <c r="C1124" s="3" t="inlineStr">
        <is>
          <t>Yang, Z.; Lin, J.; Guo, Z.; Li, Y.; Li, X.; Li, Q.; Liu, W.</t>
        </is>
      </c>
      <c r="D1124" s="6" t="n">
        <v>2024</v>
      </c>
      <c r="E1124" s="3" t="inlineStr">
        <is>
          <t>Towards Rumor Detection With Multi-Granularity Evidences: A Dataset and Benchmark</t>
        </is>
      </c>
      <c r="F1124" s="3" t="inlineStr">
        <is>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is>
      </c>
      <c r="G1124" s="5" t="inlineStr">
        <is>
          <t>Journal article</t>
        </is>
      </c>
      <c r="H1124" s="5" t="inlineStr">
        <is>
          <t>10.1109/tkde.2024.3401700</t>
        </is>
      </c>
      <c r="I1124" s="5" t="n"/>
      <c r="J1124" s="3" t="n"/>
    </row>
    <row r="1125" ht="199.5" customHeight="1" s="18">
      <c r="A1125" s="5" t="inlineStr">
        <is>
          <t>S2-1119</t>
        </is>
      </c>
      <c r="B1125" s="5" t="inlineStr">
        <is>
          <t>B-i</t>
        </is>
      </c>
      <c r="C1125" s="3" t="inlineStr">
        <is>
          <t>Zhou, L.; Tao, J.; Wang, K.</t>
        </is>
      </c>
      <c r="D1125" s="6" t="n">
        <v>2023</v>
      </c>
      <c r="E1125" s="3" t="inlineStr">
        <is>
          <t>On Left and Right: Understanding the Discourse of Presidential Election in Social Media Communities</t>
        </is>
      </c>
      <c r="F1125" s="3" t="inlineStr">
        <is>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is>
      </c>
      <c r="G1125" s="5" t="inlineStr">
        <is>
          <t>Conference paper</t>
        </is>
      </c>
      <c r="H1125" s="5" t="n"/>
      <c r="I1125" s="5" t="n"/>
      <c r="J1125" s="3" t="n"/>
    </row>
    <row r="1126" ht="199.5" customHeight="1" s="18">
      <c r="A1126" s="5" t="inlineStr">
        <is>
          <t>S2-1120</t>
        </is>
      </c>
      <c r="B1126" s="5" t="inlineStr">
        <is>
          <t>B-i</t>
        </is>
      </c>
      <c r="C1126" s="3" t="inlineStr">
        <is>
          <t>Li, F.; Qu, Y.; Feng, C.; Dou, X.; Li, L.</t>
        </is>
      </c>
      <c r="D1126" s="6" t="n">
        <v>2024</v>
      </c>
      <c r="E1126" s="3" t="inlineStr">
        <is>
          <t>A Fine-Grained Emotion Prediction Method Based on Large Language Models</t>
        </is>
      </c>
      <c r="F1126" s="3" t="inlineStr">
        <is>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is>
      </c>
      <c r="G1126" s="5" t="inlineStr">
        <is>
          <t>Conference paper</t>
        </is>
      </c>
      <c r="H1126" s="5" t="inlineStr">
        <is>
          <t>10.1109/qrs-c63300.2024.00024</t>
        </is>
      </c>
      <c r="I1126" s="5" t="n"/>
      <c r="J1126" s="3" t="n"/>
    </row>
    <row r="1127" ht="213.75" customHeight="1" s="18">
      <c r="A1127" s="5" t="inlineStr">
        <is>
          <t>S2-1121</t>
        </is>
      </c>
      <c r="B1127" s="5" t="inlineStr">
        <is>
          <t>B-i</t>
        </is>
      </c>
      <c r="C1127" s="3" t="inlineStr">
        <is>
          <t>Almutrash, S.; Abudalfa, S.</t>
        </is>
      </c>
      <c r="D1127" s="6" t="n">
        <v>2024</v>
      </c>
      <c r="E1127" s="3" t="inlineStr">
        <is>
          <t>Comparative Study on the Efficiency of Using PaLM and CAMeLBERT for Arabic Entity Sentiment Classification</t>
        </is>
      </c>
      <c r="F1127" s="3" t="inlineStr">
        <is>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is>
      </c>
      <c r="G1127" s="5" t="inlineStr">
        <is>
          <t>Conference paper</t>
        </is>
      </c>
      <c r="H1127" s="5" t="n"/>
      <c r="I1127" s="5" t="n"/>
      <c r="J1127" s="3" t="n"/>
    </row>
    <row r="1128" ht="228" customHeight="1" s="18">
      <c r="A1128" s="5" t="inlineStr">
        <is>
          <t>S2-1122</t>
        </is>
      </c>
      <c r="B1128" s="5" t="inlineStr">
        <is>
          <t>B-i</t>
        </is>
      </c>
      <c r="C1128" s="3" t="inlineStr">
        <is>
          <t>Yang, C.; Chakrabarty, T.; Hochstatter, K.R.; Slavin, M.N.; El-Bassel, N.; Muresan, S.</t>
        </is>
      </c>
      <c r="D1128" s="6" t="n">
        <v>2024</v>
      </c>
      <c r="E1128" s="3" t="inlineStr">
        <is>
          <t>Identifying Self-Disclosures of Use, Misuse and Addiction in Community-based Social Media Posts</t>
        </is>
      </c>
      <c r="F1128" s="3" t="inlineStr">
        <is>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is>
      </c>
      <c r="G1128" s="5" t="inlineStr">
        <is>
          <t>Conference paper</t>
        </is>
      </c>
      <c r="H1128" s="5" t="inlineStr">
        <is>
          <t>10.18653/v1/2024.findings-naacl.161</t>
        </is>
      </c>
      <c r="I1128" s="5" t="n"/>
      <c r="J1128" s="3" t="n"/>
    </row>
    <row r="1129" ht="313.5" customHeight="1" s="18">
      <c r="A1129" s="5" t="inlineStr">
        <is>
          <t>S2-1123</t>
        </is>
      </c>
      <c r="B1129" s="5" t="inlineStr">
        <is>
          <t>B-i</t>
        </is>
      </c>
      <c r="C1129" s="3" t="inlineStr">
        <is>
          <t>Kim, S.; Kim, K.; Wonjeong Jo, C.</t>
        </is>
      </c>
      <c r="D1129" s="6" t="n">
        <v>2024</v>
      </c>
      <c r="E1129" s="3" t="inlineStr">
        <is>
          <t>Accuracy of a large language model in distinguishing anti- and pro-vaccination messages on social media: The case of human papillomavirus vaccination</t>
        </is>
      </c>
      <c r="F1129" s="3" t="inlineStr">
        <is>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is>
      </c>
      <c r="G1129" s="5" t="inlineStr">
        <is>
          <t>Journal article</t>
        </is>
      </c>
      <c r="H1129" s="5" t="inlineStr">
        <is>
          <t>10.1016/j.pmedr.2024.102723</t>
        </is>
      </c>
      <c r="I1129" s="5" t="n"/>
      <c r="J1129" s="3" t="n"/>
    </row>
    <row r="1130" ht="409.5" customHeight="1" s="18">
      <c r="A1130" s="5" t="inlineStr">
        <is>
          <t>S2-1124</t>
        </is>
      </c>
      <c r="B1130" s="5" t="inlineStr">
        <is>
          <t>B-i</t>
        </is>
      </c>
      <c r="C1130" s="3" t="inlineStr">
        <is>
          <t>Deiner, M.S.; Honcharov, V.; Li, J.; Mackey, T.K.; Porco, T.C.; Sarkar, U.</t>
        </is>
      </c>
      <c r="D1130" s="6" t="n">
        <v>2024</v>
      </c>
      <c r="E1130" s="3" t="inlineStr">
        <is>
          <t>Large Language Models Can Enable Inductive Thematic Analysis of a Social Media Corpus in a Single Prompt: Human Validation Study</t>
        </is>
      </c>
      <c r="F1130" s="3" t="inlineStr">
        <is>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is>
      </c>
      <c r="G1130" s="5" t="inlineStr">
        <is>
          <t>Journal article</t>
        </is>
      </c>
      <c r="H1130" s="5" t="inlineStr">
        <is>
          <t>10.2196/59641</t>
        </is>
      </c>
      <c r="I1130" s="5" t="n"/>
      <c r="J1130" s="3" t="n"/>
    </row>
    <row r="1131" ht="313.5" customHeight="1" s="18">
      <c r="A1131" s="5" t="inlineStr">
        <is>
          <t>S2-1125</t>
        </is>
      </c>
      <c r="B1131" s="5" t="inlineStr">
        <is>
          <t>B-i</t>
        </is>
      </c>
      <c r="C1131" s="3" t="inlineStr">
        <is>
          <t>Bharathi, A.; Zubiaga, A.</t>
        </is>
      </c>
      <c r="D1131" s="6" t="n">
        <v>2025</v>
      </c>
      <c r="E1131" s="3" t="inlineStr">
        <is>
          <t>Zero-shot cross-lingual stance detection via adversarial language adaptation</t>
        </is>
      </c>
      <c r="F1131" s="3" t="inlineStr">
        <is>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is>
      </c>
      <c r="G1131" s="5" t="inlineStr">
        <is>
          <t>Journal article</t>
        </is>
      </c>
      <c r="H1131" s="5" t="inlineStr">
        <is>
          <t>10.7717/peerj-cs.2955</t>
        </is>
      </c>
      <c r="I1131" s="5" t="n"/>
      <c r="J1131" s="3" t="n"/>
    </row>
    <row r="1132" ht="242.25" customHeight="1" s="18">
      <c r="A1132" s="5" t="inlineStr">
        <is>
          <t>S2-1126</t>
        </is>
      </c>
      <c r="B1132" s="5" t="inlineStr">
        <is>
          <t>B-i</t>
        </is>
      </c>
      <c r="C1132" s="3" t="inlineStr">
        <is>
          <t>Guliyev, N.; Rustamov, Z.; Rustamov, S.</t>
        </is>
      </c>
      <c r="D1132" s="6" t="n">
        <v>2024</v>
      </c>
      <c r="E1132" s="3" t="inlineStr">
        <is>
          <t>Analysis of Public Sentiment in Azerbaijani News and Social Media: Exploring Public Opinion Trends in Social Media and News Articles for Azerbaijani Language</t>
        </is>
      </c>
      <c r="F1132" s="3" t="inlineStr">
        <is>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is>
      </c>
      <c r="G1132" s="5" t="inlineStr">
        <is>
          <t>Conference paper</t>
        </is>
      </c>
      <c r="H1132" s="5" t="inlineStr">
        <is>
          <t>10.1145/3661725.3661749</t>
        </is>
      </c>
      <c r="I1132" s="5" t="n"/>
      <c r="J1132" s="3" t="n"/>
    </row>
    <row r="1133" ht="327.75" customHeight="1" s="18">
      <c r="A1133" s="5" t="inlineStr">
        <is>
          <t>S2-1127</t>
        </is>
      </c>
      <c r="B1133" s="5" t="inlineStr">
        <is>
          <t>B-i</t>
        </is>
      </c>
      <c r="C1133" s="3" t="inlineStr">
        <is>
          <t>Sibitenda, H.; Hu, R.; Rundensteiner, E.; Diattara, A.; Traore, A.; Ba, C.</t>
        </is>
      </c>
      <c r="D1133" s="6" t="n">
        <v>2024</v>
      </c>
      <c r="E1133" s="3" t="inlineStr">
        <is>
          <t>Leveraging LLMs for Integrated Sentiment and Topic Analysis on African Social Media</t>
        </is>
      </c>
      <c r="F1133" s="3" t="inlineStr">
        <is>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is>
      </c>
      <c r="G1133" s="5" t="inlineStr">
        <is>
          <t>Conference paper</t>
        </is>
      </c>
      <c r="H1133" s="5" t="inlineStr">
        <is>
          <t>10.1109/icmla61862.2024.00221</t>
        </is>
      </c>
      <c r="I1133" s="5" t="n"/>
      <c r="J1133" s="3" t="n"/>
    </row>
    <row r="1134" ht="242.25" customHeight="1" s="18">
      <c r="A1134" s="5" t="inlineStr">
        <is>
          <t>S2-1128</t>
        </is>
      </c>
      <c r="B1134" s="5" t="inlineStr">
        <is>
          <t>B-i</t>
        </is>
      </c>
      <c r="C1134" s="3" t="inlineStr">
        <is>
          <t>Deshpande, V.; Lee, M.; Yao, Z.; Zhang, Z.; Gibbons, J.B.; Yu, H.</t>
        </is>
      </c>
      <c r="D1134" s="6" t="n">
        <v>2024</v>
      </c>
      <c r="E1134" s="3" t="inlineStr">
        <is>
          <t>LocalTweets to LocalHealth: A Mental Health Surveillance Framework Based on Twitter Data</t>
        </is>
      </c>
      <c r="F1134" s="3" t="inlineStr">
        <is>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is>
      </c>
      <c r="G1134" s="5" t="inlineStr">
        <is>
          <t>Conference paper</t>
        </is>
      </c>
      <c r="H1134" s="5" t="n"/>
      <c r="I1134" s="5" t="n"/>
      <c r="J1134" s="3" t="n"/>
    </row>
    <row r="1135" ht="270.75" customHeight="1" s="18">
      <c r="A1135" s="5" t="inlineStr">
        <is>
          <t>S2-1129</t>
        </is>
      </c>
      <c r="B1135" s="5" t="inlineStr">
        <is>
          <t>B-i</t>
        </is>
      </c>
      <c r="C1135" s="3" t="inlineStr">
        <is>
          <t>Hidayatullah, A.F.; Al-Sabahi, A.Y.</t>
        </is>
      </c>
      <c r="D1135" s="6" t="n">
        <v>2025</v>
      </c>
      <c r="E1135" s="3" t="inlineStr">
        <is>
          <t>Sentiment Analysis on Indonesian-Javanese-English Code-Mixed Texts via Parameter-Efficient Fine-Tuning and Selective Layer Unfreezing</t>
        </is>
      </c>
      <c r="F1135" s="3" t="inlineStr">
        <is>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is>
      </c>
      <c r="G1135" s="5" t="inlineStr">
        <is>
          <t>Conference paper</t>
        </is>
      </c>
      <c r="H1135" s="5" t="inlineStr">
        <is>
          <t>10.1109/icoict66265.2025.11193136</t>
        </is>
      </c>
      <c r="I1135" s="5" t="n"/>
      <c r="J1135" s="3" t="n"/>
    </row>
    <row r="1136" ht="242.25" customHeight="1" s="18">
      <c r="A1136" s="5" t="inlineStr">
        <is>
          <t>S2-1130</t>
        </is>
      </c>
      <c r="B1136" s="5" t="inlineStr">
        <is>
          <t>B-i</t>
        </is>
      </c>
      <c r="C1136" s="3" t="inlineStr">
        <is>
          <t>Corradi, L.; Manenti, A.; Del Bonifro, F.; Del Sorbo, D.</t>
        </is>
      </c>
      <c r="D1136" s="6" t="n">
        <v>2023</v>
      </c>
      <c r="E1136" s="3" t="inlineStr">
        <is>
          <t>A deep Natural Language Inference predictor in Italian without Italian training data</t>
        </is>
      </c>
      <c r="F1136" s="3" t="inlineStr">
        <is>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is>
      </c>
      <c r="G1136" s="5" t="inlineStr">
        <is>
          <t>Conference paper</t>
        </is>
      </c>
      <c r="H1136" s="5" t="n"/>
      <c r="I1136" s="5" t="n"/>
      <c r="J1136" s="3" t="n"/>
    </row>
    <row r="1137" ht="270.75" customHeight="1" s="18">
      <c r="A1137" s="5" t="inlineStr">
        <is>
          <t>S2-1131</t>
        </is>
      </c>
      <c r="B1137" s="5" t="inlineStr">
        <is>
          <t>B-i</t>
        </is>
      </c>
      <c r="C1137" s="3" t="inlineStr">
        <is>
          <t>Tay, N.X.R.; Chua, H.N.; Jasser, M.B.; Issa, B.; Aldharhani, G.S.</t>
        </is>
      </c>
      <c r="D1137" s="6" t="n">
        <v>2025</v>
      </c>
      <c r="E1137" s="3" t="inlineStr">
        <is>
          <t>Comparative Study of BERT and ChatGPT for Multi-Label Cyberbullying Detection with Intensity Scoring</t>
        </is>
      </c>
      <c r="F1137" s="3" t="inlineStr">
        <is>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is>
      </c>
      <c r="G1137" s="5" t="inlineStr">
        <is>
          <t>Conference paper</t>
        </is>
      </c>
      <c r="H1137" s="5" t="inlineStr">
        <is>
          <t>10.1109/icset65917.2025.11284038</t>
        </is>
      </c>
      <c r="I1137" s="5" t="n"/>
      <c r="J1137" s="3" t="n"/>
    </row>
    <row r="1138" ht="409.5" customHeight="1" s="18">
      <c r="A1138" s="5" t="inlineStr">
        <is>
          <t>S2-1132</t>
        </is>
      </c>
      <c r="B1138" s="5" t="inlineStr">
        <is>
          <t>B-i</t>
        </is>
      </c>
      <c r="C1138" s="3" t="inlineStr">
        <is>
          <t>Kim, K.; Kim, S.</t>
        </is>
      </c>
      <c r="D1138" s="6" t="n">
        <v>2025</v>
      </c>
      <c r="E1138" s="3" t="inlineStr">
        <is>
          <t>Large Language Models’ Accuracy in Emulating Human Experts’ Evaluation of Public Sentiments about Heated Tobacco Products on Social Media: Evaluation Study</t>
        </is>
      </c>
      <c r="F1138" s="3" t="inlineStr">
        <is>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is>
      </c>
      <c r="G1138" s="5" t="inlineStr">
        <is>
          <t>Journal article</t>
        </is>
      </c>
      <c r="H1138" s="5" t="inlineStr">
        <is>
          <t>10.2196/63631</t>
        </is>
      </c>
      <c r="I1138" s="5" t="n"/>
      <c r="J1138" s="3" t="n"/>
    </row>
    <row r="1139" ht="285" customHeight="1" s="18">
      <c r="A1139" s="5" t="inlineStr">
        <is>
          <t>S2-1133</t>
        </is>
      </c>
      <c r="B1139" s="5" t="inlineStr">
        <is>
          <t>B-i</t>
        </is>
      </c>
      <c r="C1139" s="3" t="inlineStr">
        <is>
          <t>Zheng, Y.; Li, S.; Wu, F.; Ziyi, Y.; Hongchao, L.; Hu, Z.; Xinjun, C.; Wang, Z.; Chen, J.; Luan, S.; Xu, J.; Chen, L.</t>
        </is>
      </c>
      <c r="D1139" s="6" t="n">
        <v>2025</v>
      </c>
      <c r="E1139" s="3" t="inlineStr">
        <is>
          <t>FanChuan: A Multilingual and Graph-Structured Benchmark For Parody Detection and Analysis</t>
        </is>
      </c>
      <c r="F1139" s="3" t="inlineStr">
        <is>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is>
      </c>
      <c r="G1139" s="5" t="inlineStr">
        <is>
          <t>Conference paper</t>
        </is>
      </c>
      <c r="H1139" s="5" t="inlineStr">
        <is>
          <t>10.18653/v1/2025.findings-acl.1131</t>
        </is>
      </c>
      <c r="I1139" s="5" t="n"/>
      <c r="J1139" s="3" t="n"/>
    </row>
    <row r="1140" ht="285" customHeight="1" s="18">
      <c r="A1140" s="5" t="inlineStr">
        <is>
          <t>S2-1134</t>
        </is>
      </c>
      <c r="B1140" s="5" t="inlineStr">
        <is>
          <t>B-i</t>
        </is>
      </c>
      <c r="C1140" s="3" t="inlineStr">
        <is>
          <t>Roumeliotis, K.I.; Tselikas, N.D.; Nasiopoulos, D.K.</t>
        </is>
      </c>
      <c r="D1140" s="6" t="n">
        <v>2025</v>
      </c>
      <c r="E1140" s="3" t="inlineStr">
        <is>
          <t>Optimizing Airline Review Sentiment Analysis: A Comparative Analysis of LLaMA and BERT Models through Fine-Tuning and Few-Shot Learning</t>
        </is>
      </c>
      <c r="F1140" s="3" t="inlineStr">
        <is>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is>
      </c>
      <c r="G1140" s="5" t="inlineStr">
        <is>
          <t>Journal article</t>
        </is>
      </c>
      <c r="H1140" s="5" t="inlineStr">
        <is>
          <t>10.32604/cmc.2025.059567</t>
        </is>
      </c>
      <c r="I1140" s="5" t="n"/>
      <c r="J1140" s="3" t="n"/>
    </row>
    <row r="1141" ht="228" customHeight="1" s="18">
      <c r="A1141" s="5" t="inlineStr">
        <is>
          <t>S2-1135</t>
        </is>
      </c>
      <c r="B1141" s="5" t="inlineStr">
        <is>
          <t>B-i</t>
        </is>
      </c>
      <c r="C1141" s="3" t="inlineStr">
        <is>
          <t>Medina-Alias, P.; Şimşek, Ö.</t>
        </is>
      </c>
      <c r="D1141" s="6" t="n">
        <v>2023</v>
      </c>
      <c r="E1141" s="3" t="inlineStr">
        <is>
          <t>The Temporal Persistence of Generative Language Models in Sentiment Analysis</t>
        </is>
      </c>
      <c r="F1141" s="3" t="inlineStr">
        <is>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is>
      </c>
      <c r="G1141" s="5" t="inlineStr">
        <is>
          <t>Conference paper</t>
        </is>
      </c>
      <c r="H1141" s="5" t="n"/>
      <c r="I1141" s="5" t="n"/>
      <c r="J1141" s="3" t="n"/>
    </row>
    <row r="1142" ht="285" customHeight="1" s="18">
      <c r="A1142" s="5" t="inlineStr">
        <is>
          <t>S2-1136</t>
        </is>
      </c>
      <c r="B1142" s="5" t="inlineStr">
        <is>
          <t>B-i</t>
        </is>
      </c>
      <c r="C1142" s="3" t="inlineStr">
        <is>
          <t>Tahmasebi, S.; Müller-Budack, E.; Ewerth, R.</t>
        </is>
      </c>
      <c r="D1142" s="6" t="n">
        <v>2024</v>
      </c>
      <c r="E1142" s="3" t="inlineStr">
        <is>
          <t>Multimodal Misinformation Detection using Large Vision-Language Models</t>
        </is>
      </c>
      <c r="F1142" s="3" t="inlineStr">
        <is>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is>
      </c>
      <c r="G1142" s="5" t="inlineStr">
        <is>
          <t>Conference paper</t>
        </is>
      </c>
      <c r="H1142" s="5" t="inlineStr">
        <is>
          <t>10.1145/3627673.3679826</t>
        </is>
      </c>
      <c r="I1142" s="5" t="n"/>
      <c r="J1142" s="3" t="n"/>
    </row>
    <row r="1143" ht="285" customHeight="1" s="18">
      <c r="A1143" s="5" t="inlineStr">
        <is>
          <t>S2-1137</t>
        </is>
      </c>
      <c r="B1143" s="5" t="inlineStr">
        <is>
          <t>B-i</t>
        </is>
      </c>
      <c r="C1143" s="3" t="inlineStr">
        <is>
          <t>Kumar, Y.; Huang, K.; Perez, A.; Yang, G.; Li, J.J.; Morreale, P.; Kruger, D.; Jiang, R.</t>
        </is>
      </c>
      <c r="D1143" s="6" t="n">
        <v>2024</v>
      </c>
      <c r="E1143" s="3" t="inlineStr">
        <is>
          <t>Bias and Cyberbullying Detection and Data Generation Using Transformer Artificial Intelligence Models and Top Large Language Models</t>
        </is>
      </c>
      <c r="F1143" s="3" t="inlineStr">
        <is>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is>
      </c>
      <c r="G1143" s="5" t="inlineStr">
        <is>
          <t>Journal article</t>
        </is>
      </c>
      <c r="H1143" s="5" t="inlineStr">
        <is>
          <t>10.3390/electronics13173431</t>
        </is>
      </c>
      <c r="I1143" s="5" t="n"/>
      <c r="J1143" s="3" t="n"/>
    </row>
    <row r="1144" ht="327.75" customHeight="1" s="18">
      <c r="A1144" s="5" t="inlineStr">
        <is>
          <t>S2-1138</t>
        </is>
      </c>
      <c r="B1144" s="5" t="inlineStr">
        <is>
          <t>B-i</t>
        </is>
      </c>
      <c r="C1144" s="3" t="inlineStr">
        <is>
          <t>Kwon, O.H.; Vu, K.; Bhargava, N.; Radaideh, M.I.; Cooper, J.; Joynt, V.; Radaideh, M.I.</t>
        </is>
      </c>
      <c r="D1144" s="6" t="n">
        <v>2024</v>
      </c>
      <c r="E1144" s="3" t="inlineStr">
        <is>
          <t>Sentiment analysis of the United States public support of nuclear power on social media using large language models</t>
        </is>
      </c>
      <c r="F1144" s="3" t="inlineStr">
        <is>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is>
      </c>
      <c r="G1144" s="5" t="inlineStr">
        <is>
          <t>Journal article</t>
        </is>
      </c>
      <c r="H1144" s="5" t="inlineStr">
        <is>
          <t>10.1016/j.rser.2024.114570</t>
        </is>
      </c>
      <c r="I1144" s="5" t="n"/>
      <c r="J1144" s="3" t="n"/>
    </row>
    <row r="1145" ht="256.5" customHeight="1" s="18">
      <c r="A1145" s="5" t="inlineStr">
        <is>
          <t>S2-1139</t>
        </is>
      </c>
      <c r="B1145" s="5" t="inlineStr">
        <is>
          <t>B-i</t>
        </is>
      </c>
      <c r="C1145" s="3" t="inlineStr">
        <is>
          <t>Kumar, A.; Albuquerque, V.H.C.</t>
        </is>
      </c>
      <c r="D1145" s="6" t="n">
        <v>2021</v>
      </c>
      <c r="E1145" s="3" t="inlineStr">
        <is>
          <t>Sentiment Analysis Using XLM-R Transformer and Zero-shot Transfer Learning on Resource-poor Indian Language</t>
        </is>
      </c>
      <c r="F1145" s="3" t="inlineStr">
        <is>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is>
      </c>
      <c r="G1145" s="5" t="inlineStr">
        <is>
          <t>Journal article</t>
        </is>
      </c>
      <c r="H1145" s="5" t="inlineStr">
        <is>
          <t>10.1145/3461764</t>
        </is>
      </c>
      <c r="I1145" s="5" t="n"/>
      <c r="J1145" s="3" t="n"/>
    </row>
    <row r="1146" ht="156.75" customHeight="1" s="18">
      <c r="A1146" s="5" t="inlineStr">
        <is>
          <t>S2-1140</t>
        </is>
      </c>
      <c r="B1146" s="5" t="inlineStr">
        <is>
          <t>B-i</t>
        </is>
      </c>
      <c r="C1146" s="3" t="inlineStr">
        <is>
          <t>Clark, T.H.; Conforti, C.; Liu, F.; Meng, Z.; Shareghi, E.; Collier, N.</t>
        </is>
      </c>
      <c r="D1146" s="6" t="n">
        <v>2021</v>
      </c>
      <c r="E1146" s="3" t="inlineStr">
        <is>
          <t>Integrating Transformers and Knowledge Graphs for Twitter Stance Detection</t>
        </is>
      </c>
      <c r="F1146" s="3" t="inlineStr">
        <is>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is>
      </c>
      <c r="G1146" s="5" t="inlineStr">
        <is>
          <t>Conference paper</t>
        </is>
      </c>
      <c r="H1146" s="5" t="n"/>
      <c r="I1146" s="5" t="n"/>
      <c r="J1146" s="3" t="n"/>
    </row>
    <row r="1147" ht="409.5" customHeight="1" s="18">
      <c r="A1147" s="5" t="inlineStr">
        <is>
          <t>S2-1141</t>
        </is>
      </c>
      <c r="B1147" s="5" t="inlineStr">
        <is>
          <t>B-i</t>
        </is>
      </c>
      <c r="C1147" s="3" t="inlineStr">
        <is>
          <t>Karyukin, V.; Mutanov, G.; Mamykova, Z.; Nassimova, G.; Torekul, S.; Sundetova, Z.; Negri, M.</t>
        </is>
      </c>
      <c r="D1147" s="6" t="n">
        <v>2022</v>
      </c>
      <c r="E1147" s="3" t="inlineStr">
        <is>
          <t>On the development of an information system for monitoring user opinion and its role for the public</t>
        </is>
      </c>
      <c r="F1147" s="3" t="inlineStr">
        <is>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is>
      </c>
      <c r="G1147" s="5" t="inlineStr">
        <is>
          <t>Journal article</t>
        </is>
      </c>
      <c r="H1147" s="5" t="inlineStr">
        <is>
          <t>10.1186/s40537-022-00660-w</t>
        </is>
      </c>
      <c r="I1147" s="5" t="n"/>
      <c r="J1147" s="3" t="n"/>
    </row>
    <row r="1148" ht="285" customHeight="1" s="18">
      <c r="A1148" s="5" t="inlineStr">
        <is>
          <t>S2-1142</t>
        </is>
      </c>
      <c r="B1148" s="5" t="inlineStr">
        <is>
          <t>B-i</t>
        </is>
      </c>
      <c r="C1148" s="3" t="inlineStr">
        <is>
          <t>Tho, C.; Heryadi, Y.; Kartowisastro, I.H.; Budiharto, W.</t>
        </is>
      </c>
      <c r="D1148" s="6" t="n">
        <v>2021</v>
      </c>
      <c r="E1148" s="3" t="inlineStr">
        <is>
          <t>A Comparison of Lexicon-based and Transformer-based Sentiment Analysis on Code-mixed of Low-Resource Languages</t>
        </is>
      </c>
      <c r="F1148" s="3" t="inlineStr">
        <is>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is>
      </c>
      <c r="G1148" s="5" t="inlineStr">
        <is>
          <t>Conference paper</t>
        </is>
      </c>
      <c r="H1148" s="5" t="inlineStr">
        <is>
          <t>10.1109/iccsai53272.2021.9609781</t>
        </is>
      </c>
      <c r="I1148" s="5" t="n"/>
      <c r="J1148" s="3" t="n"/>
    </row>
    <row r="1149" ht="285" customHeight="1" s="18">
      <c r="A1149" s="5" t="inlineStr">
        <is>
          <t>S2-1143</t>
        </is>
      </c>
      <c r="B1149" s="5" t="inlineStr">
        <is>
          <t>B-i</t>
        </is>
      </c>
      <c r="C1149" s="3" t="inlineStr">
        <is>
          <t>Chaudhari, A.; Kushare, P.</t>
        </is>
      </c>
      <c r="D1149" s="6" t="n">
        <v>2023</v>
      </c>
      <c r="E1149" s="3" t="inlineStr">
        <is>
          <t>Contrastive Learning Based Unsupervised Sentence Embeddings for Hinglish</t>
        </is>
      </c>
      <c r="F1149" s="3" t="inlineStr">
        <is>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is>
      </c>
      <c r="G1149" s="5" t="inlineStr">
        <is>
          <t>Conference paper</t>
        </is>
      </c>
      <c r="H1149" s="5" t="inlineStr">
        <is>
          <t>10.1109/iccubea58933.2023.10392056</t>
        </is>
      </c>
      <c r="I1149" s="5" t="n"/>
      <c r="J1149" s="3" t="n"/>
    </row>
    <row r="1150" ht="128.25" customHeight="1" s="18">
      <c r="A1150" s="5" t="inlineStr">
        <is>
          <t>S2-1144</t>
        </is>
      </c>
      <c r="B1150" s="5" t="inlineStr">
        <is>
          <t>B-i</t>
        </is>
      </c>
      <c r="C1150" s="3" t="inlineStr">
        <is>
          <t>He, Z.; Mokhberian, N.; Lerman, K.</t>
        </is>
      </c>
      <c r="D1150" s="6" t="n">
        <v>2022</v>
      </c>
      <c r="E1150" s="3" t="inlineStr">
        <is>
          <t>Infusing Knowledge from Wikipedia to Enhance Stance Detection</t>
        </is>
      </c>
      <c r="F1150" s="3" t="inlineStr">
        <is>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is>
      </c>
      <c r="G1150" s="5" t="inlineStr">
        <is>
          <t>Conference paper</t>
        </is>
      </c>
      <c r="H1150" s="5" t="n"/>
      <c r="I1150" s="5" t="n"/>
      <c r="J1150" s="3" t="n"/>
    </row>
    <row r="1151" ht="228" customHeight="1" s="18">
      <c r="A1151" s="5" t="inlineStr">
        <is>
          <t>S2-1145</t>
        </is>
      </c>
      <c r="B1151" s="5" t="inlineStr">
        <is>
          <t>B-i</t>
        </is>
      </c>
      <c r="C1151" s="3" t="inlineStr">
        <is>
          <t>Kang, H.; Hazarika, D.; Kim, D.; Kim, J.</t>
        </is>
      </c>
      <c r="D1151" s="6" t="n">
        <v>2023</v>
      </c>
      <c r="E1151" s="3" t="inlineStr">
        <is>
          <t>Zero-Shot Visual Emotion Recognition by Exploiting BERT</t>
        </is>
      </c>
      <c r="F1151" s="3" t="inlineStr">
        <is>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is>
      </c>
      <c r="G1151" s="5" t="inlineStr">
        <is>
          <t>Conference paper</t>
        </is>
      </c>
      <c r="H1151" s="5" t="inlineStr">
        <is>
          <t>10.1007/978-3-031-16078-3_33</t>
        </is>
      </c>
      <c r="I1151" s="5" t="n"/>
      <c r="J1151" s="3" t="n"/>
    </row>
    <row r="1152" ht="270.75" customHeight="1" s="18">
      <c r="A1152" s="5" t="inlineStr">
        <is>
          <t>S2-1146</t>
        </is>
      </c>
      <c r="B1152" s="5" t="inlineStr">
        <is>
          <t>B-i</t>
        </is>
      </c>
      <c r="C1152" s="3" t="inlineStr">
        <is>
          <t>Shode, I.; Adelani, D.I.; Peng, J.; Feldman, A.</t>
        </is>
      </c>
      <c r="D1152" s="6" t="n">
        <v>2023</v>
      </c>
      <c r="E1152" s="3" t="inlineStr">
        <is>
          <t>NollySenti: Leveraging Transfer Learning and Machine Translation for Nigerian Movie Sentiment Classification</t>
        </is>
      </c>
      <c r="F1152" s="3" t="inlineStr">
        <is>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is>
      </c>
      <c r="G1152" s="5" t="inlineStr">
        <is>
          <t>Conference paper</t>
        </is>
      </c>
      <c r="H1152" s="5" t="n"/>
      <c r="I1152" s="5" t="n"/>
      <c r="J1152" s="3" t="n"/>
    </row>
    <row r="1153" ht="213.75" customHeight="1" s="18">
      <c r="A1153" s="5" t="inlineStr">
        <is>
          <t>S2-1147</t>
        </is>
      </c>
      <c r="B1153" s="5" t="inlineStr">
        <is>
          <t>B-i</t>
        </is>
      </c>
      <c r="C1153" s="3" t="inlineStr">
        <is>
          <t>Liang, M.; Zhou, J.; Sun, Y.; He, L.</t>
        </is>
      </c>
      <c r="D1153" s="6" t="n">
        <v>2021</v>
      </c>
      <c r="E1153" s="3" t="inlineStr">
        <is>
          <t>Working with Few Samples: Methods that Help Analyze Social Attitude and Personal Emotion</t>
        </is>
      </c>
      <c r="F1153" s="3" t="inlineStr">
        <is>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is>
      </c>
      <c r="G1153" s="5" t="inlineStr">
        <is>
          <t>Conference paper</t>
        </is>
      </c>
      <c r="H1153" s="5" t="inlineStr">
        <is>
          <t>10.1109/cscwd49262.2021.9437799</t>
        </is>
      </c>
      <c r="I1153" s="5" t="n"/>
      <c r="J1153" s="3" t="n"/>
    </row>
    <row r="1154" ht="285" customHeight="1" s="18">
      <c r="A1154" s="5" t="inlineStr">
        <is>
          <t>S2-1148</t>
        </is>
      </c>
      <c r="B1154" s="5" t="inlineStr">
        <is>
          <t>B-i</t>
        </is>
      </c>
      <c r="C1154" s="3" t="inlineStr">
        <is>
          <t>You, Y.; Jiang, Z.; Zhang, K.; Jiang, J.; Wang, X.; Zhang, Z.; Wang, S.; Feng, H.</t>
        </is>
      </c>
      <c r="D1154" s="6" t="n">
        <v>2022</v>
      </c>
      <c r="E1154" s="3" t="inlineStr">
        <is>
          <t>TI-Prompt: Towards a Prompt Tuning Method for Few-shot Threat Intelligence Twitter Classification</t>
        </is>
      </c>
      <c r="F1154" s="3" t="inlineStr">
        <is>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is>
      </c>
      <c r="G1154" s="5" t="inlineStr">
        <is>
          <t>Conference paper</t>
        </is>
      </c>
      <c r="H1154" s="5" t="inlineStr">
        <is>
          <t>10.1109/compsac54236.2022.00046</t>
        </is>
      </c>
      <c r="I1154" s="5" t="n"/>
      <c r="J1154" s="3" t="n"/>
    </row>
    <row r="1155" ht="285" customHeight="1" s="18">
      <c r="A1155" s="5" t="inlineStr">
        <is>
          <t>S2-1149</t>
        </is>
      </c>
      <c r="B1155" s="5" t="inlineStr">
        <is>
          <t>B-i</t>
        </is>
      </c>
      <c r="C1155" s="3" t="inlineStr">
        <is>
          <t>Hardalov, M.; Arora, A.; Nakov, P.; Augenstein, I.</t>
        </is>
      </c>
      <c r="D1155" s="6" t="n">
        <v>2022</v>
      </c>
      <c r="E1155" s="3" t="inlineStr">
        <is>
          <t>Few-Shot Cross-Lingual Stance Detection with Sentiment-Based Pre-training</t>
        </is>
      </c>
      <c r="F1155" s="3" t="inlineStr">
        <is>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is>
      </c>
      <c r="G1155" s="5" t="inlineStr">
        <is>
          <t>Conference paper</t>
        </is>
      </c>
      <c r="H1155" s="5" t="inlineStr">
        <is>
          <t>10.1609/aaai.v36i10.21318</t>
        </is>
      </c>
      <c r="I1155" s="5" t="n"/>
      <c r="J1155" s="3" t="n"/>
    </row>
    <row r="1156" ht="242.25" customHeight="1" s="18">
      <c r="A1156" s="5" t="inlineStr">
        <is>
          <t>S2-1150</t>
        </is>
      </c>
      <c r="B1156" s="5" t="inlineStr">
        <is>
          <t>B-i</t>
        </is>
      </c>
      <c r="C1156" s="3" t="inlineStr">
        <is>
          <t>Gupta, A.; Menghani, S.; Rallabandi, S.K.; Black, A.W.</t>
        </is>
      </c>
      <c r="D1156" s="6" t="n">
        <v>2021</v>
      </c>
      <c r="E1156" s="3" t="inlineStr">
        <is>
          <t>Unsupervised Self-Training for Sentiment Analysis of Code-Switched Data</t>
        </is>
      </c>
      <c r="F1156" s="3" t="inlineStr">
        <is>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is>
      </c>
      <c r="G1156" s="5" t="inlineStr">
        <is>
          <t>Conference paper</t>
        </is>
      </c>
      <c r="H1156" s="5" t="inlineStr">
        <is>
          <t>10.26615/978-954-452-056-4_013</t>
        </is>
      </c>
      <c r="I1156" s="5" t="n"/>
      <c r="J1156" s="3" t="n"/>
    </row>
    <row r="1157" ht="299.25" customHeight="1" s="18">
      <c r="A1157" s="5" t="inlineStr">
        <is>
          <t>S2-1151</t>
        </is>
      </c>
      <c r="B1157" s="5" t="inlineStr">
        <is>
          <t>B-i</t>
        </is>
      </c>
      <c r="C1157" s="3" t="inlineStr">
        <is>
          <t>Upadhyaya, A.; Fisichella, M.; Nejdl, W.</t>
        </is>
      </c>
      <c r="D1157" s="6" t="n">
        <v>2023</v>
      </c>
      <c r="E1157" s="3" t="inlineStr">
        <is>
          <t>Intensity-Valued Emotions Help Stance Detection of Climate Change Twitter Data</t>
        </is>
      </c>
      <c r="F1157" s="3" t="inlineStr">
        <is>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is>
      </c>
      <c r="G1157" s="5" t="inlineStr">
        <is>
          <t>Conference paper</t>
        </is>
      </c>
      <c r="H1157" s="5" t="inlineStr">
        <is>
          <t>10.24963/ijcai.2023/693</t>
        </is>
      </c>
      <c r="I1157" s="5" t="n"/>
      <c r="J1157" s="3" t="n"/>
    </row>
    <row r="1158" ht="270.75" customHeight="1" s="18">
      <c r="A1158" s="5" t="inlineStr">
        <is>
          <t>S2-1152</t>
        </is>
      </c>
      <c r="B1158" s="5" t="inlineStr">
        <is>
          <t>B-i</t>
        </is>
      </c>
      <c r="C1158" s="3" t="inlineStr">
        <is>
          <t>Hu, Z.; Liu, H.; Li, K.; Wang, Y.; Liu, Z.; Zhang, X.</t>
        </is>
      </c>
      <c r="D1158" s="6" t="n">
        <v>2022</v>
      </c>
      <c r="E1158" s="3" t="inlineStr">
        <is>
          <t>PEKIN: Prompt-Based External Knowledge Integration Network for Rumor Detection on Social Media</t>
        </is>
      </c>
      <c r="F1158" s="3" t="inlineStr">
        <is>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is>
      </c>
      <c r="G1158" s="5" t="inlineStr">
        <is>
          <t>Conference paper</t>
        </is>
      </c>
      <c r="H1158" s="5" t="inlineStr">
        <is>
          <t>10.1007/978-3-031-20865-2_14</t>
        </is>
      </c>
      <c r="I1158" s="5" t="n"/>
      <c r="J1158" s="3" t="n"/>
    </row>
    <row r="1159" ht="242.25" customHeight="1" s="18">
      <c r="A1159" s="5" t="inlineStr">
        <is>
          <t>S2-1153</t>
        </is>
      </c>
      <c r="B1159" s="5" t="inlineStr">
        <is>
          <t>B-i</t>
        </is>
      </c>
      <c r="C1159" s="3" t="inlineStr">
        <is>
          <t>Kotelnikov, E.; Loukachevitch, N.; Nikishina, I.; Panchenko, A.</t>
        </is>
      </c>
      <c r="D1159" s="6" t="n">
        <v>2022</v>
      </c>
      <c r="E1159" s="3" t="inlineStr">
        <is>
          <t>RuArg-2022: Argument Mining Evaluation</t>
        </is>
      </c>
      <c r="F1159" s="3" t="inlineStr">
        <is>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is>
      </c>
      <c r="G1159" s="5" t="inlineStr">
        <is>
          <t>Conference paper</t>
        </is>
      </c>
      <c r="H1159" s="5" t="inlineStr">
        <is>
          <t>10.28995/2075-7182-2022-21-333-348</t>
        </is>
      </c>
      <c r="I1159" s="5" t="n"/>
      <c r="J1159" s="3" t="n"/>
    </row>
    <row r="1160" ht="199.5" customHeight="1" s="18">
      <c r="A1160" s="5" t="inlineStr">
        <is>
          <t>S2-1154</t>
        </is>
      </c>
      <c r="B1160" s="5" t="inlineStr">
        <is>
          <t>B-i</t>
        </is>
      </c>
      <c r="C1160" s="3" t="inlineStr">
        <is>
          <t>Xu, C.; Li, J.</t>
        </is>
      </c>
      <c r="D1160" s="6" t="n">
        <v>2022</v>
      </c>
      <c r="E1160" s="3" t="inlineStr">
        <is>
          <t>Borrowing Human Senses: Comment-Aware Self-Training for Social Media Multimodal Classification</t>
        </is>
      </c>
      <c r="F1160" s="3" t="inlineStr">
        <is>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is>
      </c>
      <c r="G1160" s="5" t="inlineStr">
        <is>
          <t>Conference paper</t>
        </is>
      </c>
      <c r="H1160" s="5" t="inlineStr">
        <is>
          <t>10.18653/v1/2022.emnlp-main.381</t>
        </is>
      </c>
      <c r="I1160" s="5" t="n"/>
      <c r="J1160" s="3" t="n"/>
    </row>
    <row r="1161" ht="270.75" customHeight="1" s="18">
      <c r="A1161" s="5" t="inlineStr">
        <is>
          <t>S2-1155</t>
        </is>
      </c>
      <c r="B1161" s="5" t="inlineStr">
        <is>
          <t>B-i</t>
        </is>
      </c>
      <c r="C1161" s="3" t="inlineStr">
        <is>
          <t>Zhang, R.; Xu, N.; Yang, H.; Tian, Y.; Mao, W.</t>
        </is>
      </c>
      <c r="D1161" s="6" t="n">
        <v>2023</v>
      </c>
      <c r="E1161" s="3" t="inlineStr">
        <is>
          <t>Target-Oriented Relation Alignment for Cross-Lingual Stance Detection</t>
        </is>
      </c>
      <c r="F1161" s="3" t="inlineStr">
        <is>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is>
      </c>
      <c r="G1161" s="5" t="inlineStr">
        <is>
          <t>Conference paper</t>
        </is>
      </c>
      <c r="H1161" s="5" t="inlineStr">
        <is>
          <t>10.18653/v1/2023.findings-acl.399</t>
        </is>
      </c>
      <c r="I1161" s="5" t="n"/>
      <c r="J1161" s="3" t="n"/>
    </row>
    <row r="1162" ht="242.25" customHeight="1" s="18">
      <c r="A1162" s="5" t="inlineStr">
        <is>
          <t>S2-1156</t>
        </is>
      </c>
      <c r="B1162" s="5" t="inlineStr">
        <is>
          <t>B-i</t>
        </is>
      </c>
      <c r="C1162" s="3" t="inlineStr">
        <is>
          <t>Li, H.; Caragea, D.; Mhatre, A.; Ge, J.; Liu, M.</t>
        </is>
      </c>
      <c r="D1162" s="6" t="n">
        <v>2023</v>
      </c>
      <c r="E1162" s="3" t="inlineStr">
        <is>
          <t>Identifying COVID-19 Tweets Relevant to Low-Income Households Using Semi-supervised BERT and Zero-shot ChatGPT Models</t>
        </is>
      </c>
      <c r="F1162" s="3" t="inlineStr">
        <is>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is>
      </c>
      <c r="G1162" s="5" t="inlineStr">
        <is>
          <t>Conference paper</t>
        </is>
      </c>
      <c r="H1162" s="5" t="n"/>
      <c r="I1162" s="5" t="n"/>
      <c r="J1162" s="3" t="n"/>
    </row>
    <row r="1163" ht="285" customHeight="1" s="18">
      <c r="A1163" s="5" t="inlineStr">
        <is>
          <t>S2-1157</t>
        </is>
      </c>
      <c r="B1163" s="5" t="inlineStr">
        <is>
          <t>B-i</t>
        </is>
      </c>
      <c r="C1163" s="3" t="inlineStr">
        <is>
          <t>Chong, W.J.; Chua, H.N.; Gan, M.F.</t>
        </is>
      </c>
      <c r="D1163" s="6" t="n">
        <v>2022</v>
      </c>
      <c r="E1163" s="3" t="inlineStr">
        <is>
          <t>Comparing Zero-Shot Text Classification and Rule-Based Matching in Identifying Cyberbullying Behaviors on Social Media</t>
        </is>
      </c>
      <c r="F1163" s="3" t="inlineStr">
        <is>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is>
      </c>
      <c r="G1163" s="5" t="inlineStr">
        <is>
          <t>Conference paper</t>
        </is>
      </c>
      <c r="H1163" s="5" t="inlineStr">
        <is>
          <t>10.1109/iicaiet55139.2022.9936821</t>
        </is>
      </c>
      <c r="I1163" s="5" t="n"/>
      <c r="J1163" s="3" t="n"/>
    </row>
    <row r="1164" ht="256.5" customHeight="1" s="18">
      <c r="A1164" s="5" t="inlineStr">
        <is>
          <t>S2-1158</t>
        </is>
      </c>
      <c r="B1164" s="5" t="inlineStr">
        <is>
          <t>B-i</t>
        </is>
      </c>
      <c r="C1164" s="3" t="inlineStr">
        <is>
          <t>Patil, A.; Patwardhan, V.; Phaltankar, A.; Takawane, G.; Joshi, R.</t>
        </is>
      </c>
      <c r="D1164" s="6" t="n">
        <v>2023</v>
      </c>
      <c r="E1164" s="3" t="inlineStr">
        <is>
          <t>Comparative Study of Pre-Trained BERT Models for Code-Mixed Hindi-English Data</t>
        </is>
      </c>
      <c r="F1164" s="3" t="inlineStr">
        <is>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is>
      </c>
      <c r="G1164" s="5" t="inlineStr">
        <is>
          <t>Conference paper</t>
        </is>
      </c>
      <c r="H1164" s="5" t="inlineStr">
        <is>
          <t>10.1109/i2ct57861.2023.10126273</t>
        </is>
      </c>
      <c r="I1164" s="5" t="n"/>
      <c r="J1164" s="3" t="n"/>
    </row>
    <row r="1165" ht="299.25" customHeight="1" s="18">
      <c r="A1165" s="5" t="inlineStr">
        <is>
          <t>S2-1159</t>
        </is>
      </c>
      <c r="B1165" s="5" t="inlineStr">
        <is>
          <t>B-i</t>
        </is>
      </c>
      <c r="C1165" s="3" t="inlineStr">
        <is>
          <t>Zhang, T.; Lin, H.; Xu, B.; Yang, L.; Wang, J.; Duan, X.</t>
        </is>
      </c>
      <c r="D1165" s="6" t="n">
        <v>2021</v>
      </c>
      <c r="E1165" s="3" t="inlineStr">
        <is>
          <t>Adversarial neural network with sentiment-aware attention for detecting adverse drug reactions</t>
        </is>
      </c>
      <c r="F1165" s="3" t="inlineStr">
        <is>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is>
      </c>
      <c r="G1165" s="5" t="inlineStr">
        <is>
          <t>Journal article</t>
        </is>
      </c>
      <c r="H1165" s="5" t="inlineStr">
        <is>
          <t>10.1016/j.jbi.2021.103896</t>
        </is>
      </c>
      <c r="I1165" s="5" t="n"/>
      <c r="J1165" s="3" t="n"/>
    </row>
    <row r="1166" ht="213.75" customHeight="1" s="18">
      <c r="A1166" s="5" t="inlineStr">
        <is>
          <t>S2-1160</t>
        </is>
      </c>
      <c r="B1166" s="5" t="inlineStr">
        <is>
          <t>B-i</t>
        </is>
      </c>
      <c r="C1166" s="3" t="inlineStr">
        <is>
          <t>Tatariya, K.; Lent, H.; de Lhoneux, M.</t>
        </is>
      </c>
      <c r="D1166" s="6" t="n">
        <v>2023</v>
      </c>
      <c r="E1166" s="3" t="inlineStr">
        <is>
          <t>Transfer Learning for Code-Mixed Data: Do Pretraining Languages Matter?</t>
        </is>
      </c>
      <c r="F1166" s="3" t="inlineStr">
        <is>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is>
      </c>
      <c r="G1166" s="5" t="inlineStr">
        <is>
          <t>Conference paper</t>
        </is>
      </c>
      <c r="H1166" s="5" t="inlineStr">
        <is>
          <t>10.18653/v1/2023.wassa-1.32</t>
        </is>
      </c>
      <c r="I1166" s="5" t="n"/>
      <c r="J1166" s="3" t="n"/>
    </row>
    <row r="1167" ht="228" customHeight="1" s="18">
      <c r="A1167" s="5" t="inlineStr">
        <is>
          <t>S2-1161</t>
        </is>
      </c>
      <c r="B1167" s="5" t="inlineStr">
        <is>
          <t>B-i</t>
        </is>
      </c>
      <c r="C1167" s="3" t="inlineStr">
        <is>
          <t>Tahir, R.; Asif Naeem, M.</t>
        </is>
      </c>
      <c r="D1167" s="6" t="n">
        <v>2022</v>
      </c>
      <c r="E1167" s="3" t="inlineStr">
        <is>
          <t>A Machine Learning based Approach to Identify User Interests from Social Data</t>
        </is>
      </c>
      <c r="F1167" s="3" t="inlineStr">
        <is>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is>
      </c>
      <c r="G1167" s="5" t="inlineStr">
        <is>
          <t>Conference paper</t>
        </is>
      </c>
      <c r="H1167" s="5" t="inlineStr">
        <is>
          <t>10.1109/inmic56986.2022.9972956</t>
        </is>
      </c>
      <c r="I1167" s="5" t="n"/>
      <c r="J1167" s="3" t="n"/>
    </row>
    <row r="1168" ht="270.75" customHeight="1" s="18">
      <c r="A1168" s="5" t="inlineStr">
        <is>
          <t>S2-1162</t>
        </is>
      </c>
      <c r="B1168" s="5" t="inlineStr">
        <is>
          <t>B-i</t>
        </is>
      </c>
      <c r="C1168" s="3" t="inlineStr">
        <is>
          <t>Indriani, D.; Nasution, A.H.; Monika, W.; Nasution, S.</t>
        </is>
      </c>
      <c r="D1168" s="6" t="n">
        <v>2021</v>
      </c>
      <c r="E1168" s="3" t="inlineStr">
        <is>
          <t>Towards a Sentiment Analyser for Low-resource Languages</t>
        </is>
      </c>
      <c r="F1168" s="3" t="inlineStr">
        <is>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is>
      </c>
      <c r="G1168" s="5" t="inlineStr">
        <is>
          <t>Conference paper</t>
        </is>
      </c>
      <c r="H1168" s="5" t="inlineStr">
        <is>
          <t>10.1007/978-981-15-7990-5_10</t>
        </is>
      </c>
      <c r="I1168" s="5" t="n"/>
      <c r="J1168" s="3" t="n"/>
    </row>
    <row r="1169" ht="213.75" customHeight="1" s="18">
      <c r="A1169" s="5" t="inlineStr">
        <is>
          <t>S2-1163</t>
        </is>
      </c>
      <c r="B1169" s="5" t="inlineStr">
        <is>
          <t>B-i</t>
        </is>
      </c>
      <c r="C1169" s="3" t="inlineStr">
        <is>
          <t>Siino, M.; Tesconi, M.; Tinnirello, I.</t>
        </is>
      </c>
      <c r="D1169" s="6" t="n">
        <v>2023</v>
      </c>
      <c r="E1169" s="3" t="inlineStr">
        <is>
          <t>Profiling Cryptocurrency Influencers with Few-Shot Learning Using Data Augmentation and ELECTRA</t>
        </is>
      </c>
      <c r="F1169" s="3" t="inlineStr">
        <is>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is>
      </c>
      <c r="G1169" s="5" t="inlineStr">
        <is>
          <t>Conference paper</t>
        </is>
      </c>
      <c r="H1169" s="5" t="n"/>
      <c r="I1169" s="5" t="n"/>
      <c r="J1169" s="3" t="n"/>
    </row>
    <row r="1170" ht="270.75" customHeight="1" s="18">
      <c r="A1170" s="5" t="inlineStr">
        <is>
          <t>S2-1164</t>
        </is>
      </c>
      <c r="B1170" s="5" t="inlineStr">
        <is>
          <t>B-i</t>
        </is>
      </c>
      <c r="C1170" s="3" t="inlineStr">
        <is>
          <t>Li, Z.; Thaker, K.; He, D.</t>
        </is>
      </c>
      <c r="D1170" s="6" t="n">
        <v>2023</v>
      </c>
      <c r="E1170" s="3" t="inlineStr">
        <is>
          <t>SiaKey: A Method for Improving Few-shot Learning with Clinical Domain Information</t>
        </is>
      </c>
      <c r="F1170" s="3" t="inlineStr">
        <is>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is>
      </c>
      <c r="G1170" s="5" t="inlineStr">
        <is>
          <t>Conference paper</t>
        </is>
      </c>
      <c r="H1170" s="5" t="inlineStr">
        <is>
          <t>10.1109/bhi58575.2023.10313362</t>
        </is>
      </c>
      <c r="I1170" s="5" t="n"/>
      <c r="J1170" s="3" t="n"/>
    </row>
    <row r="1171" ht="213.75" customHeight="1" s="18">
      <c r="A1171" s="5" t="inlineStr">
        <is>
          <t>S2-1165</t>
        </is>
      </c>
      <c r="B1171" s="5" t="inlineStr">
        <is>
          <t>B-i</t>
        </is>
      </c>
      <c r="C1171" s="3" t="inlineStr">
        <is>
          <t>Sen, I.; Flöck, F.; Wagner, C.</t>
        </is>
      </c>
      <c r="D1171" s="6" t="n">
        <v>2020</v>
      </c>
      <c r="E1171" s="3" t="inlineStr">
        <is>
          <t>On the reliability and validity of detecting approval of political actors in tweets</t>
        </is>
      </c>
      <c r="F1171" s="3" t="inlineStr">
        <is>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is>
      </c>
      <c r="G1171" s="5" t="inlineStr">
        <is>
          <t>Conference paper</t>
        </is>
      </c>
      <c r="H1171" s="5" t="inlineStr">
        <is>
          <t>10.18653/v1/2020.emnlp-main.110</t>
        </is>
      </c>
      <c r="I1171" s="5" t="n"/>
      <c r="J1171" s="3" t="n"/>
    </row>
    <row r="1172" ht="256.5" customHeight="1" s="18">
      <c r="A1172" s="5" t="inlineStr">
        <is>
          <t>S2-1166</t>
        </is>
      </c>
      <c r="B1172" s="5" t="inlineStr">
        <is>
          <t>B-i</t>
        </is>
      </c>
      <c r="C1172" s="3" t="inlineStr">
        <is>
          <t>Azam, U.; Rizwan, H.; Karim, A.</t>
        </is>
      </c>
      <c r="D1172" s="6" t="n">
        <v>2022</v>
      </c>
      <c r="E1172" s="3" t="inlineStr">
        <is>
          <t>Exploring Data Augmentation Strategies for Hate Speech Detection in Roman Urdu</t>
        </is>
      </c>
      <c r="F1172" s="3" t="inlineStr">
        <is>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is>
      </c>
      <c r="G1172" s="5" t="inlineStr">
        <is>
          <t>Conference paper</t>
        </is>
      </c>
      <c r="H1172" s="5" t="n"/>
      <c r="I1172" s="5" t="n"/>
      <c r="J1172" s="3" t="n"/>
    </row>
    <row r="1173" ht="270.75" customHeight="1" s="18">
      <c r="A1173" s="5" t="inlineStr">
        <is>
          <t>S2-1167</t>
        </is>
      </c>
      <c r="B1173" s="5" t="inlineStr">
        <is>
          <t>B-i</t>
        </is>
      </c>
      <c r="C1173" s="3" t="inlineStr">
        <is>
          <t>Manias, G.; Kiourtis, A.; Mavrogiorgou, A.; Kyriazis, D.</t>
        </is>
      </c>
      <c r="D1173" s="6" t="n">
        <v>2022</v>
      </c>
      <c r="E1173" s="3" t="inlineStr">
        <is>
          <t>Multilingual Sentiment Analysis on Twitter Data Towards Enhanced Policy Making</t>
        </is>
      </c>
      <c r="F1173" s="3" t="inlineStr">
        <is>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is>
      </c>
      <c r="G1173" s="5" t="inlineStr">
        <is>
          <t>Conference paper</t>
        </is>
      </c>
      <c r="H1173" s="5" t="inlineStr">
        <is>
          <t>10.1007/978-3-031-08337-2_27</t>
        </is>
      </c>
      <c r="I1173" s="5" t="n"/>
      <c r="J1173" s="3" t="n"/>
    </row>
    <row r="1174" ht="242.25" customHeight="1" s="18">
      <c r="A1174" s="5" t="inlineStr">
        <is>
          <t>S2-1168</t>
        </is>
      </c>
      <c r="B1174" s="5" t="inlineStr">
        <is>
          <t>B-i</t>
        </is>
      </c>
      <c r="C1174" s="3" t="inlineStr">
        <is>
          <t>Thaipisutikul, T.; Shih, T.K.; Enkhbat, A.; Aditya, W.; Shih, H.-C.; Mongkolwat, P.</t>
        </is>
      </c>
      <c r="D1174" s="6" t="n">
        <v>2022</v>
      </c>
      <c r="E1174" s="3" t="inlineStr">
        <is>
          <t>Beyond fear go viral: A machine learning study on infodemic detection during covid-19 pandemic</t>
        </is>
      </c>
      <c r="F1174" s="3" t="inlineStr">
        <is>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is>
      </c>
      <c r="G1174" s="5" t="inlineStr">
        <is>
          <t>Conference paper</t>
        </is>
      </c>
      <c r="H1174" s="5" t="inlineStr">
        <is>
          <t>10.1109/kst53302.2022.9729077</t>
        </is>
      </c>
      <c r="I1174" s="5" t="n"/>
      <c r="J1174" s="3" t="n"/>
    </row>
    <row r="1175" ht="185.25" customHeight="1" s="18">
      <c r="A1175" s="5" t="inlineStr">
        <is>
          <t>S2-1169</t>
        </is>
      </c>
      <c r="B1175" s="5" t="inlineStr">
        <is>
          <t>B-i</t>
        </is>
      </c>
      <c r="C1175" s="3" t="inlineStr">
        <is>
          <t>D’Sa, A.G.; Illina, I.; Fohr, D.; Akbar, A.</t>
        </is>
      </c>
      <c r="D1175" s="6" t="n">
        <v>2022</v>
      </c>
      <c r="E1175" s="3" t="inlineStr">
        <is>
          <t>Exploration of Multi-corpus Learning for Hate Speech Classification in Low Resource Scenarios</t>
        </is>
      </c>
      <c r="F1175" s="3" t="inlineStr">
        <is>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is>
      </c>
      <c r="G1175" s="5" t="inlineStr">
        <is>
          <t>Conference paper</t>
        </is>
      </c>
      <c r="H1175" s="5" t="inlineStr">
        <is>
          <t>10.1007/978-3-031-16270-1_20</t>
        </is>
      </c>
      <c r="I1175" s="5" t="n"/>
      <c r="J1175" s="3" t="n"/>
    </row>
    <row r="1176" ht="213.75" customHeight="1" s="18">
      <c r="A1176" s="5" t="inlineStr">
        <is>
          <t>S2-1170</t>
        </is>
      </c>
      <c r="B1176" s="5" t="inlineStr">
        <is>
          <t>B-i</t>
        </is>
      </c>
      <c r="C1176" s="3" t="inlineStr">
        <is>
          <t>Sosea, T.; Caragea, C.</t>
        </is>
      </c>
      <c r="D1176" s="6" t="n">
        <v>2022</v>
      </c>
      <c r="E1176" s="3" t="inlineStr">
        <is>
          <t>Leveraging Training Dynamics and Self-Training for Text Classification</t>
        </is>
      </c>
      <c r="F1176" s="3" t="inlineStr">
        <is>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is>
      </c>
      <c r="G1176" s="5" t="inlineStr">
        <is>
          <t>Conference paper</t>
        </is>
      </c>
      <c r="H1176" s="5" t="inlineStr">
        <is>
          <t>10.18653/v1/2022.findings-emnlp.287</t>
        </is>
      </c>
      <c r="I1176" s="5" t="n"/>
      <c r="J1176" s="3" t="n"/>
    </row>
    <row r="1177" ht="256.5" customHeight="1" s="18">
      <c r="A1177" s="5" t="inlineStr">
        <is>
          <t>S2-1171</t>
        </is>
      </c>
      <c r="B1177" s="5" t="inlineStr">
        <is>
          <t>B-i</t>
        </is>
      </c>
      <c r="C1177" s="3" t="inlineStr">
        <is>
          <t>Sharif, O.; Hoque, M.M.</t>
        </is>
      </c>
      <c r="D1177" s="6" t="n">
        <v>2021</v>
      </c>
      <c r="E1177" s="3" t="inlineStr">
        <is>
          <t>Identification and Classification of Textual Aggression in Social Media: Resource Creation and Evaluation</t>
        </is>
      </c>
      <c r="F1177" s="3" t="inlineStr">
        <is>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is>
      </c>
      <c r="G1177" s="5" t="inlineStr">
        <is>
          <t>Conference paper</t>
        </is>
      </c>
      <c r="H1177" s="5" t="inlineStr">
        <is>
          <t>10.1007/978-3-030-73696-5_2</t>
        </is>
      </c>
      <c r="I1177" s="5" t="n"/>
      <c r="J1177" s="3" t="n"/>
    </row>
    <row r="1178" ht="228" customHeight="1" s="18">
      <c r="A1178" s="5" t="inlineStr">
        <is>
          <t>S2-1172</t>
        </is>
      </c>
      <c r="B1178" s="5" t="inlineStr">
        <is>
          <t>B-i</t>
        </is>
      </c>
      <c r="C1178" s="3" t="inlineStr">
        <is>
          <t>Wang, M.; Adel, H.; Lange, L.; Strötgen, J.; Schütze, H.</t>
        </is>
      </c>
      <c r="D1178" s="6" t="n">
        <v>2023</v>
      </c>
      <c r="E1178" s="3" t="inlineStr">
        <is>
          <t>NLNDE at SemEval-2023 Task 12: Adaptive Pretraining and Source Language Selection for Low-Resource Multilingual Sentiment Analysis</t>
        </is>
      </c>
      <c r="F1178" s="3" t="inlineStr">
        <is>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is>
      </c>
      <c r="G1178" s="5" t="inlineStr">
        <is>
          <t>Conference paper</t>
        </is>
      </c>
      <c r="H1178" s="5" t="inlineStr">
        <is>
          <t>10.18653/v1/2023.semeval-1.68</t>
        </is>
      </c>
      <c r="I1178" s="5" t="n"/>
      <c r="J1178" s="3" t="n"/>
    </row>
    <row r="1179" ht="356.25" customHeight="1" s="18">
      <c r="A1179" s="5" t="inlineStr">
        <is>
          <t>S2-1173</t>
        </is>
      </c>
      <c r="B1179" s="5" t="inlineStr">
        <is>
          <t>B-i</t>
        </is>
      </c>
      <c r="C1179" s="3" t="inlineStr">
        <is>
          <t>Zaikis, D.; Vlahavas, I.</t>
        </is>
      </c>
      <c r="D1179" s="6" t="n">
        <v>2023</v>
      </c>
      <c r="E1179" s="3" t="inlineStr">
        <is>
          <t>From Pre-Training to Meta-Learning: A Journey in Low-Resource-Language Representation Learning</t>
        </is>
      </c>
      <c r="F1179" s="3" t="inlineStr">
        <is>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is>
      </c>
      <c r="G1179" s="5" t="inlineStr">
        <is>
          <t>Journal article</t>
        </is>
      </c>
      <c r="H1179" s="5" t="inlineStr">
        <is>
          <t>10.1109/access.2023.3326337</t>
        </is>
      </c>
      <c r="I1179" s="5" t="n"/>
      <c r="J1179" s="3" t="n"/>
    </row>
    <row r="1180" ht="356.25" customHeight="1" s="18">
      <c r="A1180" s="5" t="inlineStr">
        <is>
          <t>S2-1174</t>
        </is>
      </c>
      <c r="B1180" s="5" t="inlineStr">
        <is>
          <t>B-i</t>
        </is>
      </c>
      <c r="C1180" s="3" t="inlineStr">
        <is>
          <t>Rauniyar, K.; Poudel, S.; Shiwakoti, S.; Thapa, S.; Rashid, J.; Kim, J.; Imran, M.; Naseem, U.</t>
        </is>
      </c>
      <c r="D1180" s="6" t="n">
        <v>2023</v>
      </c>
      <c r="E1180" s="3" t="inlineStr">
        <is>
          <t>Multi-Aspect Annotation and Analysis of Nepali Tweets on Anti-Establishment Election Discourse</t>
        </is>
      </c>
      <c r="F1180" s="3" t="inlineStr">
        <is>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is>
      </c>
      <c r="G1180" s="5" t="inlineStr">
        <is>
          <t>Journal article</t>
        </is>
      </c>
      <c r="H1180" s="5" t="inlineStr">
        <is>
          <t>10.1109/access.2023.3342154</t>
        </is>
      </c>
      <c r="I1180" s="5" t="n"/>
      <c r="J1180" s="3" t="n"/>
    </row>
    <row r="1181" ht="228" customHeight="1" s="18">
      <c r="A1181" s="5" t="inlineStr">
        <is>
          <t>S2-1175</t>
        </is>
      </c>
      <c r="B1181" s="5" t="inlineStr">
        <is>
          <t>B-i</t>
        </is>
      </c>
      <c r="C1181" s="3" t="inlineStr">
        <is>
          <t>Kocielnik, R.; Kangaslahti, S.; Prabhumoye, S.; Hari, M.; Alvarez, R.M.; Anandkumar, A.</t>
        </is>
      </c>
      <c r="D1181" s="6" t="n">
        <v>2023</v>
      </c>
      <c r="E1181" s="3" t="inlineStr">
        <is>
          <t>Can You Label Less by Using Out-of-Domain Data? Active &amp; Transfer Learning with Few-shot Instructions</t>
        </is>
      </c>
      <c r="F1181" s="3" t="inlineStr">
        <is>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is>
      </c>
      <c r="G1181" s="5" t="inlineStr">
        <is>
          <t>Conference paper</t>
        </is>
      </c>
      <c r="H1181" s="5" t="n"/>
      <c r="I1181" s="5" t="n"/>
      <c r="J1181" s="3" t="n"/>
    </row>
    <row r="1182" ht="370.5" customHeight="1" s="18">
      <c r="A1182" s="5" t="inlineStr">
        <is>
          <t>S2-1176</t>
        </is>
      </c>
      <c r="B1182" s="5" t="inlineStr">
        <is>
          <t>B-i</t>
        </is>
      </c>
      <c r="C1182" s="3" t="inlineStr">
        <is>
          <t>Costadone, L.; Balzan, M.V.</t>
        </is>
      </c>
      <c r="D1182" s="6" t="n">
        <v>2023</v>
      </c>
      <c r="E1182" s="3" t="inlineStr">
        <is>
          <t>Characterizing nature-based recreation preferences in a Mediterranean small island environment using crowdsourced data</t>
        </is>
      </c>
      <c r="F1182" s="3" t="inlineStr">
        <is>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is>
      </c>
      <c r="G1182" s="5" t="inlineStr">
        <is>
          <t>Journal article</t>
        </is>
      </c>
      <c r="H1182" s="5" t="inlineStr">
        <is>
          <t>10.1080/26395916.2023.2274594</t>
        </is>
      </c>
      <c r="I1182" s="5" t="n"/>
      <c r="J1182" s="3" t="n"/>
    </row>
    <row r="1183" ht="285" customHeight="1" s="18">
      <c r="A1183" s="5" t="inlineStr">
        <is>
          <t>S2-1177</t>
        </is>
      </c>
      <c r="B1183" s="5" t="inlineStr">
        <is>
          <t>B-i</t>
        </is>
      </c>
      <c r="C1183" s="3" t="inlineStr">
        <is>
          <t>Chen, Q.; Wang, W.; Huang, K.; Coenen, F.</t>
        </is>
      </c>
      <c r="D1183" s="6" t="n">
        <v>2022</v>
      </c>
      <c r="E1183" s="3" t="inlineStr">
        <is>
          <t>Zero-Shot Text Classification via Knowledge Graph Embedding for Social Media Data</t>
        </is>
      </c>
      <c r="F1183" s="3" t="inlineStr">
        <is>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is>
      </c>
      <c r="G1183" s="5" t="inlineStr">
        <is>
          <t>Journal article</t>
        </is>
      </c>
      <c r="H1183" s="5" t="inlineStr">
        <is>
          <t>10.1109/jiot.2021.3093065</t>
        </is>
      </c>
      <c r="I1183" s="5" t="n"/>
      <c r="J1183" s="3" t="n"/>
    </row>
    <row r="1184" ht="409.5" customHeight="1" s="18">
      <c r="A1184" s="5" t="inlineStr">
        <is>
          <t>S2-1178</t>
        </is>
      </c>
      <c r="B1184" s="5" t="inlineStr">
        <is>
          <t>B-i</t>
        </is>
      </c>
      <c r="C1184" s="3" t="inlineStr">
        <is>
          <t>Tabinda Kokab, S.; Asghar, S.; Naz, S.</t>
        </is>
      </c>
      <c r="D1184" s="6" t="n">
        <v>2022</v>
      </c>
      <c r="E1184" s="3" t="inlineStr">
        <is>
          <t>Transformer-based deep learning models for the sentiment analysis of social media data</t>
        </is>
      </c>
      <c r="F1184" s="3" t="inlineStr">
        <is>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is>
      </c>
      <c r="G1184" s="5" t="inlineStr">
        <is>
          <t>Journal article</t>
        </is>
      </c>
      <c r="H1184" s="5" t="inlineStr">
        <is>
          <t>10.1016/j.array.2022.100157</t>
        </is>
      </c>
      <c r="I1184" s="5" t="n"/>
      <c r="J1184" s="3" t="n"/>
    </row>
    <row r="1185" ht="213.75" customHeight="1" s="18">
      <c r="A1185" s="5" t="inlineStr">
        <is>
          <t>S2-1179</t>
        </is>
      </c>
      <c r="B1185" s="5" t="inlineStr">
        <is>
          <t>B-i</t>
        </is>
      </c>
      <c r="C1185" s="3" t="inlineStr">
        <is>
          <t>Sengupta, S.</t>
        </is>
      </c>
      <c r="D1185" s="6" t="n">
        <v>2020</v>
      </c>
      <c r="E1185" s="3" t="inlineStr">
        <is>
          <t>'Learning to code in a virtual world': A preliminary comparative analysis of discourse and learning in two online programming communities</t>
        </is>
      </c>
      <c r="F1185" s="3" t="inlineStr">
        <is>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is>
      </c>
      <c r="G1185" s="5" t="inlineStr">
        <is>
          <t>Conference paper</t>
        </is>
      </c>
      <c r="H1185" s="5" t="inlineStr">
        <is>
          <t>10.1145/3406865.3418319</t>
        </is>
      </c>
      <c r="I1185" s="5" t="n"/>
      <c r="J1185" s="3" t="n"/>
    </row>
    <row r="1186" ht="228" customHeight="1" s="18">
      <c r="A1186" s="5" t="inlineStr">
        <is>
          <t>S2-1180</t>
        </is>
      </c>
      <c r="B1186" s="5" t="inlineStr">
        <is>
          <t>B-i</t>
        </is>
      </c>
      <c r="C1186" s="3" t="inlineStr">
        <is>
          <t>Donnelly, P.J.; Beery, A.</t>
        </is>
      </c>
      <c r="D1186" s="6" t="n">
        <v>2022</v>
      </c>
      <c r="E1186" s="3" t="inlineStr">
        <is>
          <t>Evaluating Large-Language Models for Dimensional Music Emotion Prediction from Social Media Discourse</t>
        </is>
      </c>
      <c r="F1186" s="3" t="inlineStr">
        <is>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is>
      </c>
      <c r="G1186" s="5" t="inlineStr">
        <is>
          <t>Conference paper</t>
        </is>
      </c>
      <c r="H1186" s="5" t="n"/>
      <c r="I1186" s="5" t="n"/>
      <c r="J1186" s="3" t="n"/>
    </row>
    <row r="1187" ht="370.5" customHeight="1" s="18">
      <c r="A1187" s="5" t="inlineStr">
        <is>
          <t>S2-1181</t>
        </is>
      </c>
      <c r="B1187" s="5" t="inlineStr">
        <is>
          <t>B-i</t>
        </is>
      </c>
      <c r="C1187" s="3" t="inlineStr">
        <is>
          <t>Rajabi, Z.; Valavi, M.R.</t>
        </is>
      </c>
      <c r="D1187" s="6" t="n">
        <v>2021</v>
      </c>
      <c r="E1187" s="3" t="inlineStr">
        <is>
          <t>A Survey on Sentiment Analysis in Persian: a Comprehensive System Perspective Covering Challenges and Advances in Resources and Methods</t>
        </is>
      </c>
      <c r="F1187" s="3" t="inlineStr">
        <is>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is>
      </c>
      <c r="G1187" s="5" t="inlineStr">
        <is>
          <t>Journal article</t>
        </is>
      </c>
      <c r="H1187" s="5" t="inlineStr">
        <is>
          <t>10.1007/s12559-021-09886-x</t>
        </is>
      </c>
      <c r="I1187" s="5" t="n"/>
      <c r="J1187" s="3" t="n"/>
    </row>
  </sheetData>
  <conditionalFormatting sqref="I7:I1187">
    <cfRule type="expression" priority="1" dxfId="1">
      <formula>I7="INCLUDE"</formula>
    </cfRule>
    <cfRule type="expression" priority="2" dxfId="0">
      <formula>I7="EXCLUDE"</formula>
    </cfRule>
  </conditionalFormatting>
  <dataValidations count="1">
    <dataValidation sqref="I7:I1187" showDropDown="0" showInputMessage="0" showErrorMessage="0" allowBlank="0" type="list">
      <formula1>"INCLUDE,EXCLUDE"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43"/>
  <sheetViews>
    <sheetView topLeftCell="A21" workbookViewId="0">
      <selection activeCell="A31" sqref="A31:C43"/>
    </sheetView>
  </sheetViews>
  <sheetFormatPr baseColWidth="8" defaultRowHeight="14.25"/>
  <cols>
    <col width="44.875" customWidth="1" style="18" min="1" max="1"/>
    <col width="10.75" bestFit="1" customWidth="1" style="18" min="2" max="2"/>
    <col width="95.125" customWidth="1" style="2" min="3" max="3"/>
  </cols>
  <sheetData>
    <row r="1" ht="15" customHeight="1" s="18">
      <c r="A1" t="inlineStr">
        <is>
          <t>Metric</t>
        </is>
      </c>
      <c r="B1" t="inlineStr">
        <is>
          <t>Count</t>
        </is>
      </c>
      <c r="C1" s="2" t="inlineStr">
        <is>
          <t>Notes</t>
        </is>
      </c>
    </row>
    <row r="2">
      <c r="A2" s="2" t="inlineStr">
        <is>
          <t>Records identified from accepted database searches</t>
        </is>
      </c>
      <c r="B2" s="2" t="n">
        <v>2355</v>
      </c>
      <c r="C2" s="2" t="inlineStr">
        <is>
          <t>Sum of accepted source sets: IEEE A 336 + Scopus A 476 + arXiv B-i 301 + Scopus B-i 1124 + ACM DL B-ii 118.</t>
        </is>
      </c>
    </row>
    <row r="3">
      <c r="A3" s="2" t="inlineStr">
        <is>
          <t>Duplicate records removed</t>
        </is>
      </c>
      <c r="B3" s="2" t="n">
        <v>163</v>
      </c>
      <c r="C3" s="2" t="inlineStr">
        <is>
          <t>Confirmed duplicates merged in Zotero during Phase 4.</t>
        </is>
      </c>
    </row>
    <row r="4">
      <c r="A4" s="2" t="inlineStr">
        <is>
          <t>Records entering title/abstract screening</t>
        </is>
      </c>
      <c r="B4" s="2" t="n">
        <v>2192</v>
      </c>
      <c r="C4" s="2" t="inlineStr">
        <is>
          <t>2355 identified minus 163 duplicate records removed.</t>
        </is>
      </c>
    </row>
    <row r="5" ht="71.25" customHeight="1" s="18">
      <c r="A5" s="2" t="inlineStr">
        <is>
          <t>Eligibility criterion change E8</t>
        </is>
      </c>
      <c r="B5" s="2" t="n"/>
      <c r="C5" s="2" t="inlineStr">
        <is>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is>
      </c>
    </row>
    <row r="6">
      <c r="A6" s="2" t="inlineStr">
        <is>
          <t>Records screened at title stage</t>
        </is>
      </c>
      <c r="B6" s="2" t="n">
        <v>2192</v>
      </c>
      <c r="C6" s="2" t="inlineStr">
        <is>
          <t>Complete Stage 1 title screen. E8 amendment of 26 Sep 2026 applied to the three thesis records on 4 Oct 2026.</t>
        </is>
      </c>
    </row>
    <row r="7" ht="28.5" customHeight="1" s="18">
      <c r="A7" s="2" t="inlineStr">
        <is>
          <t>Records excluded at title stage</t>
        </is>
      </c>
      <c r="B7" s="2" t="n">
        <v>1008</v>
      </c>
      <c r="C7" s="2" t="inlineStr">
        <is>
          <t>S1 - TITLE - EXCLUDE final Zotero count after E8 thesis re-screen. E8 amendment of 26 Sep 2026 applied to the three thesis records on 4 Oct 2026.</t>
        </is>
      </c>
    </row>
    <row r="8" ht="28.5" customHeight="1" s="18">
      <c r="A8" s="2" t="inlineStr">
        <is>
          <t>Records carried forward after title screening</t>
        </is>
      </c>
      <c r="B8" s="2" t="n">
        <v>1184</v>
      </c>
      <c r="C8" s="2" t="inlineStr">
        <is>
          <t>S1 - TITLE - INCLUDE final count after E8 thesis re-screen. E8 amendment of 26 Sep 2026 applied to the three thesis records on 4 Oct 2026.</t>
        </is>
      </c>
    </row>
    <row r="9" ht="71.25" customHeight="1" s="18">
      <c r="A9" s="2" t="inlineStr">
        <is>
          <t>Mandatory Phase 8 citation chasing</t>
        </is>
      </c>
      <c r="B9" s="2" t="n"/>
      <c r="C9" s="2" t="inlineStr">
        <is>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is>
      </c>
    </row>
    <row r="10" ht="114" customHeight="1" s="18">
      <c r="A10" s="2" t="inlineStr">
        <is>
          <t>Locked Stage 2 Strand B-i criterion</t>
        </is>
      </c>
      <c r="B10" s="2" t="n"/>
      <c r="C10" s="2" t="inlineStr">
        <is>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is>
      </c>
    </row>
    <row r="11" ht="28.5" customHeight="1" s="18">
      <c r="A11" s="2" t="inlineStr">
        <is>
          <t>Records screened at abstract stage</t>
        </is>
      </c>
      <c r="B11" s="2" t="n">
        <v>1184</v>
      </c>
      <c r="C11" s="2" t="inlineStr">
        <is>
          <t>1181 frozen Stage 2 records in stage_2_abstract_screening_FINAL_20260927.xlsx + 3 thesis records in E8 addendum. E8 amendment of 26 Sep 2026 applied to the three thesis records on 4 Oct 2026.</t>
        </is>
      </c>
    </row>
    <row r="12" ht="28.5" customHeight="1" s="18">
      <c r="A12" s="2" t="inlineStr">
        <is>
          <t>Abstracts retrieved/repaired before Stage 2 screening</t>
        </is>
      </c>
      <c r="B12" s="2" t="n">
        <v>352</v>
      </c>
      <c r="C12" s="2" t="inlineStr">
        <is>
          <t>Abstracts retrieved or repaired before abstract screening.</t>
        </is>
      </c>
    </row>
    <row r="13" ht="42.75" customHeight="1" s="18">
      <c r="A13" s="2" t="inlineStr">
        <is>
          <t>Records excluded at abstract stage</t>
        </is>
      </c>
      <c r="B13" s="2" t="n">
        <v>820</v>
      </c>
      <c r="C13" s="2" t="inlineStr">
        <is>
          <t>Final Stage 2 EXCLUDE count after correction of S2-0307 on 4 Oct 2026 from EXCLUDE E2 to INCLUDE. E8 amendment of 26 Sep 2026 applied to the three thesis records on 4 Oct 2026; none of the three theses was excluded at abstract stage.</t>
        </is>
      </c>
    </row>
    <row r="14" ht="28.5" customHeight="1" s="18">
      <c r="A14" s="2" t="inlineStr">
        <is>
          <t>Records carried forward to full text</t>
        </is>
      </c>
      <c r="B14" s="2" t="n">
        <v>364</v>
      </c>
      <c r="C14" s="2" t="inlineStr">
        <is>
          <t>353 INCLUDE + 11 MAYBE. Includes S2-0307 after correction from EXCLUDE E2 to INCLUDE on 4 Oct 2026. E8 amendment of 26 Sep 2026 applied to the three thesis records on 4 Oct 2026.</t>
        </is>
      </c>
    </row>
    <row r="15" ht="28.5" customHeight="1" s="18">
      <c r="A15" s="2" t="inlineStr">
        <is>
          <t>Stage 2 INCLUDE</t>
        </is>
      </c>
      <c r="B15" s="2" t="n">
        <v>353</v>
      </c>
      <c r="C15" s="2" t="inlineStr">
        <is>
          <t>Final Stage 2 INCLUDE count including the three E8 thesis records and S2-0307, corrected from EXCLUDE E2 to INCLUDE on 4 Oct 2026.</t>
        </is>
      </c>
    </row>
    <row r="16" ht="28.5" customHeight="1" s="18">
      <c r="A16" s="2" t="inlineStr">
        <is>
          <t>Stage 2 MAYBE</t>
        </is>
      </c>
      <c r="B16" s="2" t="n">
        <v>11</v>
      </c>
      <c r="C16" s="2" t="inlineStr">
        <is>
          <t>Final Stage 2 MAYBE count. E8 amendment of 26 Sep 2026 applied to the three thesis records on 4 Oct 2026; none of the three theses was MAYBE.</t>
        </is>
      </c>
    </row>
    <row r="17" ht="42.75" customHeight="1" s="18">
      <c r="A17" s="2" t="inlineStr">
        <is>
          <t>Calibration agreement</t>
        </is>
      </c>
      <c r="B17" s="2" t="inlineStr">
        <is>
          <t>47/50 (94%)</t>
        </is>
      </c>
      <c r="C17" s="2" t="inlineStr">
        <is>
          <t>Original blind re-screen agreement: 47/50 (94%) primary and 46/50 (92%) secondary. No decisions were changed during the original calibration adjudication. S2-0307 was subsequently corrected from EXCLUDE E2 to INCLUDE on 4 October 2026 after separate audit review.</t>
        </is>
      </c>
    </row>
    <row r="18">
      <c r="A18" s="2" t="inlineStr">
        <is>
          <t>Stage 2 exclusions – E2</t>
        </is>
      </c>
      <c r="B18" s="2" t="n">
        <v>783</v>
      </c>
      <c r="C18" s="2" t="inlineStr">
        <is>
          <t>Final Stage 2 EXCLUDE – E2 count after S2-0307 was corrected from EXCLUDE E2 to INCLUDE on 4 Oct 2026.</t>
        </is>
      </c>
    </row>
    <row r="19">
      <c r="A19" s="2" t="inlineStr">
        <is>
          <t>Stage 2 exclusions – E1</t>
        </is>
      </c>
      <c r="B19" s="2" t="n">
        <v>28</v>
      </c>
      <c r="C19" s="2" t="inlineStr">
        <is>
          <t>Final Stage 2 EXCLUDE – E1 count.</t>
        </is>
      </c>
    </row>
    <row r="20">
      <c r="A20" s="2" t="inlineStr">
        <is>
          <t>Stage 2 exclusions – E3</t>
        </is>
      </c>
      <c r="B20" s="2" t="n">
        <v>6</v>
      </c>
      <c r="C20" s="2" t="inlineStr">
        <is>
          <t>Final Stage 2 EXCLUDE – E3 count.</t>
        </is>
      </c>
    </row>
    <row r="21">
      <c r="A21" s="2" t="inlineStr">
        <is>
          <t>Stage 2 exclusions – E6</t>
        </is>
      </c>
      <c r="B21" s="2" t="n">
        <v>3</v>
      </c>
      <c r="C21" s="2" t="inlineStr">
        <is>
          <t>Final Stage 2 EXCLUDE – E6 count.</t>
        </is>
      </c>
    </row>
    <row r="22">
      <c r="A22" s="2" t="inlineStr">
        <is>
          <t>Records carried forward – Strand A</t>
        </is>
      </c>
      <c r="B22" s="2" t="n">
        <v>209</v>
      </c>
      <c r="C22" s="2" t="inlineStr">
        <is>
          <t>207 INCLUDE + 2 MAYBE.</t>
        </is>
      </c>
    </row>
    <row r="23">
      <c r="A23" s="2" t="inlineStr">
        <is>
          <t>Records carried forward – Strand B-i</t>
        </is>
      </c>
      <c r="B23" s="2" t="n">
        <v>83</v>
      </c>
      <c r="C23" s="2" t="inlineStr">
        <is>
          <t>74 INCLUDE + 9 MAYBE. Includes S2-0307 after correction from EXCLUDE E2 to INCLUDE on 4 Oct 2026.</t>
        </is>
      </c>
    </row>
    <row r="24">
      <c r="A24" s="2" t="inlineStr">
        <is>
          <t>Records carried forward – Strand B-ii</t>
        </is>
      </c>
      <c r="B24" s="2" t="n">
        <v>72</v>
      </c>
      <c r="C24" s="2" t="inlineStr">
        <is>
          <t>72 INCLUDE + 0 MAYBE. E8 amendment of 26 Sep 2026 applied to the three thesis records on 4 Oct 2026.</t>
        </is>
      </c>
    </row>
    <row r="25">
      <c r="A25" s="2" t="inlineStr">
        <is>
          <t>Citation searching, backward – references examined</t>
        </is>
      </c>
      <c r="B25" s="2" t="n">
        <v>77</v>
      </c>
      <c r="C25" s="2" t="inlineStr">
        <is>
          <t>González et al. (2017) reference list; other-sources arm.</t>
        </is>
      </c>
    </row>
    <row r="26">
      <c r="A26" s="2" t="inlineStr">
        <is>
          <t>Citation searching, backward – already in corpus</t>
        </is>
      </c>
      <c r="B26" s="2" t="n">
        <v>7</v>
      </c>
      <c r="C26" s="2" t="inlineStr">
        <is>
          <t>Already present in the database corpus; not re-entered as new citation-search records.</t>
        </is>
      </c>
    </row>
    <row r="27">
      <c r="A27" s="2" t="inlineStr">
        <is>
          <t>Citation searching, backward – new records</t>
        </is>
      </c>
      <c r="B27" s="2" t="n">
        <v>70</v>
      </c>
      <c r="C27" s="2" t="inlineStr">
        <is>
          <t>NOT IN CORPUS records screened through the backward-citation arm.</t>
        </is>
      </c>
    </row>
    <row r="28">
      <c r="A28" s="2" t="inlineStr">
        <is>
          <t>Citation searching, backward – excluded at title</t>
        </is>
      </c>
      <c r="B28" s="2" t="n">
        <v>27</v>
      </c>
      <c r="C28" s="2" t="inlineStr">
        <is>
          <t>Title-stage EXCLUDE among the 70 new records.</t>
        </is>
      </c>
    </row>
    <row r="29" ht="28.5" customHeight="1" s="18">
      <c r="A29" s="2" t="inlineStr">
        <is>
          <t>Citation searching, backward – excluded at abstract – E2</t>
        </is>
      </c>
      <c r="B29" s="2" t="n">
        <v>5</v>
      </c>
      <c r="C29" s="2" t="inlineStr">
        <is>
          <t>All five abstract-stage exclusions were coded E2.</t>
        </is>
      </c>
    </row>
    <row r="30" ht="28.5" customHeight="1" s="18">
      <c r="A30" s="2" t="inlineStr">
        <is>
          <t>Citation searching, backward – carried forward to full text</t>
        </is>
      </c>
      <c r="B30" s="2" t="n">
        <v>38</v>
      </c>
      <c r="C30" s="2" t="inlineStr">
        <is>
          <t>37 INCLUDE + 1 MAYBE; entered in the Full-text Screening Log as GZ-&lt;Ref no.&gt;.</t>
        </is>
      </c>
    </row>
    <row r="31" ht="28.5" customHeight="1" s="18">
      <c r="A31" s="2" t="inlineStr">
        <is>
          <t>Other sources – supervisor recommendation</t>
        </is>
      </c>
      <c r="B31" s="2" t="n">
        <v>1</v>
      </c>
      <c r="C31" s="2" t="inlineStr">
        <is>
          <t>Lee et al. (2026) preprint; one record identified through supervisor recommendation and entered in the full-text Screening Log as OS-1.</t>
        </is>
      </c>
    </row>
    <row r="32">
      <c r="A32" s="2" t="inlineStr">
        <is>
          <t>Reports sought for retrieval at full text</t>
        </is>
      </c>
      <c r="B32" s="2" t="n">
        <v>403</v>
      </c>
      <c r="C32" s="2" t="inlineStr">
        <is>
          <t>364 records from database screening + 38 backward-citation records + 1 supervisor-recommended record.</t>
        </is>
      </c>
    </row>
    <row r="33">
      <c r="A33" s="2" t="inlineStr">
        <is>
          <t>Reports not retrieved</t>
        </is>
      </c>
      <c r="B33" s="2" t="n">
        <v>4</v>
      </c>
      <c r="C33" s="2" t="inlineStr">
        <is>
          <t>Four full-text records coded E6 (full text unavailable).</t>
        </is>
      </c>
    </row>
    <row r="34">
      <c r="A34" s="2" t="inlineStr">
        <is>
          <t>Reports assessed for eligibility</t>
        </is>
      </c>
      <c r="B34" s="2" t="n">
        <v>399</v>
      </c>
      <c r="C34" s="2" t="inlineStr">
        <is>
          <t>403 reports sought minus 4 not retrieved.</t>
        </is>
      </c>
    </row>
    <row r="35">
      <c r="A35" s="2" t="inlineStr">
        <is>
          <t>Full-text exclusions – E1</t>
        </is>
      </c>
      <c r="B35" s="2" t="n">
        <v>1</v>
      </c>
      <c r="C35" s="2" t="inlineStr">
        <is>
          <t>Not about CAVs / not the target technology.</t>
        </is>
      </c>
    </row>
    <row r="36" ht="28.5" customHeight="1" s="18">
      <c r="A36" s="2" t="inlineStr">
        <is>
          <t>Full-text exclusions – E2</t>
        </is>
      </c>
      <c r="B36" s="2" t="n">
        <v>28</v>
      </c>
      <c r="C36" s="2" t="inlineStr">
        <is>
          <t>Fails the applicable strand test. Count includes S2-0353 corrected to E2/Bi-task; S2-0307 remains E2/Bi-language.</t>
        </is>
      </c>
    </row>
    <row r="37">
      <c r="A37" s="2" t="inlineStr">
        <is>
          <t>Full-text exclusions – E3</t>
        </is>
      </c>
      <c r="B37" s="2" t="n">
        <v>2</v>
      </c>
      <c r="C37" s="2" t="inlineStr">
        <is>
          <t>No empirical content / ineligible short-form contribution under the fixed E3 rule.</t>
        </is>
      </c>
    </row>
    <row r="38">
      <c r="A38" s="2" t="inlineStr">
        <is>
          <t>Full-text exclusions – E7</t>
        </is>
      </c>
      <c r="B38" s="2" t="n">
        <v>1</v>
      </c>
      <c r="C38" s="2" t="inlineStr">
        <is>
          <t>Duplicate contribution.</t>
        </is>
      </c>
    </row>
    <row r="39">
      <c r="A39" s="2" t="inlineStr">
        <is>
          <t>Total reports excluded after full-text assessment</t>
        </is>
      </c>
      <c r="B39" s="2" t="n">
        <v>32</v>
      </c>
      <c r="C39" s="2" t="inlineStr">
        <is>
          <t>1 E1 + 28 E2 + 2 E3 + 1 E7. E6 is reported separately as not retrieved.</t>
        </is>
      </c>
    </row>
    <row r="40">
      <c r="A40" s="2" t="inlineStr">
        <is>
          <t>Reports included after full-text assessment</t>
        </is>
      </c>
      <c r="B40" s="2" t="n">
        <v>367</v>
      </c>
      <c r="C40" s="2" t="inlineStr">
        <is>
          <t>205 Strand A + 58 Strand B-i + 104 Strand B-ii.</t>
        </is>
      </c>
    </row>
    <row r="41">
      <c r="A41" s="2" t="inlineStr">
        <is>
          <t>Included – Strand A</t>
        </is>
      </c>
      <c r="B41" s="2" t="n">
        <v>205</v>
      </c>
      <c r="C41" s="2" t="inlineStr">
        <is>
          <t>Final full-text INCLUDE count for Strand A.</t>
        </is>
      </c>
    </row>
    <row r="42" ht="28.5" customHeight="1" s="18">
      <c r="A42" s="2" t="inlineStr">
        <is>
          <t>Included – Strand B-i</t>
        </is>
      </c>
      <c r="B42" s="2" t="n">
        <v>58</v>
      </c>
      <c r="C42" s="2" t="inlineStr">
        <is>
          <t>Final full-text INCLUDE count after S2-0353 is excluded, S2-0401 remains included, and Lee et al. (2026) is added.</t>
        </is>
      </c>
    </row>
    <row r="43">
      <c r="A43" s="2" t="inlineStr">
        <is>
          <t>Included – Strand B-ii</t>
        </is>
      </c>
      <c r="B43" s="2" t="n">
        <v>104</v>
      </c>
      <c r="C43" s="2" t="inlineStr">
        <is>
          <t>Final full-text INCLUDE count for Strand B-ii.</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43"/>
  <sheetViews>
    <sheetView topLeftCell="A2" workbookViewId="0">
      <selection activeCell="A1" sqref="A1:F1"/>
    </sheetView>
  </sheetViews>
  <sheetFormatPr baseColWidth="8" defaultRowHeight="14.25"/>
  <cols>
    <col width="22" customWidth="1" style="18" min="1" max="1"/>
    <col width="70" customWidth="1" style="18" min="2" max="2"/>
    <col width="36" customWidth="1" style="18" min="3" max="6"/>
  </cols>
  <sheetData>
    <row r="1" ht="27.95" customHeight="1" s="18">
      <c r="A1" s="19" t="inlineStr">
        <is>
          <t>Codes and fixed rules for the full-text stage</t>
        </is>
      </c>
    </row>
    <row r="2" ht="30" customHeight="1" s="18">
      <c r="A2" s="17" t="inlineStr">
        <is>
          <t>Wording adopted 5 October 2026 (ruling R1); manifest §2.3 uses the same wording. Rules of use: full_text_screening_instructions_v1.0_20261005.md.</t>
        </is>
      </c>
    </row>
    <row r="4" ht="15" customHeight="1" s="18">
      <c r="A4" s="8" t="inlineStr">
        <is>
          <t>Code</t>
        </is>
      </c>
      <c r="B4" s="8" t="inlineStr">
        <is>
          <t>Full-text exclusion reason</t>
        </is>
      </c>
    </row>
    <row r="5">
      <c r="A5" s="2" t="inlineStr">
        <is>
          <t>E1</t>
        </is>
      </c>
      <c r="B5" s="2" t="inlineStr">
        <is>
          <t>Not about CAVs / not the target technology</t>
        </is>
      </c>
    </row>
    <row r="6" ht="42.75" customHeight="1" s="18">
      <c r="A6" s="2" t="inlineStr">
        <is>
          <t>E2</t>
        </is>
      </c>
      <c r="B6" s="2" t="inlineStr">
        <is>
          <t>Fails the strand test — A: not about perception, concern, privacy or security; B-i: not an empirical classifier comparison; B-ii: not about prevalence or class-prior estimation</t>
        </is>
      </c>
    </row>
    <row r="7" ht="28.5" customHeight="1" s="18">
      <c r="A7" s="2" t="inlineStr">
        <is>
          <t>E3</t>
        </is>
      </c>
      <c r="B7" s="2" t="inlineStr">
        <is>
          <t>No empirical content: editorial, commentary, position piece, keynote, poster or abstract-only item, tutorial outline, panel or workshop summary</t>
        </is>
      </c>
    </row>
    <row r="8">
      <c r="A8" s="2" t="inlineStr">
        <is>
          <t>E4</t>
        </is>
      </c>
      <c r="B8" s="2" t="inlineStr">
        <is>
          <t>Not English</t>
        </is>
      </c>
    </row>
    <row r="9">
      <c r="A9" s="2" t="inlineStr">
        <is>
          <t>E5</t>
        </is>
      </c>
      <c r="B9" s="2" t="inlineStr">
        <is>
          <t>Outside the publication window</t>
        </is>
      </c>
    </row>
    <row r="10">
      <c r="A10" s="2" t="inlineStr">
        <is>
          <t>E6</t>
        </is>
      </c>
      <c r="B10" s="2" t="inlineStr">
        <is>
          <t>Full text unavailable (at Stage 2: no abstract and no locatable full text)</t>
        </is>
      </c>
    </row>
    <row r="11">
      <c r="A11" s="2" t="inlineStr">
        <is>
          <t>E7</t>
        </is>
      </c>
      <c r="B11" s="2" t="inlineStr">
        <is>
          <t>Duplicate missed at deduplication, or duplicate contribution</t>
        </is>
      </c>
    </row>
    <row r="12" ht="28.5" customHeight="1" s="18">
      <c r="A12" s="2" t="inlineStr">
        <is>
          <t>E8</t>
        </is>
      </c>
      <c r="B12" s="2" t="inlineStr">
        <is>
          <t>Wrong publication type: whole proceedings volume, front matter, table of contents. Theses are eligible</t>
        </is>
      </c>
    </row>
    <row r="14" ht="15" customHeight="1" s="18">
      <c r="A14" s="9" t="inlineStr">
        <is>
          <t>Eligibility</t>
        </is>
      </c>
      <c r="B14" s="9" t="inlineStr">
        <is>
          <t>Fixed rule</t>
        </is>
      </c>
    </row>
    <row r="15" ht="28.5" customHeight="1" s="18">
      <c r="A15" s="2" t="inlineStr">
        <is>
          <t>Peer review</t>
        </is>
      </c>
      <c r="B15" s="2" t="inlineStr">
        <is>
          <t>Preprints eligible where they ground methodology; record status, do not filter automatically</t>
        </is>
      </c>
    </row>
    <row r="16">
      <c r="A16" s="2" t="inlineStr">
        <is>
          <t>Strand A</t>
        </is>
      </c>
      <c r="B16" s="2" t="inlineStr">
        <is>
          <t>Publication window from 2015; English only</t>
        </is>
      </c>
    </row>
    <row r="17">
      <c r="A17" s="2" t="inlineStr">
        <is>
          <t>B-i</t>
        </is>
      </c>
      <c r="B17" s="2" t="inlineStr">
        <is>
          <t>Publication window from 2019; English only</t>
        </is>
      </c>
    </row>
    <row r="18">
      <c r="A18" s="2" t="inlineStr">
        <is>
          <t>B-ii</t>
        </is>
      </c>
      <c r="B18" s="2" t="inlineStr">
        <is>
          <t>Publication window from 2000; English only</t>
        </is>
      </c>
    </row>
    <row r="20" ht="15" customHeight="1" s="18">
      <c r="A20" s="8" t="inlineStr">
        <is>
          <t>Sub-reason (E2 only)</t>
        </is>
      </c>
      <c r="B20" s="8" t="inlineStr">
        <is>
          <t>Meaning</t>
        </is>
      </c>
    </row>
    <row r="21">
      <c r="A21" s="2" t="inlineStr">
        <is>
          <t>A-evidence</t>
        </is>
      </c>
      <c r="B21" s="2" t="inlineStr">
        <is>
          <t>No data collected from or about people</t>
        </is>
      </c>
    </row>
    <row r="22">
      <c r="A22" s="2" t="inlineStr">
        <is>
          <t>A-outcome</t>
        </is>
      </c>
      <c r="B22" s="2" t="inlineStr">
        <is>
          <t>Data from people, but no perception result</t>
        </is>
      </c>
    </row>
    <row r="23">
      <c r="A23" s="2" t="inlineStr">
        <is>
          <t>Bi-language</t>
        </is>
      </c>
      <c r="B23" s="2" t="inlineStr">
        <is>
          <t>Cross-lingual or low-resource-language transfer is the primary contribution</t>
        </is>
      </c>
    </row>
    <row r="24">
      <c r="A24" s="2" t="inlineStr">
        <is>
          <t>Bi-text</t>
        </is>
      </c>
      <c r="B24" s="2" t="inlineStr">
        <is>
          <t>Not short user-generated text</t>
        </is>
      </c>
    </row>
    <row r="25">
      <c r="A25" s="2" t="inlineStr">
        <is>
          <t>Bi-modality</t>
        </is>
      </c>
      <c r="B25" s="2" t="inlineStr">
        <is>
          <t>Input is not text alone</t>
        </is>
      </c>
    </row>
    <row r="26">
      <c r="A26" s="2" t="inlineStr">
        <is>
          <t>Bi-zeroshot</t>
        </is>
      </c>
      <c r="B26" s="2" t="inlineStr">
        <is>
          <t>No zero-shot or prompted arm</t>
        </is>
      </c>
    </row>
    <row r="27">
      <c r="A27" s="2" t="inlineStr">
        <is>
          <t>Bi-finetuned</t>
        </is>
      </c>
      <c r="B27" s="2" t="inlineStr">
        <is>
          <t>No supervised fine-tuned arm</t>
        </is>
      </c>
    </row>
    <row r="28">
      <c r="A28" s="2" t="inlineStr">
        <is>
          <t>Bi-direct</t>
        </is>
      </c>
      <c r="B28" s="2" t="inlineStr">
        <is>
          <t>Arms not compared on the same task and test data</t>
        </is>
      </c>
    </row>
    <row r="29">
      <c r="A29" s="2" t="inlineStr">
        <is>
          <t>Bi-task</t>
        </is>
      </c>
      <c r="B29" s="2" t="inlineStr">
        <is>
          <t>Not a classification task (ruling R8)</t>
        </is>
      </c>
    </row>
    <row r="30">
      <c r="A30" s="2" t="inlineStr">
        <is>
          <t>Bii-estimand</t>
        </is>
      </c>
      <c r="B30" s="2" t="inlineStr">
        <is>
          <t>No prevalence or class-prior estimate and no output correction</t>
        </is>
      </c>
    </row>
    <row r="31">
      <c r="A31" s="2" t="inlineStr">
        <is>
          <t>Bii-calibration</t>
        </is>
      </c>
      <c r="B31" s="2" t="inlineStr">
        <is>
          <t>Confidence calibration only</t>
        </is>
      </c>
    </row>
    <row r="32">
      <c r="A32" s="2" t="inlineStr">
        <is>
          <t>Bii-adaptation</t>
        </is>
      </c>
      <c r="B32" s="2" t="inlineStr">
        <is>
          <t>Domain adaptation with no class-prior estimand</t>
        </is>
      </c>
    </row>
    <row r="33">
      <c r="A33" s="2" t="inlineStr">
        <is>
          <t>Bii-othersense</t>
        </is>
      </c>
      <c r="B33" s="2" t="inlineStr">
        <is>
          <t>"Quantification" or "prior" used in another sense</t>
        </is>
      </c>
    </row>
    <row r="34" ht="28.5" customHeight="1" s="18">
      <c r="A34" s="2" t="inlineStr">
        <is>
          <t>Note</t>
        </is>
      </c>
      <c r="B34" s="2" t="inlineStr">
        <is>
          <t>Add "(not established)" after the sub-reason where an element could not be located in the paper within the time limit (decision D4).</t>
        </is>
      </c>
    </row>
    <row r="36" ht="15" customHeight="1" s="18">
      <c r="A36" s="8" t="inlineStr">
        <is>
          <t>Strand</t>
        </is>
      </c>
      <c r="B36" s="8" t="inlineStr">
        <is>
          <t>Method</t>
        </is>
      </c>
      <c r="C36" s="8" t="inlineStr">
        <is>
          <t>Sample/Data</t>
        </is>
      </c>
      <c r="D36" s="8" t="inlineStr">
        <is>
          <t>Tag 1</t>
        </is>
      </c>
      <c r="E36" s="8" t="inlineStr">
        <is>
          <t>Tag 2</t>
        </is>
      </c>
      <c r="F36" s="8" t="inlineStr">
        <is>
          <t>Tag 3</t>
        </is>
      </c>
    </row>
    <row r="37" ht="42.75" customHeight="1" s="18">
      <c r="A37" s="2" t="inlineStr">
        <is>
          <t>A</t>
        </is>
      </c>
      <c r="B37" s="2" t="inlineStr">
        <is>
          <t>Survey · Interview/focus group · Experiment · Online-discourse analysis · Mixed · Secondary data</t>
        </is>
      </c>
      <c r="C37" s="2" t="inlineStr">
        <is>
          <t>n; who; country; year collected — or: platform; n items; period</t>
        </is>
      </c>
      <c r="D37" s="2" t="inlineStr">
        <is>
          <t>Privacy, data handling or security measured? Y/N</t>
        </is>
      </c>
      <c r="E37" s="2" t="inlineStr">
        <is>
          <t>Longitudinal: the same measure at two or more points in time? Y/N</t>
        </is>
      </c>
      <c r="F37" s="2" t="inlineStr">
        <is>
          <t>Subsystem-resolved: concern attributed to named components, not to the vehicle as a whole? Y/N</t>
        </is>
      </c>
    </row>
    <row r="38" ht="28.5" customHeight="1" s="18">
      <c r="A38" s="2" t="inlineStr">
        <is>
          <t>B-i</t>
        </is>
      </c>
      <c r="B38" s="2" t="inlineStr">
        <is>
          <t>The two arms, written as ZS: model / FT: model</t>
        </is>
      </c>
      <c r="C38" s="2" t="inlineStr">
        <is>
          <t>platform; task; language; n test items</t>
        </is>
      </c>
      <c r="D38" s="2" t="inlineStr">
        <is>
          <t>Higher-scoring arm on the paper's main metric: FT · ZS · Mixed</t>
        </is>
      </c>
      <c r="E38" s="2" t="inlineStr">
        <is>
          <t>Cost of either arm reported (money or compute)? Y/N</t>
        </is>
      </c>
      <c r="F38" s="2" t="inlineStr">
        <is>
          <t>Class prevalence estimated or corrected? Y/N</t>
        </is>
      </c>
    </row>
    <row r="39">
      <c r="A39" s="2" t="inlineStr">
        <is>
          <t>B-ii</t>
        </is>
      </c>
      <c r="B39" s="2" t="inlineStr">
        <is>
          <t>Method · Theory · Application · Review/benchmark</t>
        </is>
      </c>
      <c r="C39" s="2" t="inlineStr">
        <is>
          <t>data type; domain</t>
        </is>
      </c>
      <c r="D39" s="2" t="inlineStr">
        <is>
          <t>Covers ACC? Y/N</t>
        </is>
      </c>
      <c r="E39" s="2" t="inlineStr">
        <is>
          <t>Covers EM/SLD? Y/N</t>
        </is>
      </c>
      <c r="F39" s="2" t="inlineStr">
        <is>
          <t>Text or social-media data? Y/N</t>
        </is>
      </c>
    </row>
    <row r="40" ht="28.5" customHeight="1" s="18">
      <c r="A40" s="2" t="inlineStr">
        <is>
          <t>Note</t>
        </is>
      </c>
      <c r="B40" s="2" t="inlineStr">
        <is>
          <t>Method, Sample/Data and the three tags are filled for INCLUDE only. A tag is Y only when the paper says so, and never changes a decision.</t>
        </is>
      </c>
    </row>
    <row r="42" ht="15" customHeight="1" s="18">
      <c r="A42" s="8" t="inlineStr">
        <is>
          <t>Version assessed</t>
        </is>
      </c>
      <c r="B42" s="8" t="inlineStr">
        <is>
          <t>Values</t>
        </is>
      </c>
    </row>
    <row r="43">
      <c r="A43" s="2" t="n"/>
      <c r="B43" s="2" t="inlineStr">
        <is>
          <t>Published · Accepted manuscript · Preprint · Thesis · Not retrieved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25"/>
  <cols>
    <col width="7" customWidth="1" style="18" min="1" max="1"/>
    <col width="12" customWidth="1" style="18" min="2" max="2"/>
    <col width="9" customWidth="1" style="18" min="3" max="3"/>
    <col width="60" customWidth="1" style="18" min="4" max="4"/>
    <col width="80" customWidth="1" style="18" min="5" max="5"/>
    <col width="40" customWidth="1" style="18" min="6" max="6"/>
  </cols>
  <sheetData>
    <row r="1" ht="15" customHeight="1" s="18">
      <c r="A1" s="8" t="inlineStr">
        <is>
          <t>No.</t>
        </is>
      </c>
      <c r="B1" s="8" t="inlineStr">
        <is>
          <t>Date</t>
        </is>
      </c>
      <c r="C1" s="8" t="inlineStr">
        <is>
          <t>Strand</t>
        </is>
      </c>
      <c r="D1" s="8" t="inlineStr">
        <is>
          <t>Case</t>
        </is>
      </c>
      <c r="E1" s="8" t="inlineStr">
        <is>
          <t>Ruling</t>
        </is>
      </c>
      <c r="F1" s="8" t="inlineStr">
        <is>
          <t>Records it was applied to</t>
        </is>
      </c>
    </row>
    <row r="2" ht="57" customHeight="1" s="18">
      <c r="A2" s="2" t="inlineStr">
        <is>
          <t>R1</t>
        </is>
      </c>
      <c r="B2" s="13" t="n">
        <v>46300</v>
      </c>
      <c r="C2" s="2" t="inlineStr">
        <is>
          <t>All</t>
        </is>
      </c>
      <c r="D2" s="2" t="inlineStr">
        <is>
          <t>The log's code key and manifest §2.3 defined E3, E6, E7 and E8 differently, and the key had no row for E1</t>
        </is>
      </c>
      <c r="E2" s="2" t="inlineStr">
        <is>
          <t>One wording in both places (Codes tab). Abstract-only items, posters, tutorial outlines and workshop reports are E3; E8 is only a whole proceedings volume, front matter or a table of contents; E7 includes duplicate contributions; E6 at this stage means the full text could not be obtained.</t>
        </is>
      </c>
      <c r="F2" s="2" t="n"/>
    </row>
    <row r="3" ht="28.5" customHeight="1" s="18">
      <c r="A3" s="2" t="inlineStr">
        <is>
          <t>R2</t>
        </is>
      </c>
      <c r="B3" s="13" t="n">
        <v>46300</v>
      </c>
      <c r="C3" s="2" t="inlineStr">
        <is>
          <t>A</t>
        </is>
      </c>
      <c r="D3" s="2" t="inlineStr">
        <is>
          <t>Studies of AI, robots or "smart" technology in general</t>
        </is>
      </c>
      <c r="E3" s="2" t="inlineStr">
        <is>
          <t>Passes A1 only if results for CAVs, or a closely coupled component, are reported separately. Otherwise E1.</t>
        </is>
      </c>
      <c r="F3" s="2" t="n"/>
    </row>
    <row r="4" ht="28.5" customHeight="1" s="18">
      <c r="A4" s="2" t="inlineStr">
        <is>
          <t>R3</t>
        </is>
      </c>
      <c r="B4" s="13" t="n">
        <v>46300</v>
      </c>
      <c r="C4" s="2" t="inlineStr">
        <is>
          <t>A</t>
        </is>
      </c>
      <c r="D4" s="2" t="inlineStr">
        <is>
          <t>Vehicles that are not road vehicles in traffic: sidewalk robots, drones, trains, ships</t>
        </is>
      </c>
      <c r="E4" s="2" t="inlineStr">
        <is>
          <t>E1. Driverless road vehicles used as shuttles, buses, taxis or for delivery are CAVs.</t>
        </is>
      </c>
      <c r="F4" s="2" t="n"/>
    </row>
    <row r="5">
      <c r="A5" s="2" t="inlineStr">
        <is>
          <t>R4</t>
        </is>
      </c>
      <c r="B5" s="13" t="n">
        <v>46300</v>
      </c>
      <c r="C5" s="2" t="inlineStr">
        <is>
          <t>A</t>
        </is>
      </c>
      <c r="D5" s="2" t="inlineStr">
        <is>
          <t>Moral-dilemma studies (how an automated vehicle should decide)</t>
        </is>
      </c>
      <c r="E5" s="2" t="inlineStr">
        <is>
          <t>Passes if it reports data from people about their attitudes to the vehicle's decisions.</t>
        </is>
      </c>
      <c r="F5" s="2" t="n"/>
    </row>
    <row r="6" ht="28.5" customHeight="1" s="18">
      <c r="A6" s="2" t="inlineStr">
        <is>
          <t>R5</t>
        </is>
      </c>
      <c r="B6" s="13" t="n">
        <v>46300</v>
      </c>
      <c r="C6" s="2" t="inlineStr">
        <is>
          <t>B-i</t>
        </is>
      </c>
      <c r="D6" s="2" t="inlineStr">
        <is>
          <t>Prompt-based methods that train on a few labelled examples (prompt tuning, pattern-exploiting training, few-shot fine-tuning)</t>
        </is>
      </c>
      <c r="E6" s="2" t="inlineStr">
        <is>
          <t>Counts as the prompted arm. The fine-tuned arm is conventional supervised fine-tuning on a labelled training set.</t>
        </is>
      </c>
      <c r="F6" s="2" t="n"/>
    </row>
    <row r="7" ht="28.5" customHeight="1" s="18">
      <c r="A7" s="2" t="inlineStr">
        <is>
          <t>R6</t>
        </is>
      </c>
      <c r="B7" s="13" t="n">
        <v>46300</v>
      </c>
      <c r="C7" s="2" t="inlineStr">
        <is>
          <t>B-i</t>
        </is>
      </c>
      <c r="D7" s="2" t="inlineStr">
        <is>
          <t>"Zero-shot" used to mean transfer: a classifier trained on labelled data for the same task in another domain, applied to new data</t>
        </is>
      </c>
      <c r="E7" s="2" t="inlineStr">
        <is>
          <t>Not a zero-shot arm, because the model was trained on labelled examples of the task. Transfer between languages is already covered by the locked criterion.</t>
        </is>
      </c>
      <c r="F7" s="2" t="n"/>
    </row>
    <row r="8" ht="28.5" customHeight="1" s="18">
      <c r="A8" s="2" t="inlineStr">
        <is>
          <t>R7</t>
        </is>
      </c>
      <c r="B8" s="13" t="n">
        <v>46300</v>
      </c>
      <c r="C8" s="2" t="inlineStr">
        <is>
          <t>B-i</t>
        </is>
      </c>
      <c r="D8" s="2" t="inlineStr">
        <is>
          <t>The only supervised models are classical or trained from scratch (SVM, logistic regression, LSTM); no pretrained model is fine-tuned</t>
        </is>
      </c>
      <c r="E8" s="2" t="inlineStr">
        <is>
          <t>Fails: no supervised fine-tuned arm (Bi-finetuned).</t>
        </is>
      </c>
      <c r="F8" s="2" t="n"/>
    </row>
    <row r="9" ht="28.5" customHeight="1" s="18">
      <c r="A9" s="2" t="inlineStr">
        <is>
          <t>R8</t>
        </is>
      </c>
      <c r="B9" s="13" t="n">
        <v>46300</v>
      </c>
      <c r="C9" s="2" t="inlineStr">
        <is>
          <t>B-i</t>
        </is>
      </c>
      <c r="D9" s="2" t="inlineStr">
        <is>
          <t>The task is not classification: regression (intensity scores), sequence labelling (named entities), generation, translation quality</t>
        </is>
      </c>
      <c r="E9" s="2" t="inlineStr">
        <is>
          <t>Fails E2, sub-reason Bi-task.</t>
        </is>
      </c>
      <c r="F9" s="2" t="n"/>
    </row>
    <row r="10" ht="42.75" customHeight="1" s="18">
      <c r="A10" s="2" t="inlineStr">
        <is>
          <t>R9</t>
        </is>
      </c>
      <c r="B10" s="13" t="n">
        <v>46300</v>
      </c>
      <c r="C10" s="2" t="inlineStr">
        <is>
          <t>B-i</t>
        </is>
      </c>
      <c r="D10" s="2" t="inlineStr">
        <is>
          <t>Several datasets, only some of them short user-generated text; or a text type the manifest does not name (survey free text, chat messages, support tickets)</t>
        </is>
      </c>
      <c r="E10" s="2" t="inlineStr">
        <is>
          <t>Passes if both arms are reported on at least one dataset of a named type. Each unnamed type is decided once and recorded here.</t>
        </is>
      </c>
      <c r="F10" s="2" t="n"/>
    </row>
    <row r="11" ht="28.5" customHeight="1" s="18">
      <c r="A11" s="2" t="inlineStr">
        <is>
          <t>R10</t>
        </is>
      </c>
      <c r="B11" s="13" t="n">
        <v>46300</v>
      </c>
      <c r="C11" s="2" t="inlineStr">
        <is>
          <t>B-ii</t>
        </is>
      </c>
      <c r="D11" s="2" t="inlineStr">
        <is>
          <t>Reviews, surveys, shared-task overviews</t>
        </is>
      </c>
      <c r="E11" s="2" t="inlineStr">
        <is>
          <t>A full article whose subject is prevalence estimation or prior/label-shift correction passes, with Method = Review/benchmark. Tutorial outlines and workshop reports fall to R1.</t>
        </is>
      </c>
      <c r="F11" s="2" t="n"/>
    </row>
    <row r="12" ht="42.75" customHeight="1" s="18">
      <c r="A12" s="2" t="inlineStr">
        <is>
          <t>R11</t>
        </is>
      </c>
      <c r="B12" s="13" t="n">
        <v>46300</v>
      </c>
      <c r="C12" s="2" t="inlineStr">
        <is>
          <t>B-ii</t>
        </is>
      </c>
      <c r="D12" s="2" t="inlineStr">
        <is>
          <t>Methods that are robust or invariant to prior shift, or that predict accuracy under shift, without producing a class-distribution estimate or rescaling classifier outputs</t>
        </is>
      </c>
      <c r="E12" s="2" t="inlineStr">
        <is>
          <t>Fails E2 (Bii-estimand).</t>
        </is>
      </c>
      <c r="F12" s="2" t="n"/>
    </row>
    <row r="13">
      <c r="A13" s="2" t="inlineStr">
        <is>
          <t>R12</t>
        </is>
      </c>
      <c r="B13" s="13" t="n">
        <v>46300</v>
      </c>
      <c r="C13" s="2" t="inlineStr">
        <is>
          <t>B-ii</t>
        </is>
      </c>
      <c r="D13" s="2" t="inlineStr">
        <is>
          <t>Technical reports, unpublished manuscripts and book chapters</t>
        </is>
      </c>
      <c r="E13" s="2" t="inlineStr">
        <is>
          <t>Eligible; judged on content; type recorded.</t>
        </is>
      </c>
      <c r="F13"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7"/>
  <sheetViews>
    <sheetView tabSelected="1" topLeftCell="A2" workbookViewId="0">
      <selection activeCell="A18" sqref="A18"/>
    </sheetView>
  </sheetViews>
  <sheetFormatPr baseColWidth="8" defaultRowHeight="14.25"/>
  <cols>
    <col width="34" customWidth="1" style="18" min="1" max="1"/>
    <col width="12" customWidth="1" style="18" min="2" max="2"/>
    <col width="14" customWidth="1" style="18" min="3" max="3"/>
    <col width="12" customWidth="1" style="18" min="4" max="4"/>
    <col width="30" customWidth="1" style="18" min="5" max="5"/>
    <col width="60" customWidth="1" style="18" min="6" max="6"/>
  </cols>
  <sheetData>
    <row r="1" ht="27.95" customHeight="1" s="18">
      <c r="A1" s="19" t="inlineStr">
        <is>
          <t>Full-text sessions and progress</t>
        </is>
      </c>
    </row>
    <row r="2" ht="30" customHeight="1" s="18">
      <c r="A2" s="17" t="inlineStr">
        <is>
          <t>Fill one row per session in the table below (row 18 onwards). The block above it updates by itself.</t>
        </is>
      </c>
    </row>
    <row r="4" ht="15" customHeight="1" s="18">
      <c r="A4" s="8" t="n"/>
      <c r="B4" s="8" t="inlineStr">
        <is>
          <t>A</t>
        </is>
      </c>
      <c r="C4" s="8" t="inlineStr">
        <is>
          <t>B-i</t>
        </is>
      </c>
      <c r="D4" s="8" t="inlineStr">
        <is>
          <t>B-ii</t>
        </is>
      </c>
      <c r="E4" s="8" t="inlineStr">
        <is>
          <t>Total</t>
        </is>
      </c>
    </row>
    <row r="5">
      <c r="A5" s="2" t="inlineStr">
        <is>
          <t>Records</t>
        </is>
      </c>
      <c r="B5" s="2">
        <f>COUNTIF('Screening Log'!$B$5:$B$407,"A")</f>
        <v/>
      </c>
      <c r="C5" s="2">
        <f>COUNTIF('Screening Log'!$B$5:$B$407,"B-i")</f>
        <v/>
      </c>
      <c r="D5" s="2">
        <f>COUNTIF('Screening Log'!$B$5:$B$407,"B-ii")</f>
        <v/>
      </c>
      <c r="E5" s="2">
        <f>SUM(B5:D5)</f>
        <v/>
      </c>
    </row>
    <row r="6">
      <c r="A6" s="2" t="inlineStr">
        <is>
          <t>Included</t>
        </is>
      </c>
      <c r="B6" s="2">
        <f>COUNTIFS('Screening Log'!$B$5:$B$407,"A",'Screening Log'!$H$5:$H$407,"INCLUDE")</f>
        <v/>
      </c>
      <c r="C6" s="2">
        <f>COUNTIFS('Screening Log'!$B$5:$B$407,"B-i",'Screening Log'!$H$5:$H$407,"INCLUDE")</f>
        <v/>
      </c>
      <c r="D6" s="2">
        <f>COUNTIFS('Screening Log'!$B$5:$B$407,"B-ii",'Screening Log'!$H$5:$H$407,"INCLUDE")</f>
        <v/>
      </c>
      <c r="E6" s="2">
        <f>SUM(B6:D6)</f>
        <v/>
      </c>
    </row>
    <row r="7">
      <c r="A7" s="2" t="inlineStr">
        <is>
          <t>Excluded</t>
        </is>
      </c>
      <c r="B7" s="2">
        <f>COUNTIFS('Screening Log'!$B$5:$B$407,"A",'Screening Log'!$H$5:$H$407,"EXCLUDE")</f>
        <v/>
      </c>
      <c r="C7" s="2">
        <f>COUNTIFS('Screening Log'!$B$5:$B$407,"B-i",'Screening Log'!$H$5:$H$407,"EXCLUDE")</f>
        <v/>
      </c>
      <c r="D7" s="2">
        <f>COUNTIFS('Screening Log'!$B$5:$B$407,"B-ii",'Screening Log'!$H$5:$H$407,"EXCLUDE")</f>
        <v/>
      </c>
      <c r="E7" s="2">
        <f>SUM(B7:D7)</f>
        <v/>
      </c>
    </row>
    <row r="8">
      <c r="A8" s="2" t="inlineStr">
        <is>
          <t>Decided</t>
        </is>
      </c>
      <c r="B8" s="2">
        <f>B6+B7</f>
        <v/>
      </c>
      <c r="C8" s="2">
        <f>C6+C7</f>
        <v/>
      </c>
      <c r="D8" s="2">
        <f>D6+D7</f>
        <v/>
      </c>
      <c r="E8" s="2">
        <f>SUM(B8:D8)</f>
        <v/>
      </c>
    </row>
    <row r="9">
      <c r="A9" s="2" t="inlineStr">
        <is>
          <t>Left</t>
        </is>
      </c>
      <c r="B9" s="2">
        <f>B5-B8</f>
        <v/>
      </c>
      <c r="C9" s="2">
        <f>C5-C8</f>
        <v/>
      </c>
      <c r="D9" s="2">
        <f>D5-D8</f>
        <v/>
      </c>
      <c r="E9" s="2">
        <f>SUM(B9:D9)</f>
        <v/>
      </c>
    </row>
    <row r="10">
      <c r="A10" s="2" t="inlineStr">
        <is>
          <t>Complete</t>
        </is>
      </c>
      <c r="B10" s="14">
        <f>IF(B5=0,0,B8/B5)</f>
        <v/>
      </c>
      <c r="C10" s="14">
        <f>IF(C5=0,0,C8/C5)</f>
        <v/>
      </c>
      <c r="D10" s="14">
        <f>IF(D5=0,0,D8/D5)</f>
        <v/>
      </c>
      <c r="E10" s="14">
        <f>IF(E5=0,0,E8/E5)</f>
        <v/>
      </c>
    </row>
    <row r="11" ht="28.5" customHeight="1" s="18">
      <c r="A11" s="2" t="inlineStr">
        <is>
          <t>Planning rate (minutes per record)</t>
        </is>
      </c>
      <c r="B11" s="15" t="n">
        <v>3.5</v>
      </c>
      <c r="C11" s="15" t="n">
        <v>5.5</v>
      </c>
      <c r="D11" s="15" t="n">
        <v>4.5</v>
      </c>
      <c r="F11" s="2" t="inlineStr">
        <is>
          <t>Estimates from full_text_screening_instructions_v1.0_20261005.md, Part 10. Used until a session is logged for the strand.</t>
        </is>
      </c>
    </row>
    <row r="12">
      <c r="A12" s="2" t="inlineStr">
        <is>
          <t>Measured rate (minutes per record)</t>
        </is>
      </c>
      <c r="B12" s="15">
        <f>IF(SUMIFS($C$18:$C$117,$B$18:$B$117,"A")=0,"",SUMIFS($D$18:$D$117,$B$18:$B$117,"A")/SUMIFS($C$18:$C$117,$B$18:$B$117,"A"))</f>
        <v/>
      </c>
      <c r="C12" s="15">
        <f>IF(SUMIFS($C$18:$C$117,$B$18:$B$117,"B-i")=0,"",SUMIFS($D$18:$D$117,$B$18:$B$117,"B-i")/SUMIFS($C$18:$C$117,$B$18:$B$117,"B-i"))</f>
        <v/>
      </c>
      <c r="D12" s="15">
        <f>IF(SUMIFS($C$18:$C$117,$B$18:$B$117,"B-ii")=0,"",SUMIFS($D$18:$D$117,$B$18:$B$117,"B-ii")/SUMIFS($C$18:$C$117,$B$18:$B$117,"B-ii"))</f>
        <v/>
      </c>
      <c r="F12" s="2" t="inlineStr">
        <is>
          <t>Minutes logged ÷ records logged, from the table below.</t>
        </is>
      </c>
    </row>
    <row r="13" ht="28.5" customHeight="1" s="18">
      <c r="A13" s="2" t="inlineStr">
        <is>
          <t>Hours left (screening only)</t>
        </is>
      </c>
      <c r="B13" s="15">
        <f>B9*IF(B12="",B11,B12)/60</f>
        <v/>
      </c>
      <c r="C13" s="15">
        <f>C9*IF(C12="",C11,C12)/60</f>
        <v/>
      </c>
      <c r="D13" s="15">
        <f>D9*IF(D12="",D11,D12)/60</f>
        <v/>
      </c>
      <c r="E13" s="15">
        <f>SUM(B13:D13)</f>
        <v/>
      </c>
      <c r="F13" s="2" t="inlineStr">
        <is>
          <t>Records left × rate. Excludes retrieval, the consistency check and closing.</t>
        </is>
      </c>
    </row>
    <row r="17" ht="15" customHeight="1" s="18">
      <c r="A17" s="8" t="inlineStr">
        <is>
          <t>Date</t>
        </is>
      </c>
      <c r="B17" s="8" t="inlineStr">
        <is>
          <t>Strand</t>
        </is>
      </c>
      <c r="C17" s="8" t="inlineStr">
        <is>
          <t>Records done</t>
        </is>
      </c>
      <c r="D17" s="8" t="inlineStr">
        <is>
          <t>Minutes</t>
        </is>
      </c>
      <c r="E17" s="8" t="inlineStr">
        <is>
          <t>Rulings added</t>
        </is>
      </c>
      <c r="F17" s="8" t="inlineStr">
        <is>
          <t>Commit</t>
        </is>
      </c>
    </row>
    <row r="18">
      <c r="A18" s="13" t="n">
        <v>46300</v>
      </c>
      <c r="B18" s="2" t="inlineStr">
        <is>
          <t>A</t>
        </is>
      </c>
      <c r="C18" s="2" t="n">
        <v>142</v>
      </c>
      <c r="D18" s="2" t="n"/>
      <c r="E18" s="2" t="inlineStr">
        <is>
          <t>R1–R12 adopted before screening</t>
        </is>
      </c>
      <c r="F18" s="2" t="n"/>
    </row>
    <row r="19">
      <c r="A19" s="13" t="n">
        <v>46300</v>
      </c>
      <c r="B19" s="2" t="inlineStr">
        <is>
          <t>B-i</t>
        </is>
      </c>
      <c r="C19" s="2" t="n">
        <v>1</v>
      </c>
      <c r="D19" s="2" t="n"/>
      <c r="E19" s="2" t="n"/>
      <c r="F19" s="2" t="n"/>
    </row>
    <row r="20">
      <c r="A20" s="13" t="n">
        <v>46301</v>
      </c>
      <c r="B20" s="2" t="inlineStr">
        <is>
          <t>A</t>
        </is>
      </c>
      <c r="C20" s="2" t="n">
        <v>57</v>
      </c>
      <c r="D20" s="2" t="n"/>
      <c r="E20" s="2" t="n"/>
      <c r="F20" s="2" t="n"/>
    </row>
    <row r="21">
      <c r="A21" s="13" t="n">
        <v>46301</v>
      </c>
      <c r="B21" s="2" t="inlineStr">
        <is>
          <t>B-i</t>
        </is>
      </c>
      <c r="C21" s="2" t="n">
        <v>1</v>
      </c>
      <c r="D21" s="2" t="n"/>
      <c r="E21" s="2" t="n"/>
      <c r="F21" s="2" t="n"/>
    </row>
    <row r="22">
      <c r="A22" s="13" t="n">
        <v>46303</v>
      </c>
      <c r="B22" s="2" t="inlineStr">
        <is>
          <t>A</t>
        </is>
      </c>
      <c r="C22" s="2" t="n">
        <v>2</v>
      </c>
      <c r="D22" s="2" t="n"/>
      <c r="E22" s="2" t="n"/>
      <c r="F22" s="2" t="n"/>
    </row>
    <row r="23">
      <c r="A23" s="13" t="n">
        <v>46303</v>
      </c>
      <c r="B23" s="2" t="inlineStr">
        <is>
          <t>B-i</t>
        </is>
      </c>
      <c r="C23" s="2" t="n">
        <v>22</v>
      </c>
      <c r="D23" s="2" t="n"/>
      <c r="E23" s="2" t="n"/>
      <c r="F23" s="2" t="n"/>
    </row>
    <row r="24">
      <c r="A24" s="13" t="n">
        <v>46303</v>
      </c>
      <c r="B24" s="2" t="inlineStr">
        <is>
          <t>B-ii</t>
        </is>
      </c>
      <c r="C24" s="2" t="n">
        <v>49</v>
      </c>
      <c r="D24" s="2" t="n"/>
      <c r="E24" s="2" t="n"/>
      <c r="F24" s="2" t="n"/>
    </row>
    <row r="25">
      <c r="A25" s="13" t="n">
        <v>46304</v>
      </c>
      <c r="B25" s="2" t="inlineStr">
        <is>
          <t>A</t>
        </is>
      </c>
      <c r="C25" s="2" t="n">
        <v>1</v>
      </c>
      <c r="D25" s="2" t="n"/>
      <c r="E25" s="2" t="n"/>
      <c r="F25" s="2" t="n"/>
    </row>
    <row r="26">
      <c r="A26" s="13" t="n">
        <v>46304</v>
      </c>
      <c r="B26" s="2" t="inlineStr">
        <is>
          <t>B-i</t>
        </is>
      </c>
      <c r="C26" s="2" t="n">
        <v>54</v>
      </c>
      <c r="D26" s="2" t="n"/>
      <c r="E26" s="2" t="n"/>
      <c r="F26" s="2" t="n"/>
    </row>
    <row r="27">
      <c r="A27" s="13" t="n">
        <v>46304</v>
      </c>
      <c r="B27" s="2" t="inlineStr">
        <is>
          <t>B-ii</t>
        </is>
      </c>
      <c r="C27" s="2" t="n">
        <v>59</v>
      </c>
      <c r="D27" s="2" t="n"/>
      <c r="E27" s="2" t="n"/>
      <c r="F27" s="2" t="n"/>
    </row>
    <row r="28">
      <c r="A28" s="13" t="n">
        <v>46305</v>
      </c>
      <c r="B28" s="2" t="inlineStr">
        <is>
          <t>A</t>
        </is>
      </c>
      <c r="C28" s="2" t="n">
        <v>7</v>
      </c>
      <c r="D28" s="2" t="n"/>
      <c r="E28" s="2" t="n"/>
      <c r="F28" s="2" t="n"/>
    </row>
    <row r="29">
      <c r="A29" s="13" t="n">
        <v>46305</v>
      </c>
      <c r="B29" s="2" t="inlineStr">
        <is>
          <t>B-i</t>
        </is>
      </c>
      <c r="C29" s="2" t="n">
        <v>6</v>
      </c>
      <c r="D29" s="2" t="n"/>
      <c r="E29" s="2" t="n"/>
      <c r="F29" s="2" t="n"/>
    </row>
    <row r="30">
      <c r="A30" s="13" t="n">
        <v>46305</v>
      </c>
      <c r="B30" s="2" t="inlineStr">
        <is>
          <t>B-ii</t>
        </is>
      </c>
      <c r="C30" s="2" t="n">
        <v>2</v>
      </c>
      <c r="D30" s="2" t="n"/>
      <c r="E30" s="2" t="n"/>
      <c r="F30" s="2" t="n"/>
    </row>
    <row r="31">
      <c r="A31" s="13" t="n"/>
      <c r="B31" s="2" t="n"/>
      <c r="C31" s="2" t="n"/>
      <c r="D31" s="2" t="n"/>
      <c r="E31" s="2" t="n"/>
      <c r="F31" s="2" t="n"/>
    </row>
    <row r="32">
      <c r="A32" s="13" t="n"/>
      <c r="B32" s="2" t="n"/>
      <c r="C32" s="2" t="n"/>
      <c r="D32" s="2" t="n"/>
      <c r="E32" s="2" t="n"/>
      <c r="F32" s="2" t="n"/>
    </row>
    <row r="33">
      <c r="A33" s="13" t="n"/>
      <c r="B33" s="2" t="n"/>
      <c r="C33" s="2" t="n"/>
      <c r="D33" s="2" t="n"/>
      <c r="E33" s="2" t="n"/>
      <c r="F33" s="2" t="n"/>
    </row>
    <row r="34">
      <c r="A34" s="13" t="n"/>
      <c r="B34" s="2" t="n"/>
      <c r="C34" s="2" t="n"/>
      <c r="D34" s="2" t="n"/>
      <c r="E34" s="2" t="n"/>
      <c r="F34" s="2" t="n"/>
    </row>
    <row r="35">
      <c r="A35" s="13" t="n"/>
      <c r="B35" s="2" t="n"/>
      <c r="C35" s="2" t="n"/>
      <c r="D35" s="2" t="n"/>
      <c r="E35" s="2" t="n"/>
      <c r="F35" s="2" t="n"/>
    </row>
    <row r="36">
      <c r="A36" s="13" t="n"/>
      <c r="B36" s="2" t="n"/>
      <c r="C36" s="2" t="n"/>
      <c r="D36" s="2" t="n"/>
      <c r="E36" s="2" t="n"/>
      <c r="F36" s="2" t="n"/>
    </row>
    <row r="37">
      <c r="A37" s="13" t="n"/>
      <c r="B37" s="2" t="n"/>
      <c r="C37" s="2" t="n"/>
      <c r="D37" s="2" t="n"/>
      <c r="E37" s="2" t="n"/>
      <c r="F37" s="2" t="n"/>
    </row>
    <row r="38">
      <c r="A38" s="13" t="n"/>
      <c r="B38" s="2" t="n"/>
      <c r="C38" s="2" t="n"/>
      <c r="D38" s="2" t="n"/>
      <c r="E38" s="2" t="n"/>
      <c r="F38" s="2" t="n"/>
    </row>
    <row r="39">
      <c r="A39" s="13" t="n"/>
      <c r="B39" s="2" t="n"/>
      <c r="C39" s="2" t="n"/>
      <c r="D39" s="2" t="n"/>
      <c r="E39" s="2" t="n"/>
      <c r="F39" s="2" t="n"/>
    </row>
    <row r="40">
      <c r="A40" s="13" t="n"/>
      <c r="B40" s="2" t="n"/>
      <c r="C40" s="2" t="n"/>
      <c r="D40" s="2" t="n"/>
      <c r="E40" s="2" t="n"/>
      <c r="F40" s="2" t="n"/>
    </row>
    <row r="41">
      <c r="A41" s="13" t="n"/>
      <c r="B41" s="2" t="n"/>
      <c r="C41" s="2" t="n"/>
      <c r="D41" s="2" t="n"/>
      <c r="E41" s="2" t="n"/>
      <c r="F41" s="2" t="n"/>
    </row>
    <row r="42">
      <c r="A42" s="13" t="n"/>
      <c r="B42" s="2" t="n"/>
      <c r="C42" s="2" t="n"/>
      <c r="D42" s="2" t="n"/>
      <c r="E42" s="2" t="n"/>
      <c r="F42" s="2" t="n"/>
    </row>
    <row r="43">
      <c r="A43" s="13" t="n"/>
      <c r="B43" s="2" t="n"/>
      <c r="C43" s="2" t="n"/>
      <c r="D43" s="2" t="n"/>
      <c r="E43" s="2" t="n"/>
      <c r="F43" s="2" t="n"/>
    </row>
    <row r="44">
      <c r="A44" s="13" t="n"/>
      <c r="B44" s="2" t="n"/>
      <c r="C44" s="2" t="n"/>
      <c r="D44" s="2" t="n"/>
      <c r="E44" s="2" t="n"/>
      <c r="F44" s="2" t="n"/>
    </row>
    <row r="45">
      <c r="A45" s="13" t="n"/>
      <c r="B45" s="2" t="n"/>
      <c r="C45" s="2" t="n"/>
      <c r="D45" s="2" t="n"/>
      <c r="E45" s="2" t="n"/>
      <c r="F45" s="2" t="n"/>
    </row>
    <row r="46">
      <c r="A46" s="13" t="n"/>
      <c r="B46" s="2" t="n"/>
      <c r="C46" s="2" t="n"/>
      <c r="D46" s="2" t="n"/>
      <c r="E46" s="2" t="n"/>
      <c r="F46" s="2" t="n"/>
    </row>
    <row r="47">
      <c r="A47" s="13" t="n"/>
      <c r="B47" s="2" t="n"/>
      <c r="C47" s="2" t="n"/>
      <c r="D47" s="2" t="n"/>
      <c r="E47" s="2" t="n"/>
      <c r="F47" s="2" t="n"/>
    </row>
    <row r="48">
      <c r="A48" s="13" t="n"/>
      <c r="B48" s="2" t="n"/>
      <c r="C48" s="2" t="n"/>
      <c r="D48" s="2" t="n"/>
      <c r="E48" s="2" t="n"/>
      <c r="F48" s="2" t="n"/>
    </row>
    <row r="49">
      <c r="A49" s="13" t="n"/>
      <c r="B49" s="2" t="n"/>
      <c r="C49" s="2" t="n"/>
      <c r="D49" s="2" t="n"/>
      <c r="E49" s="2" t="n"/>
      <c r="F49" s="2" t="n"/>
    </row>
    <row r="50">
      <c r="A50" s="13" t="n"/>
      <c r="B50" s="2" t="n"/>
      <c r="C50" s="2" t="n"/>
      <c r="D50" s="2" t="n"/>
      <c r="E50" s="2" t="n"/>
      <c r="F50" s="2" t="n"/>
    </row>
    <row r="51">
      <c r="A51" s="13" t="n"/>
      <c r="B51" s="2" t="n"/>
      <c r="C51" s="2" t="n"/>
      <c r="D51" s="2" t="n"/>
      <c r="E51" s="2" t="n"/>
      <c r="F51" s="2" t="n"/>
    </row>
    <row r="52">
      <c r="A52" s="13" t="n"/>
      <c r="B52" s="2" t="n"/>
      <c r="C52" s="2" t="n"/>
      <c r="D52" s="2" t="n"/>
      <c r="E52" s="2" t="n"/>
      <c r="F52" s="2" t="n"/>
    </row>
    <row r="53">
      <c r="A53" s="13" t="n"/>
      <c r="B53" s="2" t="n"/>
      <c r="C53" s="2" t="n"/>
      <c r="D53" s="2" t="n"/>
      <c r="E53" s="2" t="n"/>
      <c r="F53" s="2" t="n"/>
    </row>
    <row r="54">
      <c r="A54" s="13" t="n"/>
      <c r="B54" s="2" t="n"/>
      <c r="C54" s="2" t="n"/>
      <c r="D54" s="2" t="n"/>
      <c r="E54" s="2" t="n"/>
      <c r="F54" s="2" t="n"/>
    </row>
    <row r="55">
      <c r="A55" s="13" t="n"/>
      <c r="B55" s="2" t="n"/>
      <c r="C55" s="2" t="n"/>
      <c r="D55" s="2" t="n"/>
      <c r="E55" s="2" t="n"/>
      <c r="F55" s="2" t="n"/>
    </row>
    <row r="56">
      <c r="A56" s="13" t="n"/>
      <c r="B56" s="2" t="n"/>
      <c r="C56" s="2" t="n"/>
      <c r="D56" s="2" t="n"/>
      <c r="E56" s="2" t="n"/>
      <c r="F56" s="2" t="n"/>
    </row>
    <row r="57">
      <c r="A57" s="13" t="n"/>
      <c r="B57" s="2" t="n"/>
      <c r="C57" s="2" t="n"/>
      <c r="D57" s="2" t="n"/>
      <c r="E57" s="2" t="n"/>
      <c r="F57" s="2" t="n"/>
    </row>
    <row r="58">
      <c r="A58" s="13" t="n"/>
      <c r="B58" s="2" t="n"/>
      <c r="C58" s="2" t="n"/>
      <c r="D58" s="2" t="n"/>
      <c r="E58" s="2" t="n"/>
      <c r="F58" s="2" t="n"/>
    </row>
    <row r="59">
      <c r="A59" s="13" t="n"/>
      <c r="B59" s="2" t="n"/>
      <c r="C59" s="2" t="n"/>
      <c r="D59" s="2" t="n"/>
      <c r="E59" s="2" t="n"/>
      <c r="F59" s="2" t="n"/>
    </row>
    <row r="60">
      <c r="A60" s="13" t="n"/>
      <c r="B60" s="2" t="n"/>
      <c r="C60" s="2" t="n"/>
      <c r="D60" s="2" t="n"/>
      <c r="E60" s="2" t="n"/>
      <c r="F60" s="2" t="n"/>
    </row>
    <row r="61">
      <c r="A61" s="13" t="n"/>
      <c r="B61" s="2" t="n"/>
      <c r="C61" s="2" t="n"/>
      <c r="D61" s="2" t="n"/>
      <c r="E61" s="2" t="n"/>
      <c r="F61" s="2" t="n"/>
    </row>
    <row r="62">
      <c r="A62" s="13" t="n"/>
      <c r="B62" s="2" t="n"/>
      <c r="C62" s="2" t="n"/>
      <c r="D62" s="2" t="n"/>
      <c r="E62" s="2" t="n"/>
      <c r="F62" s="2" t="n"/>
    </row>
    <row r="63">
      <c r="A63" s="13" t="n"/>
      <c r="B63" s="2" t="n"/>
      <c r="C63" s="2" t="n"/>
      <c r="D63" s="2" t="n"/>
      <c r="E63" s="2" t="n"/>
      <c r="F63" s="2" t="n"/>
    </row>
    <row r="64">
      <c r="A64" s="13" t="n"/>
      <c r="B64" s="2" t="n"/>
      <c r="C64" s="2" t="n"/>
      <c r="D64" s="2" t="n"/>
      <c r="E64" s="2" t="n"/>
      <c r="F64" s="2" t="n"/>
    </row>
    <row r="65">
      <c r="A65" s="13" t="n"/>
      <c r="B65" s="2" t="n"/>
      <c r="C65" s="2" t="n"/>
      <c r="D65" s="2" t="n"/>
      <c r="E65" s="2" t="n"/>
      <c r="F65" s="2" t="n"/>
    </row>
    <row r="66">
      <c r="A66" s="13" t="n"/>
      <c r="B66" s="2" t="n"/>
      <c r="C66" s="2" t="n"/>
      <c r="D66" s="2" t="n"/>
      <c r="E66" s="2" t="n"/>
      <c r="F66" s="2" t="n"/>
    </row>
    <row r="67">
      <c r="A67" s="13" t="n"/>
      <c r="B67" s="2" t="n"/>
      <c r="C67" s="2" t="n"/>
      <c r="D67" s="2" t="n"/>
      <c r="E67" s="2" t="n"/>
      <c r="F67" s="2" t="n"/>
    </row>
    <row r="68">
      <c r="A68" s="13" t="n"/>
      <c r="B68" s="2" t="n"/>
      <c r="C68" s="2" t="n"/>
      <c r="D68" s="2" t="n"/>
      <c r="E68" s="2" t="n"/>
      <c r="F68" s="2" t="n"/>
    </row>
    <row r="69">
      <c r="A69" s="13" t="n"/>
      <c r="B69" s="2" t="n"/>
      <c r="C69" s="2" t="n"/>
      <c r="D69" s="2" t="n"/>
      <c r="E69" s="2" t="n"/>
      <c r="F69" s="2" t="n"/>
    </row>
    <row r="70">
      <c r="A70" s="13" t="n"/>
      <c r="B70" s="2" t="n"/>
      <c r="C70" s="2" t="n"/>
      <c r="D70" s="2" t="n"/>
      <c r="E70" s="2" t="n"/>
      <c r="F70" s="2" t="n"/>
    </row>
    <row r="71">
      <c r="A71" s="13" t="n"/>
      <c r="B71" s="2" t="n"/>
      <c r="C71" s="2" t="n"/>
      <c r="D71" s="2" t="n"/>
      <c r="E71" s="2" t="n"/>
      <c r="F71" s="2" t="n"/>
    </row>
    <row r="72">
      <c r="A72" s="13" t="n"/>
      <c r="B72" s="2" t="n"/>
      <c r="C72" s="2" t="n"/>
      <c r="D72" s="2" t="n"/>
      <c r="E72" s="2" t="n"/>
      <c r="F72" s="2" t="n"/>
    </row>
    <row r="73">
      <c r="A73" s="13" t="n"/>
      <c r="B73" s="2" t="n"/>
      <c r="C73" s="2" t="n"/>
      <c r="D73" s="2" t="n"/>
      <c r="E73" s="2" t="n"/>
      <c r="F73" s="2" t="n"/>
    </row>
    <row r="74">
      <c r="A74" s="13" t="n"/>
      <c r="B74" s="2" t="n"/>
      <c r="C74" s="2" t="n"/>
      <c r="D74" s="2" t="n"/>
      <c r="E74" s="2" t="n"/>
      <c r="F74" s="2" t="n"/>
    </row>
    <row r="75">
      <c r="A75" s="13" t="n"/>
      <c r="B75" s="2" t="n"/>
      <c r="C75" s="2" t="n"/>
      <c r="D75" s="2" t="n"/>
      <c r="E75" s="2" t="n"/>
      <c r="F75" s="2" t="n"/>
    </row>
    <row r="76">
      <c r="A76" s="13" t="n"/>
      <c r="B76" s="2" t="n"/>
      <c r="C76" s="2" t="n"/>
      <c r="D76" s="2" t="n"/>
      <c r="E76" s="2" t="n"/>
      <c r="F76" s="2" t="n"/>
    </row>
    <row r="77">
      <c r="A77" s="13" t="n"/>
      <c r="B77" s="2" t="n"/>
      <c r="C77" s="2" t="n"/>
      <c r="D77" s="2" t="n"/>
      <c r="E77" s="2" t="n"/>
      <c r="F77" s="2" t="n"/>
    </row>
    <row r="78">
      <c r="A78" s="13" t="n"/>
      <c r="B78" s="2" t="n"/>
      <c r="C78" s="2" t="n"/>
      <c r="D78" s="2" t="n"/>
      <c r="E78" s="2" t="n"/>
      <c r="F78" s="2" t="n"/>
    </row>
    <row r="79">
      <c r="A79" s="13" t="n"/>
      <c r="B79" s="2" t="n"/>
      <c r="C79" s="2" t="n"/>
      <c r="D79" s="2" t="n"/>
      <c r="E79" s="2" t="n"/>
      <c r="F79" s="2" t="n"/>
    </row>
    <row r="80">
      <c r="A80" s="13" t="n"/>
      <c r="B80" s="2" t="n"/>
      <c r="C80" s="2" t="n"/>
      <c r="D80" s="2" t="n"/>
      <c r="E80" s="2" t="n"/>
      <c r="F80" s="2" t="n"/>
    </row>
    <row r="81">
      <c r="A81" s="13" t="n"/>
      <c r="B81" s="2" t="n"/>
      <c r="C81" s="2" t="n"/>
      <c r="D81" s="2" t="n"/>
      <c r="E81" s="2" t="n"/>
      <c r="F81" s="2" t="n"/>
    </row>
    <row r="82">
      <c r="A82" s="13" t="n"/>
      <c r="B82" s="2" t="n"/>
      <c r="C82" s="2" t="n"/>
      <c r="D82" s="2" t="n"/>
      <c r="E82" s="2" t="n"/>
      <c r="F82" s="2" t="n"/>
    </row>
    <row r="83">
      <c r="A83" s="13" t="n"/>
      <c r="B83" s="2" t="n"/>
      <c r="C83" s="2" t="n"/>
      <c r="D83" s="2" t="n"/>
      <c r="E83" s="2" t="n"/>
      <c r="F83" s="2" t="n"/>
    </row>
    <row r="84">
      <c r="A84" s="13" t="n"/>
      <c r="B84" s="2" t="n"/>
      <c r="C84" s="2" t="n"/>
      <c r="D84" s="2" t="n"/>
      <c r="E84" s="2" t="n"/>
      <c r="F84" s="2" t="n"/>
    </row>
    <row r="85">
      <c r="A85" s="13" t="n"/>
      <c r="B85" s="2" t="n"/>
      <c r="C85" s="2" t="n"/>
      <c r="D85" s="2" t="n"/>
      <c r="E85" s="2" t="n"/>
      <c r="F85" s="2" t="n"/>
    </row>
    <row r="86">
      <c r="A86" s="13" t="n"/>
      <c r="B86" s="2" t="n"/>
      <c r="C86" s="2" t="n"/>
      <c r="D86" s="2" t="n"/>
      <c r="E86" s="2" t="n"/>
      <c r="F86" s="2" t="n"/>
    </row>
    <row r="87">
      <c r="A87" s="13" t="n"/>
      <c r="B87" s="2" t="n"/>
      <c r="C87" s="2" t="n"/>
      <c r="D87" s="2" t="n"/>
      <c r="E87" s="2" t="n"/>
      <c r="F87" s="2" t="n"/>
    </row>
    <row r="88">
      <c r="A88" s="13" t="n"/>
      <c r="B88" s="2" t="n"/>
      <c r="C88" s="2" t="n"/>
      <c r="D88" s="2" t="n"/>
      <c r="E88" s="2" t="n"/>
      <c r="F88" s="2" t="n"/>
    </row>
    <row r="89">
      <c r="A89" s="13" t="n"/>
      <c r="B89" s="2" t="n"/>
      <c r="C89" s="2" t="n"/>
      <c r="D89" s="2" t="n"/>
      <c r="E89" s="2" t="n"/>
      <c r="F89" s="2" t="n"/>
    </row>
    <row r="90">
      <c r="A90" s="13" t="n"/>
      <c r="B90" s="2" t="n"/>
      <c r="C90" s="2" t="n"/>
      <c r="D90" s="2" t="n"/>
      <c r="E90" s="2" t="n"/>
      <c r="F90" s="2" t="n"/>
    </row>
    <row r="91">
      <c r="A91" s="13" t="n"/>
      <c r="B91" s="2" t="n"/>
      <c r="C91" s="2" t="n"/>
      <c r="D91" s="2" t="n"/>
      <c r="E91" s="2" t="n"/>
      <c r="F91" s="2" t="n"/>
    </row>
    <row r="92">
      <c r="A92" s="13" t="n"/>
      <c r="B92" s="2" t="n"/>
      <c r="C92" s="2" t="n"/>
      <c r="D92" s="2" t="n"/>
      <c r="E92" s="2" t="n"/>
      <c r="F92" s="2" t="n"/>
    </row>
    <row r="93">
      <c r="A93" s="13" t="n"/>
      <c r="B93" s="2" t="n"/>
      <c r="C93" s="2" t="n"/>
      <c r="D93" s="2" t="n"/>
      <c r="E93" s="2" t="n"/>
      <c r="F93" s="2" t="n"/>
    </row>
    <row r="94">
      <c r="A94" s="13" t="n"/>
      <c r="B94" s="2" t="n"/>
      <c r="C94" s="2" t="n"/>
      <c r="D94" s="2" t="n"/>
      <c r="E94" s="2" t="n"/>
      <c r="F94" s="2" t="n"/>
    </row>
    <row r="95">
      <c r="A95" s="13" t="n"/>
      <c r="B95" s="2" t="n"/>
      <c r="C95" s="2" t="n"/>
      <c r="D95" s="2" t="n"/>
      <c r="E95" s="2" t="n"/>
      <c r="F95" s="2" t="n"/>
    </row>
    <row r="96">
      <c r="A96" s="13" t="n"/>
      <c r="B96" s="2" t="n"/>
      <c r="C96" s="2" t="n"/>
      <c r="D96" s="2" t="n"/>
      <c r="E96" s="2" t="n"/>
      <c r="F96" s="2" t="n"/>
    </row>
    <row r="97">
      <c r="A97" s="13" t="n"/>
      <c r="B97" s="2" t="n"/>
      <c r="C97" s="2" t="n"/>
      <c r="D97" s="2" t="n"/>
      <c r="E97" s="2" t="n"/>
      <c r="F97" s="2" t="n"/>
    </row>
    <row r="98">
      <c r="A98" s="13" t="n"/>
      <c r="B98" s="2" t="n"/>
      <c r="C98" s="2" t="n"/>
      <c r="D98" s="2" t="n"/>
      <c r="E98" s="2" t="n"/>
      <c r="F98" s="2" t="n"/>
    </row>
    <row r="99">
      <c r="A99" s="13" t="n"/>
      <c r="B99" s="2" t="n"/>
      <c r="C99" s="2" t="n"/>
      <c r="D99" s="2" t="n"/>
      <c r="E99" s="2" t="n"/>
      <c r="F99" s="2" t="n"/>
    </row>
    <row r="100">
      <c r="A100" s="13" t="n"/>
      <c r="B100" s="2" t="n"/>
      <c r="C100" s="2" t="n"/>
      <c r="D100" s="2" t="n"/>
      <c r="E100" s="2" t="n"/>
      <c r="F100" s="2" t="n"/>
    </row>
    <row r="101">
      <c r="A101" s="13" t="n"/>
      <c r="B101" s="2" t="n"/>
      <c r="C101" s="2" t="n"/>
      <c r="D101" s="2" t="n"/>
      <c r="E101" s="2" t="n"/>
      <c r="F101" s="2" t="n"/>
    </row>
    <row r="102">
      <c r="A102" s="13" t="n"/>
      <c r="B102" s="2" t="n"/>
      <c r="C102" s="2" t="n"/>
      <c r="D102" s="2" t="n"/>
      <c r="E102" s="2" t="n"/>
      <c r="F102" s="2" t="n"/>
    </row>
    <row r="103">
      <c r="A103" s="13" t="n"/>
      <c r="B103" s="2" t="n"/>
      <c r="C103" s="2" t="n"/>
      <c r="D103" s="2" t="n"/>
      <c r="E103" s="2" t="n"/>
      <c r="F103" s="2" t="n"/>
    </row>
    <row r="104">
      <c r="A104" s="13" t="n"/>
      <c r="B104" s="2" t="n"/>
      <c r="C104" s="2" t="n"/>
      <c r="D104" s="2" t="n"/>
      <c r="E104" s="2" t="n"/>
      <c r="F104" s="2" t="n"/>
    </row>
    <row r="105">
      <c r="A105" s="13" t="n"/>
      <c r="B105" s="2" t="n"/>
      <c r="C105" s="2" t="n"/>
      <c r="D105" s="2" t="n"/>
      <c r="E105" s="2" t="n"/>
      <c r="F105" s="2" t="n"/>
    </row>
    <row r="106">
      <c r="A106" s="13" t="n"/>
      <c r="B106" s="2" t="n"/>
      <c r="C106" s="2" t="n"/>
      <c r="D106" s="2" t="n"/>
      <c r="E106" s="2" t="n"/>
      <c r="F106" s="2" t="n"/>
    </row>
    <row r="107">
      <c r="A107" s="13" t="n"/>
      <c r="B107" s="2" t="n"/>
      <c r="C107" s="2" t="n"/>
      <c r="D107" s="2" t="n"/>
      <c r="E107" s="2" t="n"/>
      <c r="F107" s="2" t="n"/>
    </row>
    <row r="108">
      <c r="A108" s="13" t="n"/>
      <c r="B108" s="2" t="n"/>
      <c r="C108" s="2" t="n"/>
      <c r="D108" s="2" t="n"/>
      <c r="E108" s="2" t="n"/>
      <c r="F108" s="2" t="n"/>
    </row>
    <row r="109">
      <c r="A109" s="13" t="n"/>
      <c r="B109" s="2" t="n"/>
      <c r="C109" s="2" t="n"/>
      <c r="D109" s="2" t="n"/>
      <c r="E109" s="2" t="n"/>
      <c r="F109" s="2" t="n"/>
    </row>
    <row r="110">
      <c r="A110" s="13" t="n"/>
      <c r="B110" s="2" t="n"/>
      <c r="C110" s="2" t="n"/>
      <c r="D110" s="2" t="n"/>
      <c r="E110" s="2" t="n"/>
      <c r="F110" s="2" t="n"/>
    </row>
    <row r="111">
      <c r="A111" s="13" t="n"/>
      <c r="B111" s="2" t="n"/>
      <c r="C111" s="2" t="n"/>
      <c r="D111" s="2" t="n"/>
      <c r="E111" s="2" t="n"/>
      <c r="F111" s="2" t="n"/>
    </row>
    <row r="112">
      <c r="A112" s="13" t="n"/>
      <c r="B112" s="2" t="n"/>
      <c r="C112" s="2" t="n"/>
      <c r="D112" s="2" t="n"/>
      <c r="E112" s="2" t="n"/>
      <c r="F112" s="2" t="n"/>
    </row>
    <row r="113">
      <c r="A113" s="13" t="n"/>
      <c r="B113" s="2" t="n"/>
      <c r="C113" s="2" t="n"/>
      <c r="D113" s="2" t="n"/>
      <c r="E113" s="2" t="n"/>
      <c r="F113" s="2" t="n"/>
    </row>
    <row r="114">
      <c r="A114" s="13" t="n"/>
      <c r="B114" s="2" t="n"/>
      <c r="C114" s="2" t="n"/>
      <c r="D114" s="2" t="n"/>
      <c r="E114" s="2" t="n"/>
      <c r="F114" s="2" t="n"/>
    </row>
    <row r="115">
      <c r="A115" s="13" t="n"/>
      <c r="B115" s="2" t="n"/>
      <c r="C115" s="2" t="n"/>
      <c r="D115" s="2" t="n"/>
      <c r="E115" s="2" t="n"/>
      <c r="F115" s="2" t="n"/>
    </row>
    <row r="116">
      <c r="A116" s="13" t="n"/>
      <c r="B116" s="2" t="n"/>
      <c r="C116" s="2" t="n"/>
      <c r="D116" s="2" t="n"/>
      <c r="E116" s="2" t="n"/>
      <c r="F116" s="2" t="n"/>
    </row>
    <row r="117">
      <c r="A117" s="13" t="n"/>
      <c r="B117" s="2" t="n"/>
      <c r="C117" s="2" t="n"/>
      <c r="D117" s="2" t="n"/>
      <c r="E117" s="2" t="n"/>
      <c r="F117" s="2" t="n"/>
    </row>
  </sheetData>
  <mergeCells count="2">
    <mergeCell ref="A2:F2"/>
    <mergeCell ref="A1:F1"/>
  </mergeCells>
  <dataValidations count="1">
    <dataValidation sqref="B18:B117" showDropDown="0" showInputMessage="0" showErrorMessage="1" allowBlank="1" errorTitle="Not in the list" error="Use A, B-i or B-ii." type="list">
      <formula1>"A,B-i,B-ii"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2026-10-04T20:27:08Z</dcterms:created>
  <dcterms:modified xmlns:dcterms="http://purl.org/dc/terms/" xmlns:xsi="http://www.w3.org/2001/XMLSchema-instance" xsi:type="dcterms:W3CDTF">2026-10-17T01:17:47Z</dcterms:modified>
  <cp:lastModifiedBy>Arnaud Dorasamy</cp:lastModifiedBy>
</cp:coreProperties>
</file>